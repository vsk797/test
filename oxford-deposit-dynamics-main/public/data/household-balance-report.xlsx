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osentrater\Desktop\"/>
    </mc:Choice>
  </mc:AlternateContent>
  <xr:revisionPtr revIDLastSave="0" documentId="8_{36F00DE9-A873-48A3-9786-1E664601CA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H Deposit Balance Comparison" sheetId="10" r:id="rId1"/>
    <sheet name="Current Month" sheetId="7" state="hidden" r:id="rId2"/>
    <sheet name="Prior Month" sheetId="9" state="hidden" r:id="rId3"/>
    <sheet name="Year end 2024" sheetId="8" state="hidden" r:id="rId4"/>
  </sheets>
  <definedNames>
    <definedName name="_xlnm._FilterDatabase" localSheetId="1" hidden="1">'Current Month'!$A$1:$I$1074</definedName>
    <definedName name="_xlnm._FilterDatabase" localSheetId="0" hidden="1">'HH Deposit Balance Comparison'!$A$1:$L$1084</definedName>
    <definedName name="_xlnm._FilterDatabase" localSheetId="2" hidden="1">'Prior Month'!$A$1:$N$1084</definedName>
    <definedName name="_xlnm._FilterDatabase" localSheetId="3" hidden="1">'Year end 2024'!$A$1:$P$1117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84" i="10" l="1"/>
  <c r="I1118" i="8"/>
  <c r="I1117" i="8"/>
  <c r="H1117" i="8"/>
  <c r="F1118" i="8"/>
  <c r="G1118" i="8"/>
  <c r="H1118" i="8"/>
  <c r="E1118" i="8"/>
  <c r="G1084" i="10"/>
  <c r="F1084" i="10"/>
  <c r="F1085" i="9"/>
  <c r="H1085" i="9" s="1"/>
  <c r="I1085" i="9" s="1"/>
  <c r="G1085" i="9"/>
  <c r="E1085" i="9"/>
  <c r="I1080" i="9"/>
  <c r="I1081" i="9"/>
  <c r="I1082" i="9"/>
  <c r="I1083" i="9"/>
  <c r="I1084" i="9"/>
  <c r="H1080" i="9"/>
  <c r="H1081" i="9"/>
  <c r="H1082" i="9"/>
  <c r="H1083" i="9"/>
  <c r="H1084" i="9"/>
  <c r="G1083" i="10"/>
  <c r="E1084" i="10"/>
  <c r="E1074" i="10"/>
  <c r="E1083" i="10"/>
  <c r="H1075" i="7"/>
  <c r="H1076" i="7"/>
  <c r="H1077" i="7"/>
  <c r="H1078" i="7"/>
  <c r="H1079" i="7"/>
  <c r="H1080" i="7"/>
  <c r="H1081" i="7"/>
  <c r="H1082" i="7"/>
  <c r="H1083" i="7"/>
  <c r="H1084" i="7"/>
  <c r="H1085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I1075" i="7"/>
  <c r="I1076" i="7"/>
  <c r="I1077" i="7"/>
  <c r="E1075" i="10" s="1"/>
  <c r="I1078" i="7"/>
  <c r="E1076" i="10" s="1"/>
  <c r="I1079" i="7"/>
  <c r="E1077" i="10" s="1"/>
  <c r="I1080" i="7"/>
  <c r="E1078" i="10" s="1"/>
  <c r="I1081" i="7"/>
  <c r="E1079" i="10" s="1"/>
  <c r="I1082" i="7"/>
  <c r="E1080" i="10" s="1"/>
  <c r="I1083" i="7"/>
  <c r="E1081" i="10" s="1"/>
  <c r="I1084" i="7"/>
  <c r="E1082" i="10" s="1"/>
  <c r="I1085" i="7"/>
  <c r="I1062" i="7"/>
  <c r="E1060" i="10" s="1"/>
  <c r="I1063" i="7"/>
  <c r="I1064" i="7"/>
  <c r="I1065" i="7"/>
  <c r="E1063" i="10" s="1"/>
  <c r="I1066" i="7"/>
  <c r="E1064" i="10" s="1"/>
  <c r="I1067" i="7"/>
  <c r="E1065" i="10" s="1"/>
  <c r="I1068" i="7"/>
  <c r="E1066" i="10" s="1"/>
  <c r="I1069" i="7"/>
  <c r="E1067" i="10" s="1"/>
  <c r="I1070" i="7"/>
  <c r="E1068" i="10" s="1"/>
  <c r="I1071" i="7"/>
  <c r="E1069" i="10" s="1"/>
  <c r="I1072" i="7"/>
  <c r="E1070" i="10" s="1"/>
  <c r="I1073" i="7"/>
  <c r="E1071" i="10" s="1"/>
  <c r="I1074" i="7"/>
  <c r="E1072" i="10" s="1"/>
  <c r="F1086" i="7"/>
  <c r="G1086" i="7"/>
  <c r="E1086" i="7"/>
  <c r="G84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8" i="10"/>
  <c r="G250" i="10"/>
  <c r="G251" i="10"/>
  <c r="G254" i="10"/>
  <c r="G255" i="10"/>
  <c r="G256" i="10"/>
  <c r="G257" i="10"/>
  <c r="G258" i="10"/>
  <c r="G260" i="10"/>
  <c r="G263" i="10"/>
  <c r="G264" i="10"/>
  <c r="G265" i="10"/>
  <c r="G266" i="10"/>
  <c r="G267" i="10"/>
  <c r="G269" i="10"/>
  <c r="G271" i="10"/>
  <c r="G272" i="10"/>
  <c r="G273" i="10"/>
  <c r="G274" i="10"/>
  <c r="G275" i="10"/>
  <c r="G276" i="10"/>
  <c r="G277" i="10"/>
  <c r="G278" i="10"/>
  <c r="G279" i="10"/>
  <c r="G280" i="10"/>
  <c r="G284" i="10"/>
  <c r="G646" i="10"/>
  <c r="F279" i="10"/>
  <c r="F280" i="10"/>
  <c r="F284" i="10"/>
  <c r="F646" i="10"/>
  <c r="F933" i="10"/>
  <c r="F1079" i="10"/>
  <c r="F1080" i="10"/>
  <c r="F1081" i="10"/>
  <c r="F108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1" i="10"/>
  <c r="E1062" i="10"/>
  <c r="E1073" i="10"/>
  <c r="E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282" i="9"/>
  <c r="I282" i="9" s="1"/>
  <c r="F283" i="10" s="1"/>
  <c r="H2" i="10"/>
  <c r="I2" i="10"/>
  <c r="H728" i="7"/>
  <c r="I728" i="7" s="1"/>
  <c r="J2" i="10"/>
  <c r="I4" i="8"/>
  <c r="G4" i="10" s="1"/>
  <c r="I5" i="8"/>
  <c r="G5" i="10" s="1"/>
  <c r="I6" i="8"/>
  <c r="G6" i="10" s="1"/>
  <c r="I7" i="8"/>
  <c r="G7" i="10" s="1"/>
  <c r="I9" i="8"/>
  <c r="I10" i="8"/>
  <c r="I11" i="8"/>
  <c r="I12" i="8"/>
  <c r="G9" i="10" s="1"/>
  <c r="I13" i="8"/>
  <c r="G10" i="10" s="1"/>
  <c r="I14" i="8"/>
  <c r="G11" i="10" s="1"/>
  <c r="I16" i="8"/>
  <c r="G13" i="10" s="1"/>
  <c r="I17" i="8"/>
  <c r="I19" i="8"/>
  <c r="G15" i="10" s="1"/>
  <c r="I24" i="8"/>
  <c r="G20" i="10" s="1"/>
  <c r="I25" i="8"/>
  <c r="I26" i="8"/>
  <c r="G21" i="10" s="1"/>
  <c r="I27" i="8"/>
  <c r="G22" i="10" s="1"/>
  <c r="I28" i="8"/>
  <c r="I29" i="8"/>
  <c r="I30" i="8"/>
  <c r="G23" i="10" s="1"/>
  <c r="I31" i="8"/>
  <c r="G24" i="10" s="1"/>
  <c r="I32" i="8"/>
  <c r="G25" i="10" s="1"/>
  <c r="I33" i="8"/>
  <c r="I34" i="8"/>
  <c r="G26" i="10" s="1"/>
  <c r="I35" i="8"/>
  <c r="G27" i="10" s="1"/>
  <c r="I36" i="8"/>
  <c r="G28" i="10" s="1"/>
  <c r="I37" i="8"/>
  <c r="G29" i="10" s="1"/>
  <c r="I39" i="8"/>
  <c r="G31" i="10" s="1"/>
  <c r="I40" i="8"/>
  <c r="I41" i="8"/>
  <c r="I42" i="8"/>
  <c r="G32" i="10" s="1"/>
  <c r="I43" i="8"/>
  <c r="G33" i="10" s="1"/>
  <c r="I45" i="8"/>
  <c r="G35" i="10" s="1"/>
  <c r="I46" i="8"/>
  <c r="G36" i="10" s="1"/>
  <c r="I47" i="8"/>
  <c r="I48" i="8"/>
  <c r="G37" i="10" s="1"/>
  <c r="I49" i="8"/>
  <c r="G38" i="10" s="1"/>
  <c r="I50" i="8"/>
  <c r="I51" i="8"/>
  <c r="G39" i="10" s="1"/>
  <c r="I62" i="8"/>
  <c r="I63" i="8"/>
  <c r="G50" i="10" s="1"/>
  <c r="I64" i="8"/>
  <c r="G51" i="10" s="1"/>
  <c r="I65" i="8"/>
  <c r="G52" i="10" s="1"/>
  <c r="I66" i="8"/>
  <c r="G53" i="10" s="1"/>
  <c r="I70" i="8"/>
  <c r="G57" i="10" s="1"/>
  <c r="I71" i="8"/>
  <c r="G58" i="10" s="1"/>
  <c r="I72" i="8"/>
  <c r="G59" i="10" s="1"/>
  <c r="I73" i="8"/>
  <c r="G60" i="10" s="1"/>
  <c r="I74" i="8"/>
  <c r="G61" i="10" s="1"/>
  <c r="I75" i="8"/>
  <c r="G62" i="10" s="1"/>
  <c r="I76" i="8"/>
  <c r="G63" i="10" s="1"/>
  <c r="I77" i="8"/>
  <c r="G64" i="10" s="1"/>
  <c r="I78" i="8"/>
  <c r="G65" i="10" s="1"/>
  <c r="I79" i="8"/>
  <c r="G66" i="10" s="1"/>
  <c r="I80" i="8"/>
  <c r="G67" i="10" s="1"/>
  <c r="I81" i="8"/>
  <c r="G68" i="10" s="1"/>
  <c r="I82" i="8"/>
  <c r="G69" i="10" s="1"/>
  <c r="I83" i="8"/>
  <c r="G70" i="10" s="1"/>
  <c r="I84" i="8"/>
  <c r="G71" i="10" s="1"/>
  <c r="I85" i="8"/>
  <c r="G72" i="10" s="1"/>
  <c r="I89" i="8"/>
  <c r="G76" i="10" s="1"/>
  <c r="I91" i="8"/>
  <c r="G78" i="10" s="1"/>
  <c r="I92" i="8"/>
  <c r="G79" i="10" s="1"/>
  <c r="I93" i="8"/>
  <c r="G80" i="10" s="1"/>
  <c r="I94" i="8"/>
  <c r="G81" i="10" s="1"/>
  <c r="I95" i="8"/>
  <c r="I96" i="8"/>
  <c r="G82" i="10" s="1"/>
  <c r="I97" i="8"/>
  <c r="G83" i="10" s="1"/>
  <c r="I100" i="8"/>
  <c r="G87" i="10" s="1"/>
  <c r="I101" i="8"/>
  <c r="G88" i="10" s="1"/>
  <c r="I102" i="8"/>
  <c r="G89" i="10" s="1"/>
  <c r="I103" i="8"/>
  <c r="G90" i="10" s="1"/>
  <c r="I104" i="8"/>
  <c r="I105" i="8"/>
  <c r="G91" i="10" s="1"/>
  <c r="I106" i="8"/>
  <c r="G92" i="10" s="1"/>
  <c r="I107" i="8"/>
  <c r="G93" i="10" s="1"/>
  <c r="I109" i="8"/>
  <c r="G95" i="10" s="1"/>
  <c r="I110" i="8"/>
  <c r="G96" i="10" s="1"/>
  <c r="I111" i="8"/>
  <c r="G97" i="10" s="1"/>
  <c r="I112" i="8"/>
  <c r="G98" i="10" s="1"/>
  <c r="I113" i="8"/>
  <c r="G99" i="10" s="1"/>
  <c r="I114" i="8"/>
  <c r="G100" i="10" s="1"/>
  <c r="I115" i="8"/>
  <c r="G101" i="10" s="1"/>
  <c r="I116" i="8"/>
  <c r="G102" i="10" s="1"/>
  <c r="I117" i="8"/>
  <c r="I118" i="8"/>
  <c r="G103" i="10" s="1"/>
  <c r="I119" i="8"/>
  <c r="G104" i="10" s="1"/>
  <c r="I123" i="8"/>
  <c r="G108" i="10" s="1"/>
  <c r="I124" i="8"/>
  <c r="G109" i="10" s="1"/>
  <c r="I125" i="8"/>
  <c r="G110" i="10" s="1"/>
  <c r="I126" i="8"/>
  <c r="G111" i="10" s="1"/>
  <c r="I128" i="8"/>
  <c r="G113" i="10" s="1"/>
  <c r="I129" i="8"/>
  <c r="G114" i="10" s="1"/>
  <c r="I133" i="8"/>
  <c r="G118" i="10" s="1"/>
  <c r="I134" i="8"/>
  <c r="G119" i="10" s="1"/>
  <c r="I136" i="8"/>
  <c r="G121" i="10" s="1"/>
  <c r="I137" i="8"/>
  <c r="G122" i="10" s="1"/>
  <c r="I139" i="8"/>
  <c r="G124" i="10" s="1"/>
  <c r="I140" i="8"/>
  <c r="G125" i="10" s="1"/>
  <c r="I141" i="8"/>
  <c r="G126" i="10" s="1"/>
  <c r="I142" i="8"/>
  <c r="G127" i="10" s="1"/>
  <c r="I144" i="8"/>
  <c r="G129" i="10" s="1"/>
  <c r="I145" i="8"/>
  <c r="G130" i="10" s="1"/>
  <c r="I146" i="8"/>
  <c r="G131" i="10" s="1"/>
  <c r="I147" i="8"/>
  <c r="G132" i="10" s="1"/>
  <c r="I148" i="8"/>
  <c r="G133" i="10" s="1"/>
  <c r="I149" i="8"/>
  <c r="G134" i="10" s="1"/>
  <c r="I150" i="8"/>
  <c r="G135" i="10" s="1"/>
  <c r="I151" i="8"/>
  <c r="G136" i="10" s="1"/>
  <c r="I152" i="8"/>
  <c r="G137" i="10" s="1"/>
  <c r="I153" i="8"/>
  <c r="G138" i="10" s="1"/>
  <c r="I154" i="8"/>
  <c r="G139" i="10" s="1"/>
  <c r="I155" i="8"/>
  <c r="G140" i="10" s="1"/>
  <c r="I156" i="8"/>
  <c r="G141" i="10" s="1"/>
  <c r="I157" i="8"/>
  <c r="I158" i="8"/>
  <c r="G142" i="10" s="1"/>
  <c r="I159" i="8"/>
  <c r="G143" i="10" s="1"/>
  <c r="I160" i="8"/>
  <c r="G144" i="10" s="1"/>
  <c r="I161" i="8"/>
  <c r="I162" i="8"/>
  <c r="G145" i="10" s="1"/>
  <c r="I163" i="8"/>
  <c r="G146" i="10" s="1"/>
  <c r="I164" i="8"/>
  <c r="G147" i="10" s="1"/>
  <c r="I165" i="8"/>
  <c r="G148" i="10" s="1"/>
  <c r="I166" i="8"/>
  <c r="G149" i="10" s="1"/>
  <c r="I167" i="8"/>
  <c r="I168" i="8"/>
  <c r="G150" i="10" s="1"/>
  <c r="I169" i="8"/>
  <c r="G151" i="10" s="1"/>
  <c r="I170" i="8"/>
  <c r="G152" i="10" s="1"/>
  <c r="I171" i="8"/>
  <c r="G153" i="10" s="1"/>
  <c r="I172" i="8"/>
  <c r="G154" i="10" s="1"/>
  <c r="I174" i="8"/>
  <c r="I175" i="8"/>
  <c r="I177" i="8"/>
  <c r="G157" i="10" s="1"/>
  <c r="I178" i="8"/>
  <c r="G158" i="10" s="1"/>
  <c r="I179" i="8"/>
  <c r="G159" i="10" s="1"/>
  <c r="I180" i="8"/>
  <c r="G160" i="10" s="1"/>
  <c r="I181" i="8"/>
  <c r="G161" i="10" s="1"/>
  <c r="I183" i="8"/>
  <c r="I184" i="8"/>
  <c r="I185" i="8"/>
  <c r="I186" i="8"/>
  <c r="I188" i="8"/>
  <c r="I189" i="8"/>
  <c r="G164" i="10" s="1"/>
  <c r="I190" i="8"/>
  <c r="G165" i="10" s="1"/>
  <c r="I191" i="8"/>
  <c r="G166" i="10" s="1"/>
  <c r="I193" i="8"/>
  <c r="G168" i="10" s="1"/>
  <c r="I194" i="8"/>
  <c r="I195" i="8"/>
  <c r="G169" i="10" s="1"/>
  <c r="I196" i="8"/>
  <c r="G170" i="10" s="1"/>
  <c r="I197" i="8"/>
  <c r="G171" i="10" s="1"/>
  <c r="I199" i="8"/>
  <c r="G173" i="10" s="1"/>
  <c r="I200" i="8"/>
  <c r="G174" i="10" s="1"/>
  <c r="I201" i="8"/>
  <c r="G175" i="10" s="1"/>
  <c r="I203" i="8"/>
  <c r="G177" i="10" s="1"/>
  <c r="I205" i="8"/>
  <c r="G179" i="10" s="1"/>
  <c r="I206" i="8"/>
  <c r="G180" i="10" s="1"/>
  <c r="I207" i="8"/>
  <c r="G181" i="10" s="1"/>
  <c r="I208" i="8"/>
  <c r="I209" i="8"/>
  <c r="G182" i="10" s="1"/>
  <c r="I211" i="8"/>
  <c r="G184" i="10" s="1"/>
  <c r="I212" i="8"/>
  <c r="I213" i="8"/>
  <c r="G185" i="10" s="1"/>
  <c r="I218" i="8"/>
  <c r="G190" i="10" s="1"/>
  <c r="I219" i="8"/>
  <c r="I221" i="8"/>
  <c r="G192" i="10" s="1"/>
  <c r="I222" i="8"/>
  <c r="G193" i="10" s="1"/>
  <c r="I223" i="8"/>
  <c r="G194" i="10" s="1"/>
  <c r="I233" i="8"/>
  <c r="G203" i="10" s="1"/>
  <c r="I236" i="8"/>
  <c r="G206" i="10" s="1"/>
  <c r="I238" i="8"/>
  <c r="G208" i="10" s="1"/>
  <c r="I239" i="8"/>
  <c r="I240" i="8"/>
  <c r="G209" i="10" s="1"/>
  <c r="I241" i="8"/>
  <c r="G210" i="10" s="1"/>
  <c r="I242" i="8"/>
  <c r="I248" i="8"/>
  <c r="I249" i="8"/>
  <c r="I251" i="8"/>
  <c r="G215" i="10" s="1"/>
  <c r="I252" i="8"/>
  <c r="G216" i="10" s="1"/>
  <c r="I253" i="8"/>
  <c r="G217" i="10" s="1"/>
  <c r="I258" i="8"/>
  <c r="G222" i="10" s="1"/>
  <c r="I263" i="8"/>
  <c r="G227" i="10" s="1"/>
  <c r="I267" i="8"/>
  <c r="G231" i="10" s="1"/>
  <c r="I268" i="8"/>
  <c r="G247" i="10" s="1"/>
  <c r="I269" i="8"/>
  <c r="G249" i="10" s="1"/>
  <c r="I270" i="8"/>
  <c r="G252" i="10" s="1"/>
  <c r="I271" i="8"/>
  <c r="G253" i="10" s="1"/>
  <c r="I272" i="8"/>
  <c r="G259" i="10" s="1"/>
  <c r="I275" i="8"/>
  <c r="I276" i="8"/>
  <c r="G268" i="10" s="1"/>
  <c r="I278" i="8"/>
  <c r="G281" i="10" s="1"/>
  <c r="I280" i="8"/>
  <c r="G283" i="10" s="1"/>
  <c r="I284" i="8"/>
  <c r="G288" i="10" s="1"/>
  <c r="I285" i="8"/>
  <c r="G289" i="10" s="1"/>
  <c r="I287" i="8"/>
  <c r="G291" i="10" s="1"/>
  <c r="I288" i="8"/>
  <c r="G292" i="10" s="1"/>
  <c r="I291" i="8"/>
  <c r="G295" i="10" s="1"/>
  <c r="I292" i="8"/>
  <c r="G296" i="10" s="1"/>
  <c r="I293" i="8"/>
  <c r="G297" i="10" s="1"/>
  <c r="I294" i="8"/>
  <c r="G298" i="10" s="1"/>
  <c r="I296" i="8"/>
  <c r="G300" i="10" s="1"/>
  <c r="I298" i="8"/>
  <c r="G302" i="10" s="1"/>
  <c r="I303" i="8"/>
  <c r="G307" i="10" s="1"/>
  <c r="I304" i="8"/>
  <c r="G308" i="10" s="1"/>
  <c r="I309" i="8"/>
  <c r="G313" i="10" s="1"/>
  <c r="I310" i="8"/>
  <c r="G314" i="10" s="1"/>
  <c r="I317" i="8"/>
  <c r="G321" i="10" s="1"/>
  <c r="I322" i="8"/>
  <c r="G326" i="10" s="1"/>
  <c r="I325" i="8"/>
  <c r="G329" i="10" s="1"/>
  <c r="I326" i="8"/>
  <c r="G330" i="10" s="1"/>
  <c r="I327" i="8"/>
  <c r="G331" i="10" s="1"/>
  <c r="I328" i="8"/>
  <c r="G332" i="10" s="1"/>
  <c r="I332" i="8"/>
  <c r="G336" i="10" s="1"/>
  <c r="I333" i="8"/>
  <c r="I334" i="8"/>
  <c r="G337" i="10" s="1"/>
  <c r="I342" i="8"/>
  <c r="G345" i="10" s="1"/>
  <c r="I343" i="8"/>
  <c r="G346" i="10" s="1"/>
  <c r="I346" i="8"/>
  <c r="G349" i="10" s="1"/>
  <c r="I349" i="8"/>
  <c r="G352" i="10" s="1"/>
  <c r="I354" i="8"/>
  <c r="G357" i="10" s="1"/>
  <c r="I355" i="8"/>
  <c r="G358" i="10" s="1"/>
  <c r="I361" i="8"/>
  <c r="G364" i="10" s="1"/>
  <c r="I366" i="8"/>
  <c r="G369" i="10" s="1"/>
  <c r="I367" i="8"/>
  <c r="G370" i="10" s="1"/>
  <c r="I368" i="8"/>
  <c r="G371" i="10" s="1"/>
  <c r="I369" i="8"/>
  <c r="G372" i="10" s="1"/>
  <c r="I370" i="8"/>
  <c r="G373" i="10" s="1"/>
  <c r="I372" i="8"/>
  <c r="G375" i="10" s="1"/>
  <c r="I373" i="8"/>
  <c r="G376" i="10" s="1"/>
  <c r="I374" i="8"/>
  <c r="G377" i="10" s="1"/>
  <c r="I375" i="8"/>
  <c r="G378" i="10" s="1"/>
  <c r="I376" i="8"/>
  <c r="G379" i="10" s="1"/>
  <c r="I377" i="8"/>
  <c r="I378" i="8"/>
  <c r="G380" i="10" s="1"/>
  <c r="I379" i="8"/>
  <c r="G381" i="10" s="1"/>
  <c r="I380" i="8"/>
  <c r="G382" i="10" s="1"/>
  <c r="I382" i="8"/>
  <c r="G384" i="10" s="1"/>
  <c r="I383" i="8"/>
  <c r="G385" i="10" s="1"/>
  <c r="I384" i="8"/>
  <c r="G386" i="10" s="1"/>
  <c r="I387" i="8"/>
  <c r="G389" i="10" s="1"/>
  <c r="I389" i="8"/>
  <c r="G391" i="10" s="1"/>
  <c r="I393" i="8"/>
  <c r="G395" i="10" s="1"/>
  <c r="I398" i="8"/>
  <c r="G399" i="10" s="1"/>
  <c r="I399" i="8"/>
  <c r="G400" i="10" s="1"/>
  <c r="I401" i="8"/>
  <c r="G402" i="10" s="1"/>
  <c r="I402" i="8"/>
  <c r="G403" i="10" s="1"/>
  <c r="I409" i="8"/>
  <c r="G410" i="10" s="1"/>
  <c r="I412" i="8"/>
  <c r="G413" i="10" s="1"/>
  <c r="I413" i="8"/>
  <c r="G414" i="10" s="1"/>
  <c r="I414" i="8"/>
  <c r="G415" i="10" s="1"/>
  <c r="I415" i="8"/>
  <c r="G416" i="10" s="1"/>
  <c r="I418" i="8"/>
  <c r="G419" i="10" s="1"/>
  <c r="I419" i="8"/>
  <c r="G420" i="10" s="1"/>
  <c r="I420" i="8"/>
  <c r="G421" i="10" s="1"/>
  <c r="I428" i="8"/>
  <c r="G429" i="10" s="1"/>
  <c r="I429" i="8"/>
  <c r="G430" i="10" s="1"/>
  <c r="I430" i="8"/>
  <c r="G431" i="10" s="1"/>
  <c r="I431" i="8"/>
  <c r="I432" i="8"/>
  <c r="G432" i="10" s="1"/>
  <c r="I433" i="8"/>
  <c r="G433" i="10" s="1"/>
  <c r="I435" i="8"/>
  <c r="G435" i="10" s="1"/>
  <c r="I442" i="8"/>
  <c r="G441" i="10" s="1"/>
  <c r="I445" i="8"/>
  <c r="G444" i="10" s="1"/>
  <c r="I453" i="8"/>
  <c r="G452" i="10" s="1"/>
  <c r="I454" i="8"/>
  <c r="I455" i="8"/>
  <c r="G453" i="10" s="1"/>
  <c r="I456" i="8"/>
  <c r="G454" i="10" s="1"/>
  <c r="I457" i="8"/>
  <c r="G455" i="10" s="1"/>
  <c r="I458" i="8"/>
  <c r="G456" i="10" s="1"/>
  <c r="I459" i="8"/>
  <c r="G457" i="10" s="1"/>
  <c r="I460" i="8"/>
  <c r="G458" i="10" s="1"/>
  <c r="I461" i="8"/>
  <c r="G459" i="10" s="1"/>
  <c r="I462" i="8"/>
  <c r="G460" i="10" s="1"/>
  <c r="I466" i="8"/>
  <c r="G464" i="10" s="1"/>
  <c r="I469" i="8"/>
  <c r="G467" i="10" s="1"/>
  <c r="I470" i="8"/>
  <c r="G468" i="10" s="1"/>
  <c r="I477" i="8"/>
  <c r="G475" i="10" s="1"/>
  <c r="I478" i="8"/>
  <c r="G476" i="10" s="1"/>
  <c r="I479" i="8"/>
  <c r="G477" i="10" s="1"/>
  <c r="I481" i="8"/>
  <c r="G479" i="10" s="1"/>
  <c r="I482" i="8"/>
  <c r="G480" i="10" s="1"/>
  <c r="I485" i="8"/>
  <c r="G483" i="10" s="1"/>
  <c r="I486" i="8"/>
  <c r="G484" i="10" s="1"/>
  <c r="I487" i="8"/>
  <c r="G485" i="10" s="1"/>
  <c r="I488" i="8"/>
  <c r="G486" i="10" s="1"/>
  <c r="I491" i="8"/>
  <c r="G489" i="10" s="1"/>
  <c r="I492" i="8"/>
  <c r="G490" i="10" s="1"/>
  <c r="I493" i="8"/>
  <c r="G491" i="10" s="1"/>
  <c r="I495" i="8"/>
  <c r="G493" i="10" s="1"/>
  <c r="I496" i="8"/>
  <c r="G494" i="10" s="1"/>
  <c r="I497" i="8"/>
  <c r="G495" i="10" s="1"/>
  <c r="I498" i="8"/>
  <c r="G496" i="10" s="1"/>
  <c r="I499" i="8"/>
  <c r="G497" i="10" s="1"/>
  <c r="I501" i="8"/>
  <c r="G499" i="10" s="1"/>
  <c r="I502" i="8"/>
  <c r="G500" i="10" s="1"/>
  <c r="I503" i="8"/>
  <c r="I505" i="8"/>
  <c r="G502" i="10" s="1"/>
  <c r="I506" i="8"/>
  <c r="G503" i="10" s="1"/>
  <c r="I510" i="8"/>
  <c r="G507" i="10" s="1"/>
  <c r="I511" i="8"/>
  <c r="I514" i="8"/>
  <c r="G510" i="10" s="1"/>
  <c r="I516" i="8"/>
  <c r="G512" i="10" s="1"/>
  <c r="I519" i="8"/>
  <c r="G515" i="10" s="1"/>
  <c r="I522" i="8"/>
  <c r="G518" i="10" s="1"/>
  <c r="I523" i="8"/>
  <c r="G519" i="10" s="1"/>
  <c r="I524" i="8"/>
  <c r="G520" i="10" s="1"/>
  <c r="I525" i="8"/>
  <c r="G521" i="10" s="1"/>
  <c r="I527" i="8"/>
  <c r="G523" i="10" s="1"/>
  <c r="I528" i="8"/>
  <c r="G524" i="10" s="1"/>
  <c r="I536" i="8"/>
  <c r="G532" i="10" s="1"/>
  <c r="I537" i="8"/>
  <c r="G533" i="10" s="1"/>
  <c r="I538" i="8"/>
  <c r="G534" i="10" s="1"/>
  <c r="I539" i="8"/>
  <c r="G535" i="10" s="1"/>
  <c r="I540" i="8"/>
  <c r="G536" i="10" s="1"/>
  <c r="I543" i="8"/>
  <c r="G539" i="10" s="1"/>
  <c r="I544" i="8"/>
  <c r="G540" i="10" s="1"/>
  <c r="I545" i="8"/>
  <c r="G541" i="10" s="1"/>
  <c r="I546" i="8"/>
  <c r="G542" i="10" s="1"/>
  <c r="I547" i="8"/>
  <c r="G543" i="10" s="1"/>
  <c r="I548" i="8"/>
  <c r="G544" i="10" s="1"/>
  <c r="I549" i="8"/>
  <c r="G545" i="10" s="1"/>
  <c r="I550" i="8"/>
  <c r="G546" i="10" s="1"/>
  <c r="I551" i="8"/>
  <c r="G547" i="10" s="1"/>
  <c r="I554" i="8"/>
  <c r="G550" i="10" s="1"/>
  <c r="I555" i="8"/>
  <c r="G551" i="10" s="1"/>
  <c r="I557" i="8"/>
  <c r="G553" i="10" s="1"/>
  <c r="I558" i="8"/>
  <c r="G554" i="10" s="1"/>
  <c r="I559" i="8"/>
  <c r="G555" i="10" s="1"/>
  <c r="I560" i="8"/>
  <c r="G556" i="10" s="1"/>
  <c r="I563" i="8"/>
  <c r="G559" i="10" s="1"/>
  <c r="I564" i="8"/>
  <c r="G560" i="10" s="1"/>
  <c r="I568" i="8"/>
  <c r="G564" i="10" s="1"/>
  <c r="I572" i="8"/>
  <c r="G568" i="10" s="1"/>
  <c r="I574" i="8"/>
  <c r="G570" i="10" s="1"/>
  <c r="I577" i="8"/>
  <c r="G573" i="10" s="1"/>
  <c r="I581" i="8"/>
  <c r="G577" i="10" s="1"/>
  <c r="I582" i="8"/>
  <c r="G578" i="10" s="1"/>
  <c r="I583" i="8"/>
  <c r="G579" i="10" s="1"/>
  <c r="I584" i="8"/>
  <c r="G580" i="10" s="1"/>
  <c r="I585" i="8"/>
  <c r="G581" i="10" s="1"/>
  <c r="I586" i="8"/>
  <c r="G582" i="10" s="1"/>
  <c r="I587" i="8"/>
  <c r="G583" i="10" s="1"/>
  <c r="I588" i="8"/>
  <c r="G584" i="10" s="1"/>
  <c r="I596" i="8"/>
  <c r="G592" i="10" s="1"/>
  <c r="I597" i="8"/>
  <c r="G593" i="10" s="1"/>
  <c r="I609" i="8"/>
  <c r="G605" i="10" s="1"/>
  <c r="I617" i="8"/>
  <c r="G612" i="10" s="1"/>
  <c r="I632" i="8"/>
  <c r="G626" i="10" s="1"/>
  <c r="I655" i="8"/>
  <c r="G650" i="10" s="1"/>
  <c r="I660" i="8"/>
  <c r="G655" i="10" s="1"/>
  <c r="I665" i="8"/>
  <c r="G660" i="10" s="1"/>
  <c r="I676" i="8"/>
  <c r="G670" i="10" s="1"/>
  <c r="I689" i="8"/>
  <c r="G682" i="10" s="1"/>
  <c r="I690" i="8"/>
  <c r="G683" i="10" s="1"/>
  <c r="I701" i="8"/>
  <c r="G694" i="10" s="1"/>
  <c r="I737" i="8"/>
  <c r="G730" i="10" s="1"/>
  <c r="I758" i="8"/>
  <c r="G751" i="10" s="1"/>
  <c r="I760" i="8"/>
  <c r="I770" i="8"/>
  <c r="G762" i="10" s="1"/>
  <c r="I793" i="8"/>
  <c r="I806" i="8"/>
  <c r="G797" i="10" s="1"/>
  <c r="I814" i="8"/>
  <c r="G804" i="10" s="1"/>
  <c r="I830" i="8"/>
  <c r="G820" i="10" s="1"/>
  <c r="I835" i="8"/>
  <c r="G825" i="10" s="1"/>
  <c r="I840" i="8"/>
  <c r="I847" i="8"/>
  <c r="G836" i="10" s="1"/>
  <c r="I875" i="8"/>
  <c r="G862" i="10" s="1"/>
  <c r="I897" i="8"/>
  <c r="G882" i="10" s="1"/>
  <c r="I922" i="8"/>
  <c r="G907" i="10" s="1"/>
  <c r="I925" i="8"/>
  <c r="G910" i="10" s="1"/>
  <c r="I926" i="8"/>
  <c r="G911" i="10" s="1"/>
  <c r="I927" i="8"/>
  <c r="G912" i="10" s="1"/>
  <c r="I928" i="8"/>
  <c r="G913" i="10" s="1"/>
  <c r="I929" i="8"/>
  <c r="G914" i="10" s="1"/>
  <c r="I930" i="8"/>
  <c r="G915" i="10" s="1"/>
  <c r="I931" i="8"/>
  <c r="G916" i="10" s="1"/>
  <c r="I932" i="8"/>
  <c r="G917" i="10" s="1"/>
  <c r="I933" i="8"/>
  <c r="G918" i="10" s="1"/>
  <c r="I935" i="8"/>
  <c r="I936" i="8"/>
  <c r="I937" i="8"/>
  <c r="G920" i="10" s="1"/>
  <c r="I938" i="8"/>
  <c r="G921" i="10" s="1"/>
  <c r="I939" i="8"/>
  <c r="G922" i="10" s="1"/>
  <c r="I940" i="8"/>
  <c r="G923" i="10" s="1"/>
  <c r="I941" i="8"/>
  <c r="G924" i="10" s="1"/>
  <c r="I942" i="8"/>
  <c r="G925" i="10" s="1"/>
  <c r="I943" i="8"/>
  <c r="G926" i="10" s="1"/>
  <c r="I944" i="8"/>
  <c r="I947" i="8"/>
  <c r="G929" i="10" s="1"/>
  <c r="I953" i="8"/>
  <c r="I959" i="8"/>
  <c r="G940" i="10" s="1"/>
  <c r="I960" i="8"/>
  <c r="I961" i="8"/>
  <c r="G941" i="10" s="1"/>
  <c r="I962" i="8"/>
  <c r="G942" i="10" s="1"/>
  <c r="I963" i="8"/>
  <c r="G943" i="10" s="1"/>
  <c r="I964" i="8"/>
  <c r="I965" i="8"/>
  <c r="G944" i="10" s="1"/>
  <c r="I966" i="8"/>
  <c r="G945" i="10" s="1"/>
  <c r="I970" i="8"/>
  <c r="G948" i="10" s="1"/>
  <c r="I971" i="8"/>
  <c r="G949" i="10" s="1"/>
  <c r="I976" i="8"/>
  <c r="G954" i="10" s="1"/>
  <c r="I977" i="8"/>
  <c r="I978" i="8"/>
  <c r="G955" i="10" s="1"/>
  <c r="I979" i="8"/>
  <c r="I980" i="8"/>
  <c r="G956" i="10" s="1"/>
  <c r="I981" i="8"/>
  <c r="G957" i="10" s="1"/>
  <c r="I982" i="8"/>
  <c r="G958" i="10" s="1"/>
  <c r="I983" i="8"/>
  <c r="G959" i="10" s="1"/>
  <c r="I986" i="8"/>
  <c r="G962" i="10" s="1"/>
  <c r="I987" i="8"/>
  <c r="G963" i="10" s="1"/>
  <c r="I988" i="8"/>
  <c r="G964" i="10" s="1"/>
  <c r="I989" i="8"/>
  <c r="I990" i="8"/>
  <c r="G965" i="10" s="1"/>
  <c r="I991" i="8"/>
  <c r="G966" i="10" s="1"/>
  <c r="I993" i="8"/>
  <c r="G968" i="10" s="1"/>
  <c r="I994" i="8"/>
  <c r="G969" i="10" s="1"/>
  <c r="I995" i="8"/>
  <c r="G970" i="10" s="1"/>
  <c r="I996" i="8"/>
  <c r="G971" i="10" s="1"/>
  <c r="I997" i="8"/>
  <c r="I998" i="8"/>
  <c r="G972" i="10" s="1"/>
  <c r="I1001" i="8"/>
  <c r="G975" i="10" s="1"/>
  <c r="I1004" i="8"/>
  <c r="G978" i="10" s="1"/>
  <c r="I1008" i="8"/>
  <c r="G982" i="10" s="1"/>
  <c r="I1009" i="8"/>
  <c r="G983" i="10" s="1"/>
  <c r="I1011" i="8"/>
  <c r="G985" i="10" s="1"/>
  <c r="I1012" i="8"/>
  <c r="I1013" i="8"/>
  <c r="I1014" i="8"/>
  <c r="G986" i="10" s="1"/>
  <c r="I1015" i="8"/>
  <c r="G987" i="10" s="1"/>
  <c r="I1016" i="8"/>
  <c r="G988" i="10" s="1"/>
  <c r="I1017" i="8"/>
  <c r="G989" i="10" s="1"/>
  <c r="I1018" i="8"/>
  <c r="G990" i="10" s="1"/>
  <c r="I1028" i="8"/>
  <c r="G1000" i="10" s="1"/>
  <c r="I1029" i="8"/>
  <c r="G1001" i="10" s="1"/>
  <c r="I1030" i="8"/>
  <c r="G1002" i="10" s="1"/>
  <c r="I1031" i="8"/>
  <c r="G1003" i="10" s="1"/>
  <c r="I1032" i="8"/>
  <c r="G1004" i="10" s="1"/>
  <c r="I1033" i="8"/>
  <c r="G1005" i="10" s="1"/>
  <c r="I1034" i="8"/>
  <c r="G1006" i="10" s="1"/>
  <c r="I1035" i="8"/>
  <c r="G1007" i="10" s="1"/>
  <c r="I1038" i="8"/>
  <c r="G1010" i="10" s="1"/>
  <c r="I1039" i="8"/>
  <c r="G1011" i="10" s="1"/>
  <c r="I1040" i="8"/>
  <c r="G1012" i="10" s="1"/>
  <c r="I1041" i="8"/>
  <c r="G1013" i="10" s="1"/>
  <c r="I1042" i="8"/>
  <c r="G1014" i="10" s="1"/>
  <c r="I1046" i="8"/>
  <c r="G1018" i="10" s="1"/>
  <c r="I1047" i="8"/>
  <c r="G1019" i="10" s="1"/>
  <c r="I1048" i="8"/>
  <c r="G1020" i="10" s="1"/>
  <c r="I1050" i="8"/>
  <c r="G1022" i="10" s="1"/>
  <c r="I1051" i="8"/>
  <c r="G1023" i="10" s="1"/>
  <c r="I1052" i="8"/>
  <c r="G1024" i="10" s="1"/>
  <c r="I1053" i="8"/>
  <c r="G1025" i="10" s="1"/>
  <c r="I1054" i="8"/>
  <c r="G1026" i="10" s="1"/>
  <c r="I1055" i="8"/>
  <c r="G1027" i="10" s="1"/>
  <c r="I1056" i="8"/>
  <c r="G1028" i="10" s="1"/>
  <c r="I1057" i="8"/>
  <c r="G1029" i="10" s="1"/>
  <c r="I1058" i="8"/>
  <c r="G1030" i="10" s="1"/>
  <c r="I1059" i="8"/>
  <c r="G1031" i="10" s="1"/>
  <c r="I1060" i="8"/>
  <c r="I1061" i="8"/>
  <c r="G1032" i="10" s="1"/>
  <c r="I1062" i="8"/>
  <c r="G1033" i="10" s="1"/>
  <c r="I1063" i="8"/>
  <c r="G1034" i="10" s="1"/>
  <c r="I1064" i="8"/>
  <c r="G1035" i="10" s="1"/>
  <c r="I1065" i="8"/>
  <c r="G1036" i="10" s="1"/>
  <c r="I1066" i="8"/>
  <c r="G1037" i="10" s="1"/>
  <c r="I1067" i="8"/>
  <c r="G1038" i="10" s="1"/>
  <c r="I1068" i="8"/>
  <c r="G1039" i="10" s="1"/>
  <c r="I1069" i="8"/>
  <c r="I1070" i="8"/>
  <c r="G1040" i="10" s="1"/>
  <c r="I1072" i="8"/>
  <c r="G1042" i="10" s="1"/>
  <c r="I1073" i="8"/>
  <c r="G1043" i="10" s="1"/>
  <c r="I1074" i="8"/>
  <c r="G1044" i="10" s="1"/>
  <c r="I1075" i="8"/>
  <c r="G1045" i="10" s="1"/>
  <c r="I1078" i="8"/>
  <c r="G1048" i="10" s="1"/>
  <c r="I1079" i="8"/>
  <c r="I1082" i="8"/>
  <c r="G1051" i="10" s="1"/>
  <c r="I1083" i="8"/>
  <c r="I1084" i="8"/>
  <c r="G1052" i="10" s="1"/>
  <c r="I1087" i="8"/>
  <c r="G1055" i="10" s="1"/>
  <c r="I1088" i="8"/>
  <c r="G1056" i="10" s="1"/>
  <c r="I1089" i="8"/>
  <c r="G1057" i="10" s="1"/>
  <c r="I1090" i="8"/>
  <c r="G1058" i="10" s="1"/>
  <c r="I1092" i="8"/>
  <c r="I1093" i="8"/>
  <c r="G1060" i="10" s="1"/>
  <c r="I1094" i="8"/>
  <c r="G1061" i="10" s="1"/>
  <c r="I1095" i="8"/>
  <c r="G1062" i="10" s="1"/>
  <c r="I1096" i="8"/>
  <c r="G1063" i="10" s="1"/>
  <c r="I1097" i="8"/>
  <c r="G1064" i="10" s="1"/>
  <c r="I1098" i="8"/>
  <c r="G1065" i="10" s="1"/>
  <c r="I1099" i="8"/>
  <c r="G1066" i="10" s="1"/>
  <c r="I1100" i="8"/>
  <c r="G1067" i="10" s="1"/>
  <c r="I1101" i="8"/>
  <c r="G1068" i="10" s="1"/>
  <c r="I1102" i="8"/>
  <c r="G1069" i="10" s="1"/>
  <c r="I1103" i="8"/>
  <c r="G1070" i="10" s="1"/>
  <c r="I1104" i="8"/>
  <c r="G1071" i="10" s="1"/>
  <c r="I1105" i="8"/>
  <c r="G1072" i="10" s="1"/>
  <c r="I1106" i="8"/>
  <c r="G1073" i="10" s="1"/>
  <c r="I1108" i="8"/>
  <c r="G1075" i="10" s="1"/>
  <c r="I1109" i="8"/>
  <c r="G1076" i="10" s="1"/>
  <c r="I1110" i="8"/>
  <c r="G1077" i="10" s="1"/>
  <c r="I1111" i="8"/>
  <c r="G1078" i="10" s="1"/>
  <c r="I1112" i="8"/>
  <c r="G1079" i="10" s="1"/>
  <c r="I1113" i="8"/>
  <c r="G1080" i="10" s="1"/>
  <c r="I1114" i="8"/>
  <c r="G1081" i="10" s="1"/>
  <c r="I1115" i="8"/>
  <c r="I1116" i="8"/>
  <c r="G1082" i="10" s="1"/>
  <c r="H2" i="9"/>
  <c r="I2" i="9" s="1"/>
  <c r="F2" i="10" s="1"/>
  <c r="H3" i="8"/>
  <c r="I3" i="8" s="1"/>
  <c r="G3" i="10" s="1"/>
  <c r="H4" i="8"/>
  <c r="H5" i="8"/>
  <c r="H6" i="8"/>
  <c r="H7" i="8"/>
  <c r="H8" i="8"/>
  <c r="I8" i="8" s="1"/>
  <c r="G8" i="10" s="1"/>
  <c r="H9" i="8"/>
  <c r="H10" i="8"/>
  <c r="H11" i="8"/>
  <c r="H12" i="8"/>
  <c r="H13" i="8"/>
  <c r="H14" i="8"/>
  <c r="H15" i="8"/>
  <c r="I15" i="8" s="1"/>
  <c r="G12" i="10" s="1"/>
  <c r="H16" i="8"/>
  <c r="H17" i="8"/>
  <c r="H18" i="8"/>
  <c r="I18" i="8" s="1"/>
  <c r="G14" i="10" s="1"/>
  <c r="H19" i="8"/>
  <c r="H20" i="8"/>
  <c r="I20" i="8" s="1"/>
  <c r="G16" i="10" s="1"/>
  <c r="H21" i="8"/>
  <c r="I21" i="8" s="1"/>
  <c r="G17" i="10" s="1"/>
  <c r="H22" i="8"/>
  <c r="I22" i="8" s="1"/>
  <c r="G18" i="10" s="1"/>
  <c r="H23" i="8"/>
  <c r="I23" i="8" s="1"/>
  <c r="G19" i="10" s="1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I38" i="8" s="1"/>
  <c r="G30" i="10" s="1"/>
  <c r="H39" i="8"/>
  <c r="H40" i="8"/>
  <c r="H41" i="8"/>
  <c r="H42" i="8"/>
  <c r="H43" i="8"/>
  <c r="H44" i="8"/>
  <c r="I44" i="8" s="1"/>
  <c r="G34" i="10" s="1"/>
  <c r="H45" i="8"/>
  <c r="H46" i="8"/>
  <c r="H47" i="8"/>
  <c r="H48" i="8"/>
  <c r="H49" i="8"/>
  <c r="H50" i="8"/>
  <c r="H51" i="8"/>
  <c r="H52" i="8"/>
  <c r="I52" i="8" s="1"/>
  <c r="G40" i="10" s="1"/>
  <c r="H53" i="8"/>
  <c r="I53" i="8" s="1"/>
  <c r="G41" i="10" s="1"/>
  <c r="H54" i="8"/>
  <c r="I54" i="8" s="1"/>
  <c r="G42" i="10" s="1"/>
  <c r="H55" i="8"/>
  <c r="I55" i="8" s="1"/>
  <c r="G43" i="10" s="1"/>
  <c r="H56" i="8"/>
  <c r="I56" i="8" s="1"/>
  <c r="G44" i="10" s="1"/>
  <c r="H57" i="8"/>
  <c r="I57" i="8" s="1"/>
  <c r="G45" i="10" s="1"/>
  <c r="H58" i="8"/>
  <c r="I58" i="8" s="1"/>
  <c r="G46" i="10" s="1"/>
  <c r="H59" i="8"/>
  <c r="I59" i="8" s="1"/>
  <c r="G47" i="10" s="1"/>
  <c r="H60" i="8"/>
  <c r="I60" i="8" s="1"/>
  <c r="G48" i="10" s="1"/>
  <c r="H61" i="8"/>
  <c r="I61" i="8" s="1"/>
  <c r="G49" i="10" s="1"/>
  <c r="H62" i="8"/>
  <c r="H63" i="8"/>
  <c r="H64" i="8"/>
  <c r="H65" i="8"/>
  <c r="H66" i="8"/>
  <c r="H67" i="8"/>
  <c r="I67" i="8" s="1"/>
  <c r="G54" i="10" s="1"/>
  <c r="H68" i="8"/>
  <c r="I68" i="8" s="1"/>
  <c r="G55" i="10" s="1"/>
  <c r="H69" i="8"/>
  <c r="I69" i="8" s="1"/>
  <c r="G56" i="10" s="1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I86" i="8" s="1"/>
  <c r="G73" i="10" s="1"/>
  <c r="H87" i="8"/>
  <c r="I87" i="8" s="1"/>
  <c r="G74" i="10" s="1"/>
  <c r="H88" i="8"/>
  <c r="I88" i="8" s="1"/>
  <c r="G75" i="10" s="1"/>
  <c r="H89" i="8"/>
  <c r="H90" i="8"/>
  <c r="I90" i="8" s="1"/>
  <c r="G77" i="10" s="1"/>
  <c r="H91" i="8"/>
  <c r="H92" i="8"/>
  <c r="H93" i="8"/>
  <c r="H94" i="8"/>
  <c r="H95" i="8"/>
  <c r="H96" i="8"/>
  <c r="H97" i="8"/>
  <c r="H98" i="8"/>
  <c r="I98" i="8" s="1"/>
  <c r="G85" i="10" s="1"/>
  <c r="H99" i="8"/>
  <c r="I99" i="8" s="1"/>
  <c r="G86" i="10" s="1"/>
  <c r="H100" i="8"/>
  <c r="H101" i="8"/>
  <c r="H102" i="8"/>
  <c r="H103" i="8"/>
  <c r="H104" i="8"/>
  <c r="H105" i="8"/>
  <c r="H106" i="8"/>
  <c r="H107" i="8"/>
  <c r="H108" i="8"/>
  <c r="I108" i="8" s="1"/>
  <c r="G94" i="10" s="1"/>
  <c r="H109" i="8"/>
  <c r="H110" i="8"/>
  <c r="H111" i="8"/>
  <c r="H112" i="8"/>
  <c r="H113" i="8"/>
  <c r="H114" i="8"/>
  <c r="H115" i="8"/>
  <c r="H116" i="8"/>
  <c r="H117" i="8"/>
  <c r="H118" i="8"/>
  <c r="H119" i="8"/>
  <c r="H120" i="8"/>
  <c r="I120" i="8" s="1"/>
  <c r="G105" i="10" s="1"/>
  <c r="H121" i="8"/>
  <c r="I121" i="8" s="1"/>
  <c r="G106" i="10" s="1"/>
  <c r="H122" i="8"/>
  <c r="I122" i="8" s="1"/>
  <c r="G107" i="10" s="1"/>
  <c r="H123" i="8"/>
  <c r="H124" i="8"/>
  <c r="H125" i="8"/>
  <c r="H126" i="8"/>
  <c r="H127" i="8"/>
  <c r="I127" i="8" s="1"/>
  <c r="G112" i="10" s="1"/>
  <c r="H128" i="8"/>
  <c r="H129" i="8"/>
  <c r="H130" i="8"/>
  <c r="I130" i="8" s="1"/>
  <c r="G115" i="10" s="1"/>
  <c r="H131" i="8"/>
  <c r="I131" i="8" s="1"/>
  <c r="G116" i="10" s="1"/>
  <c r="H132" i="8"/>
  <c r="I132" i="8" s="1"/>
  <c r="G117" i="10" s="1"/>
  <c r="H133" i="8"/>
  <c r="H134" i="8"/>
  <c r="H135" i="8"/>
  <c r="I135" i="8" s="1"/>
  <c r="G120" i="10" s="1"/>
  <c r="H136" i="8"/>
  <c r="H137" i="8"/>
  <c r="H138" i="8"/>
  <c r="I138" i="8" s="1"/>
  <c r="G123" i="10" s="1"/>
  <c r="H139" i="8"/>
  <c r="H140" i="8"/>
  <c r="H141" i="8"/>
  <c r="H142" i="8"/>
  <c r="H143" i="8"/>
  <c r="I143" i="8" s="1"/>
  <c r="G128" i="10" s="1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I173" i="8" s="1"/>
  <c r="G155" i="10" s="1"/>
  <c r="H174" i="8"/>
  <c r="H175" i="8"/>
  <c r="H176" i="8"/>
  <c r="I176" i="8" s="1"/>
  <c r="G156" i="10" s="1"/>
  <c r="H177" i="8"/>
  <c r="H178" i="8"/>
  <c r="H179" i="8"/>
  <c r="H180" i="8"/>
  <c r="H181" i="8"/>
  <c r="H182" i="8"/>
  <c r="I182" i="8" s="1"/>
  <c r="G162" i="10" s="1"/>
  <c r="H183" i="8"/>
  <c r="H184" i="8"/>
  <c r="H185" i="8"/>
  <c r="H186" i="8"/>
  <c r="H187" i="8"/>
  <c r="I187" i="8" s="1"/>
  <c r="G163" i="10" s="1"/>
  <c r="H188" i="8"/>
  <c r="H189" i="8"/>
  <c r="H190" i="8"/>
  <c r="H191" i="8"/>
  <c r="H192" i="8"/>
  <c r="I192" i="8" s="1"/>
  <c r="G167" i="10" s="1"/>
  <c r="H193" i="8"/>
  <c r="H194" i="8"/>
  <c r="H195" i="8"/>
  <c r="H196" i="8"/>
  <c r="H197" i="8"/>
  <c r="H198" i="8"/>
  <c r="I198" i="8" s="1"/>
  <c r="G172" i="10" s="1"/>
  <c r="H199" i="8"/>
  <c r="H200" i="8"/>
  <c r="H201" i="8"/>
  <c r="H202" i="8"/>
  <c r="I202" i="8" s="1"/>
  <c r="G176" i="10" s="1"/>
  <c r="H203" i="8"/>
  <c r="H204" i="8"/>
  <c r="I204" i="8" s="1"/>
  <c r="G178" i="10" s="1"/>
  <c r="H205" i="8"/>
  <c r="H206" i="8"/>
  <c r="H207" i="8"/>
  <c r="H208" i="8"/>
  <c r="H209" i="8"/>
  <c r="H210" i="8"/>
  <c r="I210" i="8" s="1"/>
  <c r="G183" i="10" s="1"/>
  <c r="H211" i="8"/>
  <c r="H212" i="8"/>
  <c r="H213" i="8"/>
  <c r="H214" i="8"/>
  <c r="I214" i="8" s="1"/>
  <c r="G186" i="10" s="1"/>
  <c r="H215" i="8"/>
  <c r="I215" i="8" s="1"/>
  <c r="G187" i="10" s="1"/>
  <c r="H216" i="8"/>
  <c r="I216" i="8" s="1"/>
  <c r="G188" i="10" s="1"/>
  <c r="H217" i="8"/>
  <c r="I217" i="8" s="1"/>
  <c r="G189" i="10" s="1"/>
  <c r="H218" i="8"/>
  <c r="H219" i="8"/>
  <c r="H220" i="8"/>
  <c r="I220" i="8" s="1"/>
  <c r="G191" i="10" s="1"/>
  <c r="H221" i="8"/>
  <c r="H222" i="8"/>
  <c r="H223" i="8"/>
  <c r="H224" i="8"/>
  <c r="I224" i="8" s="1"/>
  <c r="G195" i="10" s="1"/>
  <c r="H225" i="8"/>
  <c r="I225" i="8" s="1"/>
  <c r="G196" i="10" s="1"/>
  <c r="H226" i="8"/>
  <c r="I226" i="8" s="1"/>
  <c r="G197" i="10" s="1"/>
  <c r="H227" i="8"/>
  <c r="I227" i="8" s="1"/>
  <c r="G198" i="10" s="1"/>
  <c r="H228" i="8"/>
  <c r="I228" i="8" s="1"/>
  <c r="G199" i="10" s="1"/>
  <c r="H229" i="8"/>
  <c r="I229" i="8" s="1"/>
  <c r="G200" i="10" s="1"/>
  <c r="H230" i="8"/>
  <c r="I230" i="8" s="1"/>
  <c r="H231" i="8"/>
  <c r="I231" i="8" s="1"/>
  <c r="G201" i="10" s="1"/>
  <c r="H232" i="8"/>
  <c r="I232" i="8" s="1"/>
  <c r="G202" i="10" s="1"/>
  <c r="H233" i="8"/>
  <c r="H234" i="8"/>
  <c r="I234" i="8" s="1"/>
  <c r="G204" i="10" s="1"/>
  <c r="H235" i="8"/>
  <c r="I235" i="8" s="1"/>
  <c r="G205" i="10" s="1"/>
  <c r="H236" i="8"/>
  <c r="H237" i="8"/>
  <c r="I237" i="8" s="1"/>
  <c r="G207" i="10" s="1"/>
  <c r="H238" i="8"/>
  <c r="H239" i="8"/>
  <c r="H240" i="8"/>
  <c r="H241" i="8"/>
  <c r="H242" i="8"/>
  <c r="H243" i="8"/>
  <c r="I243" i="8" s="1"/>
  <c r="G211" i="10" s="1"/>
  <c r="H244" i="8"/>
  <c r="I244" i="8" s="1"/>
  <c r="H245" i="8"/>
  <c r="I245" i="8" s="1"/>
  <c r="G212" i="10" s="1"/>
  <c r="H246" i="8"/>
  <c r="I246" i="8" s="1"/>
  <c r="H247" i="8"/>
  <c r="I247" i="8" s="1"/>
  <c r="G213" i="10" s="1"/>
  <c r="H248" i="8"/>
  <c r="H249" i="8"/>
  <c r="H250" i="8"/>
  <c r="I250" i="8" s="1"/>
  <c r="G214" i="10" s="1"/>
  <c r="H251" i="8"/>
  <c r="H252" i="8"/>
  <c r="H253" i="8"/>
  <c r="H254" i="8"/>
  <c r="I254" i="8" s="1"/>
  <c r="G218" i="10" s="1"/>
  <c r="H255" i="8"/>
  <c r="I255" i="8" s="1"/>
  <c r="G219" i="10" s="1"/>
  <c r="H256" i="8"/>
  <c r="I256" i="8" s="1"/>
  <c r="G220" i="10" s="1"/>
  <c r="H257" i="8"/>
  <c r="I257" i="8" s="1"/>
  <c r="G221" i="10" s="1"/>
  <c r="H258" i="8"/>
  <c r="H259" i="8"/>
  <c r="I259" i="8" s="1"/>
  <c r="G223" i="10" s="1"/>
  <c r="H260" i="8"/>
  <c r="I260" i="8" s="1"/>
  <c r="G224" i="10" s="1"/>
  <c r="H261" i="8"/>
  <c r="I261" i="8" s="1"/>
  <c r="G225" i="10" s="1"/>
  <c r="H262" i="8"/>
  <c r="I262" i="8" s="1"/>
  <c r="G226" i="10" s="1"/>
  <c r="H263" i="8"/>
  <c r="H264" i="8"/>
  <c r="I264" i="8" s="1"/>
  <c r="G228" i="10" s="1"/>
  <c r="H265" i="8"/>
  <c r="I265" i="8" s="1"/>
  <c r="G229" i="10" s="1"/>
  <c r="H266" i="8"/>
  <c r="I266" i="8" s="1"/>
  <c r="G230" i="10" s="1"/>
  <c r="H267" i="8"/>
  <c r="H268" i="8"/>
  <c r="H269" i="8"/>
  <c r="H270" i="8"/>
  <c r="H271" i="8"/>
  <c r="H272" i="8"/>
  <c r="H273" i="8"/>
  <c r="I273" i="8" s="1"/>
  <c r="G261" i="10" s="1"/>
  <c r="H274" i="8"/>
  <c r="I274" i="8" s="1"/>
  <c r="G262" i="10" s="1"/>
  <c r="H275" i="8"/>
  <c r="H276" i="8"/>
  <c r="H277" i="8"/>
  <c r="I277" i="8" s="1"/>
  <c r="G270" i="10" s="1"/>
  <c r="H278" i="8"/>
  <c r="H279" i="8"/>
  <c r="I279" i="8" s="1"/>
  <c r="G282" i="10" s="1"/>
  <c r="H280" i="8"/>
  <c r="H281" i="8"/>
  <c r="I281" i="8" s="1"/>
  <c r="G285" i="10" s="1"/>
  <c r="H282" i="8"/>
  <c r="I282" i="8" s="1"/>
  <c r="G286" i="10" s="1"/>
  <c r="H283" i="8"/>
  <c r="I283" i="8" s="1"/>
  <c r="G287" i="10" s="1"/>
  <c r="H284" i="8"/>
  <c r="H285" i="8"/>
  <c r="H286" i="8"/>
  <c r="I286" i="8" s="1"/>
  <c r="G290" i="10" s="1"/>
  <c r="H287" i="8"/>
  <c r="H288" i="8"/>
  <c r="H289" i="8"/>
  <c r="I289" i="8" s="1"/>
  <c r="G293" i="10" s="1"/>
  <c r="H290" i="8"/>
  <c r="I290" i="8" s="1"/>
  <c r="G294" i="10" s="1"/>
  <c r="H291" i="8"/>
  <c r="H292" i="8"/>
  <c r="H293" i="8"/>
  <c r="H294" i="8"/>
  <c r="H295" i="8"/>
  <c r="I295" i="8" s="1"/>
  <c r="G299" i="10" s="1"/>
  <c r="H296" i="8"/>
  <c r="H297" i="8"/>
  <c r="I297" i="8" s="1"/>
  <c r="G301" i="10" s="1"/>
  <c r="H298" i="8"/>
  <c r="H299" i="8"/>
  <c r="I299" i="8" s="1"/>
  <c r="G303" i="10" s="1"/>
  <c r="H300" i="8"/>
  <c r="I300" i="8" s="1"/>
  <c r="G304" i="10" s="1"/>
  <c r="H301" i="8"/>
  <c r="I301" i="8" s="1"/>
  <c r="G305" i="10" s="1"/>
  <c r="H302" i="8"/>
  <c r="I302" i="8" s="1"/>
  <c r="G306" i="10" s="1"/>
  <c r="H303" i="8"/>
  <c r="H304" i="8"/>
  <c r="H305" i="8"/>
  <c r="I305" i="8" s="1"/>
  <c r="G309" i="10" s="1"/>
  <c r="H306" i="8"/>
  <c r="I306" i="8" s="1"/>
  <c r="G310" i="10" s="1"/>
  <c r="H307" i="8"/>
  <c r="I307" i="8" s="1"/>
  <c r="G311" i="10" s="1"/>
  <c r="H308" i="8"/>
  <c r="I308" i="8" s="1"/>
  <c r="G312" i="10" s="1"/>
  <c r="H309" i="8"/>
  <c r="H310" i="8"/>
  <c r="H311" i="8"/>
  <c r="I311" i="8" s="1"/>
  <c r="G315" i="10" s="1"/>
  <c r="H312" i="8"/>
  <c r="I312" i="8" s="1"/>
  <c r="G316" i="10" s="1"/>
  <c r="H313" i="8"/>
  <c r="I313" i="8" s="1"/>
  <c r="G317" i="10" s="1"/>
  <c r="H314" i="8"/>
  <c r="I314" i="8" s="1"/>
  <c r="G318" i="10" s="1"/>
  <c r="H315" i="8"/>
  <c r="I315" i="8" s="1"/>
  <c r="G319" i="10" s="1"/>
  <c r="H316" i="8"/>
  <c r="I316" i="8" s="1"/>
  <c r="G320" i="10" s="1"/>
  <c r="H317" i="8"/>
  <c r="H318" i="8"/>
  <c r="I318" i="8" s="1"/>
  <c r="G322" i="10" s="1"/>
  <c r="H319" i="8"/>
  <c r="I319" i="8" s="1"/>
  <c r="G323" i="10" s="1"/>
  <c r="H320" i="8"/>
  <c r="I320" i="8" s="1"/>
  <c r="G324" i="10" s="1"/>
  <c r="H321" i="8"/>
  <c r="I321" i="8" s="1"/>
  <c r="G325" i="10" s="1"/>
  <c r="H322" i="8"/>
  <c r="H323" i="8"/>
  <c r="I323" i="8" s="1"/>
  <c r="G327" i="10" s="1"/>
  <c r="H324" i="8"/>
  <c r="I324" i="8" s="1"/>
  <c r="G328" i="10" s="1"/>
  <c r="H325" i="8"/>
  <c r="H326" i="8"/>
  <c r="H327" i="8"/>
  <c r="H328" i="8"/>
  <c r="H329" i="8"/>
  <c r="I329" i="8" s="1"/>
  <c r="G333" i="10" s="1"/>
  <c r="H330" i="8"/>
  <c r="I330" i="8" s="1"/>
  <c r="G334" i="10" s="1"/>
  <c r="H331" i="8"/>
  <c r="I331" i="8" s="1"/>
  <c r="G335" i="10" s="1"/>
  <c r="H332" i="8"/>
  <c r="H333" i="8"/>
  <c r="H334" i="8"/>
  <c r="H335" i="8"/>
  <c r="I335" i="8" s="1"/>
  <c r="G338" i="10" s="1"/>
  <c r="H336" i="8"/>
  <c r="I336" i="8" s="1"/>
  <c r="G339" i="10" s="1"/>
  <c r="H337" i="8"/>
  <c r="I337" i="8" s="1"/>
  <c r="G340" i="10" s="1"/>
  <c r="H338" i="8"/>
  <c r="I338" i="8" s="1"/>
  <c r="G341" i="10" s="1"/>
  <c r="H339" i="8"/>
  <c r="I339" i="8" s="1"/>
  <c r="G342" i="10" s="1"/>
  <c r="H340" i="8"/>
  <c r="I340" i="8" s="1"/>
  <c r="G343" i="10" s="1"/>
  <c r="H341" i="8"/>
  <c r="I341" i="8" s="1"/>
  <c r="G344" i="10" s="1"/>
  <c r="H342" i="8"/>
  <c r="H343" i="8"/>
  <c r="H344" i="8"/>
  <c r="I344" i="8" s="1"/>
  <c r="G347" i="10" s="1"/>
  <c r="H345" i="8"/>
  <c r="I345" i="8" s="1"/>
  <c r="G348" i="10" s="1"/>
  <c r="H346" i="8"/>
  <c r="H347" i="8"/>
  <c r="I347" i="8" s="1"/>
  <c r="G350" i="10" s="1"/>
  <c r="H348" i="8"/>
  <c r="I348" i="8" s="1"/>
  <c r="G351" i="10" s="1"/>
  <c r="H349" i="8"/>
  <c r="H350" i="8"/>
  <c r="I350" i="8" s="1"/>
  <c r="G353" i="10" s="1"/>
  <c r="H351" i="8"/>
  <c r="I351" i="8" s="1"/>
  <c r="G354" i="10" s="1"/>
  <c r="H352" i="8"/>
  <c r="I352" i="8" s="1"/>
  <c r="G355" i="10" s="1"/>
  <c r="H353" i="8"/>
  <c r="I353" i="8" s="1"/>
  <c r="G356" i="10" s="1"/>
  <c r="H354" i="8"/>
  <c r="H355" i="8"/>
  <c r="H356" i="8"/>
  <c r="I356" i="8" s="1"/>
  <c r="G359" i="10" s="1"/>
  <c r="H357" i="8"/>
  <c r="I357" i="8" s="1"/>
  <c r="G360" i="10" s="1"/>
  <c r="H358" i="8"/>
  <c r="I358" i="8" s="1"/>
  <c r="G361" i="10" s="1"/>
  <c r="H359" i="8"/>
  <c r="I359" i="8" s="1"/>
  <c r="G362" i="10" s="1"/>
  <c r="H360" i="8"/>
  <c r="I360" i="8" s="1"/>
  <c r="G363" i="10" s="1"/>
  <c r="H361" i="8"/>
  <c r="H362" i="8"/>
  <c r="I362" i="8" s="1"/>
  <c r="G365" i="10" s="1"/>
  <c r="H363" i="8"/>
  <c r="I363" i="8" s="1"/>
  <c r="G366" i="10" s="1"/>
  <c r="H364" i="8"/>
  <c r="I364" i="8" s="1"/>
  <c r="G367" i="10" s="1"/>
  <c r="H365" i="8"/>
  <c r="I365" i="8" s="1"/>
  <c r="G368" i="10" s="1"/>
  <c r="H366" i="8"/>
  <c r="H367" i="8"/>
  <c r="H368" i="8"/>
  <c r="H369" i="8"/>
  <c r="H370" i="8"/>
  <c r="H371" i="8"/>
  <c r="I371" i="8" s="1"/>
  <c r="G374" i="10" s="1"/>
  <c r="H372" i="8"/>
  <c r="H373" i="8"/>
  <c r="H374" i="8"/>
  <c r="H375" i="8"/>
  <c r="H376" i="8"/>
  <c r="H377" i="8"/>
  <c r="H378" i="8"/>
  <c r="H379" i="8"/>
  <c r="H380" i="8"/>
  <c r="H381" i="8"/>
  <c r="I381" i="8" s="1"/>
  <c r="G383" i="10" s="1"/>
  <c r="H382" i="8"/>
  <c r="H383" i="8"/>
  <c r="H384" i="8"/>
  <c r="H385" i="8"/>
  <c r="I385" i="8" s="1"/>
  <c r="G387" i="10" s="1"/>
  <c r="H386" i="8"/>
  <c r="I386" i="8" s="1"/>
  <c r="G388" i="10" s="1"/>
  <c r="H387" i="8"/>
  <c r="H388" i="8"/>
  <c r="I388" i="8" s="1"/>
  <c r="G390" i="10" s="1"/>
  <c r="H389" i="8"/>
  <c r="H390" i="8"/>
  <c r="I390" i="8" s="1"/>
  <c r="G392" i="10" s="1"/>
  <c r="H391" i="8"/>
  <c r="I391" i="8" s="1"/>
  <c r="G393" i="10" s="1"/>
  <c r="H392" i="8"/>
  <c r="I392" i="8" s="1"/>
  <c r="G394" i="10" s="1"/>
  <c r="H393" i="8"/>
  <c r="H394" i="8"/>
  <c r="I394" i="8" s="1"/>
  <c r="G396" i="10" s="1"/>
  <c r="H395" i="8"/>
  <c r="I395" i="8" s="1"/>
  <c r="G397" i="10" s="1"/>
  <c r="H396" i="8"/>
  <c r="I396" i="8" s="1"/>
  <c r="G398" i="10" s="1"/>
  <c r="H397" i="8"/>
  <c r="I397" i="8" s="1"/>
  <c r="H398" i="8"/>
  <c r="H399" i="8"/>
  <c r="H400" i="8"/>
  <c r="I400" i="8" s="1"/>
  <c r="G401" i="10" s="1"/>
  <c r="H401" i="8"/>
  <c r="H402" i="8"/>
  <c r="H403" i="8"/>
  <c r="I403" i="8" s="1"/>
  <c r="G404" i="10" s="1"/>
  <c r="H404" i="8"/>
  <c r="I404" i="8" s="1"/>
  <c r="G405" i="10" s="1"/>
  <c r="H405" i="8"/>
  <c r="I405" i="8" s="1"/>
  <c r="G406" i="10" s="1"/>
  <c r="H406" i="8"/>
  <c r="I406" i="8" s="1"/>
  <c r="G407" i="10" s="1"/>
  <c r="H407" i="8"/>
  <c r="I407" i="8" s="1"/>
  <c r="G408" i="10" s="1"/>
  <c r="H408" i="8"/>
  <c r="I408" i="8" s="1"/>
  <c r="G409" i="10" s="1"/>
  <c r="H409" i="8"/>
  <c r="H410" i="8"/>
  <c r="I410" i="8" s="1"/>
  <c r="G411" i="10" s="1"/>
  <c r="H411" i="8"/>
  <c r="I411" i="8" s="1"/>
  <c r="G412" i="10" s="1"/>
  <c r="H412" i="8"/>
  <c r="H413" i="8"/>
  <c r="H414" i="8"/>
  <c r="H415" i="8"/>
  <c r="H416" i="8"/>
  <c r="I416" i="8" s="1"/>
  <c r="G417" i="10" s="1"/>
  <c r="H417" i="8"/>
  <c r="I417" i="8" s="1"/>
  <c r="G418" i="10" s="1"/>
  <c r="H418" i="8"/>
  <c r="H419" i="8"/>
  <c r="H420" i="8"/>
  <c r="H421" i="8"/>
  <c r="I421" i="8" s="1"/>
  <c r="G422" i="10" s="1"/>
  <c r="H422" i="8"/>
  <c r="I422" i="8" s="1"/>
  <c r="G423" i="10" s="1"/>
  <c r="H423" i="8"/>
  <c r="I423" i="8" s="1"/>
  <c r="G424" i="10" s="1"/>
  <c r="H424" i="8"/>
  <c r="I424" i="8" s="1"/>
  <c r="G425" i="10" s="1"/>
  <c r="H425" i="8"/>
  <c r="I425" i="8" s="1"/>
  <c r="G426" i="10" s="1"/>
  <c r="H426" i="8"/>
  <c r="I426" i="8" s="1"/>
  <c r="G427" i="10" s="1"/>
  <c r="H427" i="8"/>
  <c r="I427" i="8" s="1"/>
  <c r="G428" i="10" s="1"/>
  <c r="H428" i="8"/>
  <c r="H429" i="8"/>
  <c r="H430" i="8"/>
  <c r="H431" i="8"/>
  <c r="H432" i="8"/>
  <c r="H433" i="8"/>
  <c r="H434" i="8"/>
  <c r="I434" i="8" s="1"/>
  <c r="G434" i="10" s="1"/>
  <c r="H435" i="8"/>
  <c r="H436" i="8"/>
  <c r="I436" i="8" s="1"/>
  <c r="G436" i="10" s="1"/>
  <c r="H437" i="8"/>
  <c r="I437" i="8" s="1"/>
  <c r="G437" i="10" s="1"/>
  <c r="H438" i="8"/>
  <c r="I438" i="8" s="1"/>
  <c r="H439" i="8"/>
  <c r="I439" i="8" s="1"/>
  <c r="G438" i="10" s="1"/>
  <c r="H440" i="8"/>
  <c r="I440" i="8" s="1"/>
  <c r="G439" i="10" s="1"/>
  <c r="H441" i="8"/>
  <c r="I441" i="8" s="1"/>
  <c r="G440" i="10" s="1"/>
  <c r="H442" i="8"/>
  <c r="H443" i="8"/>
  <c r="I443" i="8" s="1"/>
  <c r="G442" i="10" s="1"/>
  <c r="H444" i="8"/>
  <c r="I444" i="8" s="1"/>
  <c r="G443" i="10" s="1"/>
  <c r="H445" i="8"/>
  <c r="H446" i="8"/>
  <c r="I446" i="8" s="1"/>
  <c r="G445" i="10" s="1"/>
  <c r="H447" i="8"/>
  <c r="I447" i="8" s="1"/>
  <c r="G446" i="10" s="1"/>
  <c r="H448" i="8"/>
  <c r="I448" i="8" s="1"/>
  <c r="G447" i="10" s="1"/>
  <c r="H449" i="8"/>
  <c r="I449" i="8" s="1"/>
  <c r="G448" i="10" s="1"/>
  <c r="H450" i="8"/>
  <c r="I450" i="8" s="1"/>
  <c r="G449" i="10" s="1"/>
  <c r="H451" i="8"/>
  <c r="I451" i="8" s="1"/>
  <c r="G450" i="10" s="1"/>
  <c r="H452" i="8"/>
  <c r="I452" i="8" s="1"/>
  <c r="G451" i="10" s="1"/>
  <c r="H453" i="8"/>
  <c r="H454" i="8"/>
  <c r="H455" i="8"/>
  <c r="H456" i="8"/>
  <c r="H457" i="8"/>
  <c r="H458" i="8"/>
  <c r="H459" i="8"/>
  <c r="H460" i="8"/>
  <c r="H461" i="8"/>
  <c r="H462" i="8"/>
  <c r="H463" i="8"/>
  <c r="I463" i="8" s="1"/>
  <c r="G461" i="10" s="1"/>
  <c r="H464" i="8"/>
  <c r="I464" i="8" s="1"/>
  <c r="G462" i="10" s="1"/>
  <c r="H465" i="8"/>
  <c r="I465" i="8" s="1"/>
  <c r="G463" i="10" s="1"/>
  <c r="H466" i="8"/>
  <c r="H467" i="8"/>
  <c r="I467" i="8" s="1"/>
  <c r="G465" i="10" s="1"/>
  <c r="H468" i="8"/>
  <c r="I468" i="8" s="1"/>
  <c r="G466" i="10" s="1"/>
  <c r="H469" i="8"/>
  <c r="H470" i="8"/>
  <c r="H471" i="8"/>
  <c r="I471" i="8" s="1"/>
  <c r="G469" i="10" s="1"/>
  <c r="H472" i="8"/>
  <c r="I472" i="8" s="1"/>
  <c r="G470" i="10" s="1"/>
  <c r="H473" i="8"/>
  <c r="I473" i="8" s="1"/>
  <c r="G471" i="10" s="1"/>
  <c r="H474" i="8"/>
  <c r="I474" i="8" s="1"/>
  <c r="G472" i="10" s="1"/>
  <c r="H475" i="8"/>
  <c r="I475" i="8" s="1"/>
  <c r="G473" i="10" s="1"/>
  <c r="H476" i="8"/>
  <c r="I476" i="8" s="1"/>
  <c r="G474" i="10" s="1"/>
  <c r="H477" i="8"/>
  <c r="H478" i="8"/>
  <c r="H479" i="8"/>
  <c r="H480" i="8"/>
  <c r="I480" i="8" s="1"/>
  <c r="G478" i="10" s="1"/>
  <c r="H481" i="8"/>
  <c r="H482" i="8"/>
  <c r="H483" i="8"/>
  <c r="I483" i="8" s="1"/>
  <c r="G481" i="10" s="1"/>
  <c r="H484" i="8"/>
  <c r="I484" i="8" s="1"/>
  <c r="G482" i="10" s="1"/>
  <c r="H485" i="8"/>
  <c r="H486" i="8"/>
  <c r="H487" i="8"/>
  <c r="H488" i="8"/>
  <c r="H489" i="8"/>
  <c r="I489" i="8" s="1"/>
  <c r="G487" i="10" s="1"/>
  <c r="H490" i="8"/>
  <c r="I490" i="8" s="1"/>
  <c r="G488" i="10" s="1"/>
  <c r="H491" i="8"/>
  <c r="H492" i="8"/>
  <c r="H493" i="8"/>
  <c r="H494" i="8"/>
  <c r="I494" i="8" s="1"/>
  <c r="G492" i="10" s="1"/>
  <c r="H495" i="8"/>
  <c r="H496" i="8"/>
  <c r="H497" i="8"/>
  <c r="H498" i="8"/>
  <c r="H499" i="8"/>
  <c r="H500" i="8"/>
  <c r="I500" i="8" s="1"/>
  <c r="G498" i="10" s="1"/>
  <c r="H501" i="8"/>
  <c r="H502" i="8"/>
  <c r="H503" i="8"/>
  <c r="H504" i="8"/>
  <c r="I504" i="8" s="1"/>
  <c r="G501" i="10" s="1"/>
  <c r="H505" i="8"/>
  <c r="H506" i="8"/>
  <c r="H507" i="8"/>
  <c r="I507" i="8" s="1"/>
  <c r="G504" i="10" s="1"/>
  <c r="H508" i="8"/>
  <c r="I508" i="8" s="1"/>
  <c r="G505" i="10" s="1"/>
  <c r="H509" i="8"/>
  <c r="I509" i="8" s="1"/>
  <c r="G506" i="10" s="1"/>
  <c r="H510" i="8"/>
  <c r="H511" i="8"/>
  <c r="H512" i="8"/>
  <c r="I512" i="8" s="1"/>
  <c r="G508" i="10" s="1"/>
  <c r="H513" i="8"/>
  <c r="I513" i="8" s="1"/>
  <c r="G509" i="10" s="1"/>
  <c r="H514" i="8"/>
  <c r="H515" i="8"/>
  <c r="I515" i="8" s="1"/>
  <c r="G511" i="10" s="1"/>
  <c r="H516" i="8"/>
  <c r="H517" i="8"/>
  <c r="I517" i="8" s="1"/>
  <c r="G513" i="10" s="1"/>
  <c r="H518" i="8"/>
  <c r="I518" i="8" s="1"/>
  <c r="G514" i="10" s="1"/>
  <c r="H519" i="8"/>
  <c r="H520" i="8"/>
  <c r="I520" i="8" s="1"/>
  <c r="G516" i="10" s="1"/>
  <c r="H521" i="8"/>
  <c r="I521" i="8" s="1"/>
  <c r="G517" i="10" s="1"/>
  <c r="H522" i="8"/>
  <c r="H523" i="8"/>
  <c r="H524" i="8"/>
  <c r="H525" i="8"/>
  <c r="H526" i="8"/>
  <c r="I526" i="8" s="1"/>
  <c r="G522" i="10" s="1"/>
  <c r="H527" i="8"/>
  <c r="H528" i="8"/>
  <c r="H529" i="8"/>
  <c r="I529" i="8" s="1"/>
  <c r="G525" i="10" s="1"/>
  <c r="H530" i="8"/>
  <c r="I530" i="8" s="1"/>
  <c r="G526" i="10" s="1"/>
  <c r="H531" i="8"/>
  <c r="I531" i="8" s="1"/>
  <c r="G527" i="10" s="1"/>
  <c r="H532" i="8"/>
  <c r="I532" i="8" s="1"/>
  <c r="G528" i="10" s="1"/>
  <c r="H533" i="8"/>
  <c r="I533" i="8" s="1"/>
  <c r="G529" i="10" s="1"/>
  <c r="H534" i="8"/>
  <c r="I534" i="8" s="1"/>
  <c r="G530" i="10" s="1"/>
  <c r="H535" i="8"/>
  <c r="I535" i="8" s="1"/>
  <c r="G531" i="10" s="1"/>
  <c r="H536" i="8"/>
  <c r="H537" i="8"/>
  <c r="H538" i="8"/>
  <c r="H539" i="8"/>
  <c r="H540" i="8"/>
  <c r="H541" i="8"/>
  <c r="I541" i="8" s="1"/>
  <c r="G537" i="10" s="1"/>
  <c r="H542" i="8"/>
  <c r="I542" i="8" s="1"/>
  <c r="G538" i="10" s="1"/>
  <c r="H543" i="8"/>
  <c r="H544" i="8"/>
  <c r="H545" i="8"/>
  <c r="H546" i="8"/>
  <c r="H547" i="8"/>
  <c r="H548" i="8"/>
  <c r="H549" i="8"/>
  <c r="H550" i="8"/>
  <c r="H551" i="8"/>
  <c r="H552" i="8"/>
  <c r="I552" i="8" s="1"/>
  <c r="G548" i="10" s="1"/>
  <c r="H553" i="8"/>
  <c r="I553" i="8" s="1"/>
  <c r="G549" i="10" s="1"/>
  <c r="H554" i="8"/>
  <c r="H555" i="8"/>
  <c r="H556" i="8"/>
  <c r="I556" i="8" s="1"/>
  <c r="G552" i="10" s="1"/>
  <c r="H557" i="8"/>
  <c r="H558" i="8"/>
  <c r="H559" i="8"/>
  <c r="H560" i="8"/>
  <c r="H561" i="8"/>
  <c r="I561" i="8" s="1"/>
  <c r="G557" i="10" s="1"/>
  <c r="H562" i="8"/>
  <c r="I562" i="8" s="1"/>
  <c r="G558" i="10" s="1"/>
  <c r="H563" i="8"/>
  <c r="H564" i="8"/>
  <c r="H565" i="8"/>
  <c r="I565" i="8" s="1"/>
  <c r="G561" i="10" s="1"/>
  <c r="H566" i="8"/>
  <c r="I566" i="8" s="1"/>
  <c r="G562" i="10" s="1"/>
  <c r="H567" i="8"/>
  <c r="I567" i="8" s="1"/>
  <c r="G563" i="10" s="1"/>
  <c r="H568" i="8"/>
  <c r="H569" i="8"/>
  <c r="I569" i="8" s="1"/>
  <c r="G565" i="10" s="1"/>
  <c r="H570" i="8"/>
  <c r="I570" i="8" s="1"/>
  <c r="G566" i="10" s="1"/>
  <c r="H571" i="8"/>
  <c r="I571" i="8" s="1"/>
  <c r="G567" i="10" s="1"/>
  <c r="H572" i="8"/>
  <c r="H573" i="8"/>
  <c r="I573" i="8" s="1"/>
  <c r="G569" i="10" s="1"/>
  <c r="H574" i="8"/>
  <c r="H575" i="8"/>
  <c r="I575" i="8" s="1"/>
  <c r="G571" i="10" s="1"/>
  <c r="H576" i="8"/>
  <c r="I576" i="8" s="1"/>
  <c r="G572" i="10" s="1"/>
  <c r="H577" i="8"/>
  <c r="H578" i="8"/>
  <c r="I578" i="8" s="1"/>
  <c r="G574" i="10" s="1"/>
  <c r="H579" i="8"/>
  <c r="I579" i="8" s="1"/>
  <c r="G575" i="10" s="1"/>
  <c r="H580" i="8"/>
  <c r="I580" i="8" s="1"/>
  <c r="G576" i="10" s="1"/>
  <c r="H581" i="8"/>
  <c r="H582" i="8"/>
  <c r="H583" i="8"/>
  <c r="H584" i="8"/>
  <c r="H585" i="8"/>
  <c r="H586" i="8"/>
  <c r="H587" i="8"/>
  <c r="H588" i="8"/>
  <c r="H589" i="8"/>
  <c r="I589" i="8" s="1"/>
  <c r="G585" i="10" s="1"/>
  <c r="H590" i="8"/>
  <c r="I590" i="8" s="1"/>
  <c r="G586" i="10" s="1"/>
  <c r="H591" i="8"/>
  <c r="I591" i="8" s="1"/>
  <c r="G587" i="10" s="1"/>
  <c r="H592" i="8"/>
  <c r="I592" i="8" s="1"/>
  <c r="G588" i="10" s="1"/>
  <c r="H593" i="8"/>
  <c r="I593" i="8" s="1"/>
  <c r="G589" i="10" s="1"/>
  <c r="H594" i="8"/>
  <c r="I594" i="8" s="1"/>
  <c r="G590" i="10" s="1"/>
  <c r="H595" i="8"/>
  <c r="I595" i="8" s="1"/>
  <c r="G591" i="10" s="1"/>
  <c r="H596" i="8"/>
  <c r="H597" i="8"/>
  <c r="H598" i="8"/>
  <c r="I598" i="8" s="1"/>
  <c r="G594" i="10" s="1"/>
  <c r="H599" i="8"/>
  <c r="I599" i="8" s="1"/>
  <c r="G595" i="10" s="1"/>
  <c r="H600" i="8"/>
  <c r="I600" i="8" s="1"/>
  <c r="G596" i="10" s="1"/>
  <c r="H601" i="8"/>
  <c r="I601" i="8" s="1"/>
  <c r="G597" i="10" s="1"/>
  <c r="H602" i="8"/>
  <c r="I602" i="8" s="1"/>
  <c r="G598" i="10" s="1"/>
  <c r="H603" i="8"/>
  <c r="I603" i="8" s="1"/>
  <c r="G599" i="10" s="1"/>
  <c r="H604" i="8"/>
  <c r="I604" i="8" s="1"/>
  <c r="G600" i="10" s="1"/>
  <c r="H605" i="8"/>
  <c r="I605" i="8" s="1"/>
  <c r="G601" i="10" s="1"/>
  <c r="H606" i="8"/>
  <c r="I606" i="8" s="1"/>
  <c r="G602" i="10" s="1"/>
  <c r="H607" i="8"/>
  <c r="I607" i="8" s="1"/>
  <c r="G603" i="10" s="1"/>
  <c r="H608" i="8"/>
  <c r="I608" i="8" s="1"/>
  <c r="G604" i="10" s="1"/>
  <c r="H609" i="8"/>
  <c r="H610" i="8"/>
  <c r="I610" i="8" s="1"/>
  <c r="G606" i="10" s="1"/>
  <c r="H611" i="8"/>
  <c r="I611" i="8" s="1"/>
  <c r="H612" i="8"/>
  <c r="I612" i="8" s="1"/>
  <c r="G607" i="10" s="1"/>
  <c r="H613" i="8"/>
  <c r="I613" i="8" s="1"/>
  <c r="G608" i="10" s="1"/>
  <c r="H614" i="8"/>
  <c r="I614" i="8" s="1"/>
  <c r="G609" i="10" s="1"/>
  <c r="H615" i="8"/>
  <c r="I615" i="8" s="1"/>
  <c r="G610" i="10" s="1"/>
  <c r="H616" i="8"/>
  <c r="I616" i="8" s="1"/>
  <c r="G611" i="10" s="1"/>
  <c r="H617" i="8"/>
  <c r="H618" i="8"/>
  <c r="I618" i="8" s="1"/>
  <c r="G613" i="10" s="1"/>
  <c r="H619" i="8"/>
  <c r="I619" i="8" s="1"/>
  <c r="G614" i="10" s="1"/>
  <c r="H620" i="8"/>
  <c r="I620" i="8" s="1"/>
  <c r="G615" i="10" s="1"/>
  <c r="H621" i="8"/>
  <c r="I621" i="8" s="1"/>
  <c r="G616" i="10" s="1"/>
  <c r="H622" i="8"/>
  <c r="I622" i="8" s="1"/>
  <c r="G617" i="10" s="1"/>
  <c r="H623" i="8"/>
  <c r="I623" i="8" s="1"/>
  <c r="G618" i="10" s="1"/>
  <c r="H624" i="8"/>
  <c r="I624" i="8" s="1"/>
  <c r="G619" i="10" s="1"/>
  <c r="H625" i="8"/>
  <c r="I625" i="8" s="1"/>
  <c r="H626" i="8"/>
  <c r="I626" i="8" s="1"/>
  <c r="G620" i="10" s="1"/>
  <c r="H627" i="8"/>
  <c r="I627" i="8" s="1"/>
  <c r="G621" i="10" s="1"/>
  <c r="H628" i="8"/>
  <c r="I628" i="8" s="1"/>
  <c r="G622" i="10" s="1"/>
  <c r="H629" i="8"/>
  <c r="I629" i="8" s="1"/>
  <c r="G623" i="10" s="1"/>
  <c r="H630" i="8"/>
  <c r="I630" i="8" s="1"/>
  <c r="G624" i="10" s="1"/>
  <c r="H631" i="8"/>
  <c r="I631" i="8" s="1"/>
  <c r="G625" i="10" s="1"/>
  <c r="H632" i="8"/>
  <c r="H633" i="8"/>
  <c r="I633" i="8" s="1"/>
  <c r="G627" i="10" s="1"/>
  <c r="H634" i="8"/>
  <c r="I634" i="8" s="1"/>
  <c r="G628" i="10" s="1"/>
  <c r="H635" i="8"/>
  <c r="I635" i="8" s="1"/>
  <c r="G629" i="10" s="1"/>
  <c r="H636" i="8"/>
  <c r="I636" i="8" s="1"/>
  <c r="G630" i="10" s="1"/>
  <c r="H637" i="8"/>
  <c r="I637" i="8" s="1"/>
  <c r="G631" i="10" s="1"/>
  <c r="H638" i="8"/>
  <c r="I638" i="8" s="1"/>
  <c r="G632" i="10" s="1"/>
  <c r="H639" i="8"/>
  <c r="I639" i="8" s="1"/>
  <c r="G633" i="10" s="1"/>
  <c r="H640" i="8"/>
  <c r="I640" i="8" s="1"/>
  <c r="G634" i="10" s="1"/>
  <c r="H641" i="8"/>
  <c r="I641" i="8" s="1"/>
  <c r="G635" i="10" s="1"/>
  <c r="H642" i="8"/>
  <c r="I642" i="8" s="1"/>
  <c r="G636" i="10" s="1"/>
  <c r="H643" i="8"/>
  <c r="I643" i="8" s="1"/>
  <c r="G637" i="10" s="1"/>
  <c r="H644" i="8"/>
  <c r="I644" i="8" s="1"/>
  <c r="G638" i="10" s="1"/>
  <c r="H645" i="8"/>
  <c r="I645" i="8" s="1"/>
  <c r="G639" i="10" s="1"/>
  <c r="H646" i="8"/>
  <c r="I646" i="8" s="1"/>
  <c r="G640" i="10" s="1"/>
  <c r="H647" i="8"/>
  <c r="I647" i="8" s="1"/>
  <c r="G641" i="10" s="1"/>
  <c r="H648" i="8"/>
  <c r="I648" i="8" s="1"/>
  <c r="G642" i="10" s="1"/>
  <c r="H649" i="8"/>
  <c r="I649" i="8" s="1"/>
  <c r="G643" i="10" s="1"/>
  <c r="H650" i="8"/>
  <c r="I650" i="8" s="1"/>
  <c r="G644" i="10" s="1"/>
  <c r="H651" i="8"/>
  <c r="I651" i="8" s="1"/>
  <c r="G645" i="10" s="1"/>
  <c r="H652" i="8"/>
  <c r="I652" i="8" s="1"/>
  <c r="G647" i="10" s="1"/>
  <c r="H653" i="8"/>
  <c r="I653" i="8" s="1"/>
  <c r="G648" i="10" s="1"/>
  <c r="H654" i="8"/>
  <c r="I654" i="8" s="1"/>
  <c r="G649" i="10" s="1"/>
  <c r="H655" i="8"/>
  <c r="H656" i="8"/>
  <c r="I656" i="8" s="1"/>
  <c r="G651" i="10" s="1"/>
  <c r="H657" i="8"/>
  <c r="I657" i="8" s="1"/>
  <c r="G652" i="10" s="1"/>
  <c r="H658" i="8"/>
  <c r="I658" i="8" s="1"/>
  <c r="G653" i="10" s="1"/>
  <c r="H659" i="8"/>
  <c r="I659" i="8" s="1"/>
  <c r="G654" i="10" s="1"/>
  <c r="H660" i="8"/>
  <c r="H661" i="8"/>
  <c r="I661" i="8" s="1"/>
  <c r="G656" i="10" s="1"/>
  <c r="H662" i="8"/>
  <c r="I662" i="8" s="1"/>
  <c r="G657" i="10" s="1"/>
  <c r="H663" i="8"/>
  <c r="I663" i="8" s="1"/>
  <c r="G658" i="10" s="1"/>
  <c r="H664" i="8"/>
  <c r="I664" i="8" s="1"/>
  <c r="G659" i="10" s="1"/>
  <c r="H665" i="8"/>
  <c r="H666" i="8"/>
  <c r="I666" i="8" s="1"/>
  <c r="G661" i="10" s="1"/>
  <c r="H667" i="8"/>
  <c r="I667" i="8" s="1"/>
  <c r="G662" i="10" s="1"/>
  <c r="H668" i="8"/>
  <c r="I668" i="8" s="1"/>
  <c r="G663" i="10" s="1"/>
  <c r="H669" i="8"/>
  <c r="I669" i="8" s="1"/>
  <c r="G664" i="10" s="1"/>
  <c r="H670" i="8"/>
  <c r="I670" i="8" s="1"/>
  <c r="H671" i="8"/>
  <c r="I671" i="8" s="1"/>
  <c r="G665" i="10" s="1"/>
  <c r="H672" i="8"/>
  <c r="I672" i="8" s="1"/>
  <c r="G666" i="10" s="1"/>
  <c r="H673" i="8"/>
  <c r="I673" i="8" s="1"/>
  <c r="G667" i="10" s="1"/>
  <c r="H674" i="8"/>
  <c r="I674" i="8" s="1"/>
  <c r="G668" i="10" s="1"/>
  <c r="H675" i="8"/>
  <c r="I675" i="8" s="1"/>
  <c r="G669" i="10" s="1"/>
  <c r="H676" i="8"/>
  <c r="H677" i="8"/>
  <c r="I677" i="8" s="1"/>
  <c r="G671" i="10" s="1"/>
  <c r="H678" i="8"/>
  <c r="I678" i="8" s="1"/>
  <c r="G672" i="10" s="1"/>
  <c r="H679" i="8"/>
  <c r="I679" i="8" s="1"/>
  <c r="G673" i="10" s="1"/>
  <c r="H680" i="8"/>
  <c r="I680" i="8" s="1"/>
  <c r="G674" i="10" s="1"/>
  <c r="H681" i="8"/>
  <c r="I681" i="8" s="1"/>
  <c r="G675" i="10" s="1"/>
  <c r="H682" i="8"/>
  <c r="I682" i="8" s="1"/>
  <c r="G676" i="10" s="1"/>
  <c r="H683" i="8"/>
  <c r="I683" i="8" s="1"/>
  <c r="G677" i="10" s="1"/>
  <c r="H684" i="8"/>
  <c r="I684" i="8" s="1"/>
  <c r="G678" i="10" s="1"/>
  <c r="H685" i="8"/>
  <c r="I685" i="8" s="1"/>
  <c r="G679" i="10" s="1"/>
  <c r="H686" i="8"/>
  <c r="I686" i="8" s="1"/>
  <c r="G680" i="10" s="1"/>
  <c r="H687" i="8"/>
  <c r="I687" i="8" s="1"/>
  <c r="H688" i="8"/>
  <c r="I688" i="8" s="1"/>
  <c r="G681" i="10" s="1"/>
  <c r="H689" i="8"/>
  <c r="H690" i="8"/>
  <c r="H691" i="8"/>
  <c r="I691" i="8" s="1"/>
  <c r="G684" i="10" s="1"/>
  <c r="H692" i="8"/>
  <c r="I692" i="8" s="1"/>
  <c r="G685" i="10" s="1"/>
  <c r="H693" i="8"/>
  <c r="I693" i="8" s="1"/>
  <c r="G686" i="10" s="1"/>
  <c r="H694" i="8"/>
  <c r="I694" i="8" s="1"/>
  <c r="G687" i="10" s="1"/>
  <c r="H695" i="8"/>
  <c r="I695" i="8" s="1"/>
  <c r="G688" i="10" s="1"/>
  <c r="H696" i="8"/>
  <c r="I696" i="8" s="1"/>
  <c r="G689" i="10" s="1"/>
  <c r="H697" i="8"/>
  <c r="I697" i="8" s="1"/>
  <c r="G690" i="10" s="1"/>
  <c r="H698" i="8"/>
  <c r="I698" i="8" s="1"/>
  <c r="G691" i="10" s="1"/>
  <c r="H699" i="8"/>
  <c r="I699" i="8" s="1"/>
  <c r="G692" i="10" s="1"/>
  <c r="H700" i="8"/>
  <c r="I700" i="8" s="1"/>
  <c r="G693" i="10" s="1"/>
  <c r="H701" i="8"/>
  <c r="H702" i="8"/>
  <c r="I702" i="8" s="1"/>
  <c r="G695" i="10" s="1"/>
  <c r="H703" i="8"/>
  <c r="I703" i="8" s="1"/>
  <c r="G696" i="10" s="1"/>
  <c r="H704" i="8"/>
  <c r="I704" i="8" s="1"/>
  <c r="G697" i="10" s="1"/>
  <c r="H705" i="8"/>
  <c r="I705" i="8" s="1"/>
  <c r="G698" i="10" s="1"/>
  <c r="H706" i="8"/>
  <c r="I706" i="8" s="1"/>
  <c r="G699" i="10" s="1"/>
  <c r="H707" i="8"/>
  <c r="I707" i="8" s="1"/>
  <c r="G700" i="10" s="1"/>
  <c r="H708" i="8"/>
  <c r="I708" i="8" s="1"/>
  <c r="G701" i="10" s="1"/>
  <c r="H709" i="8"/>
  <c r="I709" i="8" s="1"/>
  <c r="G702" i="10" s="1"/>
  <c r="H710" i="8"/>
  <c r="I710" i="8" s="1"/>
  <c r="G703" i="10" s="1"/>
  <c r="H711" i="8"/>
  <c r="I711" i="8" s="1"/>
  <c r="G704" i="10" s="1"/>
  <c r="H712" i="8"/>
  <c r="I712" i="8" s="1"/>
  <c r="G705" i="10" s="1"/>
  <c r="H713" i="8"/>
  <c r="I713" i="8" s="1"/>
  <c r="G706" i="10" s="1"/>
  <c r="H714" i="8"/>
  <c r="I714" i="8" s="1"/>
  <c r="G707" i="10" s="1"/>
  <c r="H715" i="8"/>
  <c r="I715" i="8" s="1"/>
  <c r="G708" i="10" s="1"/>
  <c r="H716" i="8"/>
  <c r="I716" i="8" s="1"/>
  <c r="G709" i="10" s="1"/>
  <c r="H717" i="8"/>
  <c r="I717" i="8" s="1"/>
  <c r="G710" i="10" s="1"/>
  <c r="H718" i="8"/>
  <c r="I718" i="8" s="1"/>
  <c r="G711" i="10" s="1"/>
  <c r="H719" i="8"/>
  <c r="I719" i="8" s="1"/>
  <c r="G712" i="10" s="1"/>
  <c r="H720" i="8"/>
  <c r="I720" i="8" s="1"/>
  <c r="G713" i="10" s="1"/>
  <c r="H721" i="8"/>
  <c r="I721" i="8" s="1"/>
  <c r="G714" i="10" s="1"/>
  <c r="H722" i="8"/>
  <c r="I722" i="8" s="1"/>
  <c r="G715" i="10" s="1"/>
  <c r="H723" i="8"/>
  <c r="I723" i="8" s="1"/>
  <c r="G716" i="10" s="1"/>
  <c r="H724" i="8"/>
  <c r="I724" i="8" s="1"/>
  <c r="G717" i="10" s="1"/>
  <c r="H725" i="8"/>
  <c r="I725" i="8" s="1"/>
  <c r="G718" i="10" s="1"/>
  <c r="H726" i="8"/>
  <c r="I726" i="8" s="1"/>
  <c r="G719" i="10" s="1"/>
  <c r="H727" i="8"/>
  <c r="I727" i="8" s="1"/>
  <c r="G720" i="10" s="1"/>
  <c r="H728" i="8"/>
  <c r="I728" i="8" s="1"/>
  <c r="G721" i="10" s="1"/>
  <c r="H729" i="8"/>
  <c r="I729" i="8" s="1"/>
  <c r="G722" i="10" s="1"/>
  <c r="H730" i="8"/>
  <c r="I730" i="8" s="1"/>
  <c r="G723" i="10" s="1"/>
  <c r="H731" i="8"/>
  <c r="I731" i="8" s="1"/>
  <c r="G724" i="10" s="1"/>
  <c r="H732" i="8"/>
  <c r="I732" i="8" s="1"/>
  <c r="G725" i="10" s="1"/>
  <c r="H733" i="8"/>
  <c r="I733" i="8" s="1"/>
  <c r="G726" i="10" s="1"/>
  <c r="H734" i="8"/>
  <c r="I734" i="8" s="1"/>
  <c r="G727" i="10" s="1"/>
  <c r="H735" i="8"/>
  <c r="I735" i="8" s="1"/>
  <c r="G728" i="10" s="1"/>
  <c r="H736" i="8"/>
  <c r="I736" i="8" s="1"/>
  <c r="G729" i="10" s="1"/>
  <c r="H737" i="8"/>
  <c r="H738" i="8"/>
  <c r="I738" i="8" s="1"/>
  <c r="G731" i="10" s="1"/>
  <c r="H739" i="8"/>
  <c r="I739" i="8" s="1"/>
  <c r="G732" i="10" s="1"/>
  <c r="H740" i="8"/>
  <c r="I740" i="8" s="1"/>
  <c r="G733" i="10" s="1"/>
  <c r="H741" i="8"/>
  <c r="I741" i="8" s="1"/>
  <c r="G734" i="10" s="1"/>
  <c r="H742" i="8"/>
  <c r="I742" i="8" s="1"/>
  <c r="G735" i="10" s="1"/>
  <c r="H743" i="8"/>
  <c r="I743" i="8" s="1"/>
  <c r="G736" i="10" s="1"/>
  <c r="H744" i="8"/>
  <c r="I744" i="8" s="1"/>
  <c r="G737" i="10" s="1"/>
  <c r="H745" i="8"/>
  <c r="I745" i="8" s="1"/>
  <c r="G738" i="10" s="1"/>
  <c r="H746" i="8"/>
  <c r="I746" i="8" s="1"/>
  <c r="G739" i="10" s="1"/>
  <c r="H747" i="8"/>
  <c r="I747" i="8" s="1"/>
  <c r="G740" i="10" s="1"/>
  <c r="H748" i="8"/>
  <c r="I748" i="8" s="1"/>
  <c r="G741" i="10" s="1"/>
  <c r="H749" i="8"/>
  <c r="I749" i="8" s="1"/>
  <c r="G742" i="10" s="1"/>
  <c r="H750" i="8"/>
  <c r="I750" i="8" s="1"/>
  <c r="G743" i="10" s="1"/>
  <c r="H751" i="8"/>
  <c r="I751" i="8" s="1"/>
  <c r="G744" i="10" s="1"/>
  <c r="H752" i="8"/>
  <c r="I752" i="8" s="1"/>
  <c r="G745" i="10" s="1"/>
  <c r="H753" i="8"/>
  <c r="I753" i="8" s="1"/>
  <c r="G746" i="10" s="1"/>
  <c r="H754" i="8"/>
  <c r="I754" i="8" s="1"/>
  <c r="G747" i="10" s="1"/>
  <c r="H755" i="8"/>
  <c r="I755" i="8" s="1"/>
  <c r="G748" i="10" s="1"/>
  <c r="H756" i="8"/>
  <c r="I756" i="8" s="1"/>
  <c r="G749" i="10" s="1"/>
  <c r="H757" i="8"/>
  <c r="I757" i="8" s="1"/>
  <c r="G750" i="10" s="1"/>
  <c r="H758" i="8"/>
  <c r="H759" i="8"/>
  <c r="I759" i="8" s="1"/>
  <c r="G752" i="10" s="1"/>
  <c r="H760" i="8"/>
  <c r="H761" i="8"/>
  <c r="I761" i="8" s="1"/>
  <c r="G753" i="10" s="1"/>
  <c r="H762" i="8"/>
  <c r="I762" i="8" s="1"/>
  <c r="G754" i="10" s="1"/>
  <c r="H763" i="8"/>
  <c r="I763" i="8" s="1"/>
  <c r="G755" i="10" s="1"/>
  <c r="H764" i="8"/>
  <c r="I764" i="8" s="1"/>
  <c r="G756" i="10" s="1"/>
  <c r="H765" i="8"/>
  <c r="I765" i="8" s="1"/>
  <c r="G757" i="10" s="1"/>
  <c r="H766" i="8"/>
  <c r="I766" i="8" s="1"/>
  <c r="G758" i="10" s="1"/>
  <c r="H767" i="8"/>
  <c r="I767" i="8" s="1"/>
  <c r="G759" i="10" s="1"/>
  <c r="H768" i="8"/>
  <c r="I768" i="8" s="1"/>
  <c r="G760" i="10" s="1"/>
  <c r="H769" i="8"/>
  <c r="I769" i="8" s="1"/>
  <c r="G761" i="10" s="1"/>
  <c r="H770" i="8"/>
  <c r="H771" i="8"/>
  <c r="I771" i="8" s="1"/>
  <c r="G763" i="10" s="1"/>
  <c r="H772" i="8"/>
  <c r="I772" i="8" s="1"/>
  <c r="G764" i="10" s="1"/>
  <c r="H773" i="8"/>
  <c r="I773" i="8" s="1"/>
  <c r="G765" i="10" s="1"/>
  <c r="H774" i="8"/>
  <c r="I774" i="8" s="1"/>
  <c r="G766" i="10" s="1"/>
  <c r="H775" i="8"/>
  <c r="I775" i="8" s="1"/>
  <c r="G767" i="10" s="1"/>
  <c r="H776" i="8"/>
  <c r="I776" i="8" s="1"/>
  <c r="G768" i="10" s="1"/>
  <c r="H777" i="8"/>
  <c r="I777" i="8" s="1"/>
  <c r="G769" i="10" s="1"/>
  <c r="H778" i="8"/>
  <c r="I778" i="8" s="1"/>
  <c r="G770" i="10" s="1"/>
  <c r="H779" i="8"/>
  <c r="I779" i="8" s="1"/>
  <c r="G771" i="10" s="1"/>
  <c r="H780" i="8"/>
  <c r="I780" i="8" s="1"/>
  <c r="G772" i="10" s="1"/>
  <c r="H781" i="8"/>
  <c r="I781" i="8" s="1"/>
  <c r="G773" i="10" s="1"/>
  <c r="H782" i="8"/>
  <c r="I782" i="8" s="1"/>
  <c r="G774" i="10" s="1"/>
  <c r="H783" i="8"/>
  <c r="I783" i="8" s="1"/>
  <c r="G775" i="10" s="1"/>
  <c r="H784" i="8"/>
  <c r="I784" i="8" s="1"/>
  <c r="G776" i="10" s="1"/>
  <c r="H785" i="8"/>
  <c r="I785" i="8" s="1"/>
  <c r="G777" i="10" s="1"/>
  <c r="H786" i="8"/>
  <c r="I786" i="8" s="1"/>
  <c r="G778" i="10" s="1"/>
  <c r="H787" i="8"/>
  <c r="I787" i="8" s="1"/>
  <c r="G779" i="10" s="1"/>
  <c r="H788" i="8"/>
  <c r="I788" i="8" s="1"/>
  <c r="G780" i="10" s="1"/>
  <c r="H789" i="8"/>
  <c r="I789" i="8" s="1"/>
  <c r="G781" i="10" s="1"/>
  <c r="H790" i="8"/>
  <c r="I790" i="8" s="1"/>
  <c r="G782" i="10" s="1"/>
  <c r="H791" i="8"/>
  <c r="I791" i="8" s="1"/>
  <c r="G783" i="10" s="1"/>
  <c r="H792" i="8"/>
  <c r="I792" i="8" s="1"/>
  <c r="G784" i="10" s="1"/>
  <c r="H793" i="8"/>
  <c r="H794" i="8"/>
  <c r="I794" i="8" s="1"/>
  <c r="G785" i="10" s="1"/>
  <c r="H795" i="8"/>
  <c r="I795" i="8" s="1"/>
  <c r="G786" i="10" s="1"/>
  <c r="H796" i="8"/>
  <c r="I796" i="8" s="1"/>
  <c r="G787" i="10" s="1"/>
  <c r="H797" i="8"/>
  <c r="I797" i="8" s="1"/>
  <c r="G788" i="10" s="1"/>
  <c r="H798" i="8"/>
  <c r="I798" i="8" s="1"/>
  <c r="G789" i="10" s="1"/>
  <c r="H799" i="8"/>
  <c r="I799" i="8" s="1"/>
  <c r="G790" i="10" s="1"/>
  <c r="H800" i="8"/>
  <c r="I800" i="8" s="1"/>
  <c r="G791" i="10" s="1"/>
  <c r="H801" i="8"/>
  <c r="I801" i="8" s="1"/>
  <c r="G792" i="10" s="1"/>
  <c r="H802" i="8"/>
  <c r="I802" i="8" s="1"/>
  <c r="G793" i="10" s="1"/>
  <c r="H803" i="8"/>
  <c r="I803" i="8" s="1"/>
  <c r="G794" i="10" s="1"/>
  <c r="H804" i="8"/>
  <c r="I804" i="8" s="1"/>
  <c r="G795" i="10" s="1"/>
  <c r="H805" i="8"/>
  <c r="I805" i="8" s="1"/>
  <c r="G796" i="10" s="1"/>
  <c r="H806" i="8"/>
  <c r="H807" i="8"/>
  <c r="I807" i="8" s="1"/>
  <c r="G798" i="10" s="1"/>
  <c r="H808" i="8"/>
  <c r="I808" i="8" s="1"/>
  <c r="G799" i="10" s="1"/>
  <c r="H809" i="8"/>
  <c r="I809" i="8" s="1"/>
  <c r="G800" i="10" s="1"/>
  <c r="H810" i="8"/>
  <c r="I810" i="8" s="1"/>
  <c r="H811" i="8"/>
  <c r="I811" i="8" s="1"/>
  <c r="G801" i="10" s="1"/>
  <c r="H812" i="8"/>
  <c r="I812" i="8" s="1"/>
  <c r="G802" i="10" s="1"/>
  <c r="H813" i="8"/>
  <c r="I813" i="8" s="1"/>
  <c r="G803" i="10" s="1"/>
  <c r="H814" i="8"/>
  <c r="H815" i="8"/>
  <c r="I815" i="8" s="1"/>
  <c r="G805" i="10" s="1"/>
  <c r="H816" i="8"/>
  <c r="I816" i="8" s="1"/>
  <c r="G806" i="10" s="1"/>
  <c r="H817" i="8"/>
  <c r="I817" i="8" s="1"/>
  <c r="G807" i="10" s="1"/>
  <c r="H818" i="8"/>
  <c r="I818" i="8" s="1"/>
  <c r="G808" i="10" s="1"/>
  <c r="H819" i="8"/>
  <c r="I819" i="8" s="1"/>
  <c r="G809" i="10" s="1"/>
  <c r="H820" i="8"/>
  <c r="I820" i="8" s="1"/>
  <c r="G810" i="10" s="1"/>
  <c r="H821" i="8"/>
  <c r="I821" i="8" s="1"/>
  <c r="G811" i="10" s="1"/>
  <c r="H822" i="8"/>
  <c r="I822" i="8" s="1"/>
  <c r="G812" i="10" s="1"/>
  <c r="H823" i="8"/>
  <c r="I823" i="8" s="1"/>
  <c r="G813" i="10" s="1"/>
  <c r="H824" i="8"/>
  <c r="I824" i="8" s="1"/>
  <c r="G814" i="10" s="1"/>
  <c r="H825" i="8"/>
  <c r="I825" i="8" s="1"/>
  <c r="G815" i="10" s="1"/>
  <c r="H826" i="8"/>
  <c r="I826" i="8" s="1"/>
  <c r="G816" i="10" s="1"/>
  <c r="H827" i="8"/>
  <c r="I827" i="8" s="1"/>
  <c r="G817" i="10" s="1"/>
  <c r="H828" i="8"/>
  <c r="I828" i="8" s="1"/>
  <c r="G818" i="10" s="1"/>
  <c r="H829" i="8"/>
  <c r="I829" i="8" s="1"/>
  <c r="G819" i="10" s="1"/>
  <c r="H830" i="8"/>
  <c r="H831" i="8"/>
  <c r="I831" i="8" s="1"/>
  <c r="G821" i="10" s="1"/>
  <c r="H832" i="8"/>
  <c r="I832" i="8" s="1"/>
  <c r="G822" i="10" s="1"/>
  <c r="H833" i="8"/>
  <c r="I833" i="8" s="1"/>
  <c r="G823" i="10" s="1"/>
  <c r="H834" i="8"/>
  <c r="I834" i="8" s="1"/>
  <c r="G824" i="10" s="1"/>
  <c r="H835" i="8"/>
  <c r="H836" i="8"/>
  <c r="I836" i="8" s="1"/>
  <c r="G826" i="10" s="1"/>
  <c r="H837" i="8"/>
  <c r="I837" i="8" s="1"/>
  <c r="G827" i="10" s="1"/>
  <c r="H838" i="8"/>
  <c r="I838" i="8" s="1"/>
  <c r="G828" i="10" s="1"/>
  <c r="H839" i="8"/>
  <c r="I839" i="8" s="1"/>
  <c r="G829" i="10" s="1"/>
  <c r="H840" i="8"/>
  <c r="H841" i="8"/>
  <c r="I841" i="8" s="1"/>
  <c r="G830" i="10" s="1"/>
  <c r="H842" i="8"/>
  <c r="I842" i="8" s="1"/>
  <c r="G831" i="10" s="1"/>
  <c r="H843" i="8"/>
  <c r="I843" i="8" s="1"/>
  <c r="G832" i="10" s="1"/>
  <c r="H844" i="8"/>
  <c r="I844" i="8" s="1"/>
  <c r="G833" i="10" s="1"/>
  <c r="H845" i="8"/>
  <c r="I845" i="8" s="1"/>
  <c r="G834" i="10" s="1"/>
  <c r="H846" i="8"/>
  <c r="I846" i="8" s="1"/>
  <c r="G835" i="10" s="1"/>
  <c r="H847" i="8"/>
  <c r="H848" i="8"/>
  <c r="I848" i="8" s="1"/>
  <c r="G837" i="10" s="1"/>
  <c r="H849" i="8"/>
  <c r="I849" i="8" s="1"/>
  <c r="G838" i="10" s="1"/>
  <c r="H850" i="8"/>
  <c r="I850" i="8" s="1"/>
  <c r="G839" i="10" s="1"/>
  <c r="H851" i="8"/>
  <c r="I851" i="8" s="1"/>
  <c r="G840" i="10" s="1"/>
  <c r="H852" i="8"/>
  <c r="I852" i="8" s="1"/>
  <c r="G841" i="10" s="1"/>
  <c r="H853" i="8"/>
  <c r="I853" i="8" s="1"/>
  <c r="G842" i="10" s="1"/>
  <c r="H854" i="8"/>
  <c r="I854" i="8" s="1"/>
  <c r="G843" i="10" s="1"/>
  <c r="H855" i="8"/>
  <c r="I855" i="8" s="1"/>
  <c r="G844" i="10" s="1"/>
  <c r="H856" i="8"/>
  <c r="I856" i="8" s="1"/>
  <c r="G845" i="10" s="1"/>
  <c r="H857" i="8"/>
  <c r="I857" i="8" s="1"/>
  <c r="G846" i="10" s="1"/>
  <c r="H858" i="8"/>
  <c r="I858" i="8" s="1"/>
  <c r="G847" i="10" s="1"/>
  <c r="H859" i="8"/>
  <c r="I859" i="8" s="1"/>
  <c r="G848" i="10" s="1"/>
  <c r="H860" i="8"/>
  <c r="I860" i="8" s="1"/>
  <c r="G849" i="10" s="1"/>
  <c r="H861" i="8"/>
  <c r="I861" i="8" s="1"/>
  <c r="H862" i="8"/>
  <c r="I862" i="8" s="1"/>
  <c r="G850" i="10" s="1"/>
  <c r="H863" i="8"/>
  <c r="I863" i="8" s="1"/>
  <c r="G851" i="10" s="1"/>
  <c r="H864" i="8"/>
  <c r="I864" i="8" s="1"/>
  <c r="H865" i="8"/>
  <c r="I865" i="8" s="1"/>
  <c r="G852" i="10" s="1"/>
  <c r="H866" i="8"/>
  <c r="I866" i="8" s="1"/>
  <c r="G853" i="10" s="1"/>
  <c r="H867" i="8"/>
  <c r="I867" i="8" s="1"/>
  <c r="G854" i="10" s="1"/>
  <c r="H868" i="8"/>
  <c r="I868" i="8" s="1"/>
  <c r="G855" i="10" s="1"/>
  <c r="H869" i="8"/>
  <c r="I869" i="8" s="1"/>
  <c r="G856" i="10" s="1"/>
  <c r="H870" i="8"/>
  <c r="I870" i="8" s="1"/>
  <c r="G857" i="10" s="1"/>
  <c r="H871" i="8"/>
  <c r="I871" i="8" s="1"/>
  <c r="G858" i="10" s="1"/>
  <c r="H872" i="8"/>
  <c r="I872" i="8" s="1"/>
  <c r="G859" i="10" s="1"/>
  <c r="H873" i="8"/>
  <c r="I873" i="8" s="1"/>
  <c r="G860" i="10" s="1"/>
  <c r="H874" i="8"/>
  <c r="I874" i="8" s="1"/>
  <c r="G861" i="10" s="1"/>
  <c r="H875" i="8"/>
  <c r="H876" i="8"/>
  <c r="I876" i="8" s="1"/>
  <c r="H877" i="8"/>
  <c r="I877" i="8" s="1"/>
  <c r="H878" i="8"/>
  <c r="I878" i="8" s="1"/>
  <c r="G863" i="10" s="1"/>
  <c r="H879" i="8"/>
  <c r="I879" i="8" s="1"/>
  <c r="G864" i="10" s="1"/>
  <c r="H880" i="8"/>
  <c r="I880" i="8" s="1"/>
  <c r="G865" i="10" s="1"/>
  <c r="H881" i="8"/>
  <c r="I881" i="8" s="1"/>
  <c r="G866" i="10" s="1"/>
  <c r="H882" i="8"/>
  <c r="I882" i="8" s="1"/>
  <c r="G867" i="10" s="1"/>
  <c r="H883" i="8"/>
  <c r="I883" i="8" s="1"/>
  <c r="G868" i="10" s="1"/>
  <c r="H884" i="8"/>
  <c r="I884" i="8" s="1"/>
  <c r="G869" i="10" s="1"/>
  <c r="H885" i="8"/>
  <c r="I885" i="8" s="1"/>
  <c r="G870" i="10" s="1"/>
  <c r="H886" i="8"/>
  <c r="I886" i="8" s="1"/>
  <c r="G871" i="10" s="1"/>
  <c r="H887" i="8"/>
  <c r="I887" i="8" s="1"/>
  <c r="G872" i="10" s="1"/>
  <c r="H888" i="8"/>
  <c r="I888" i="8" s="1"/>
  <c r="G873" i="10" s="1"/>
  <c r="H889" i="8"/>
  <c r="I889" i="8" s="1"/>
  <c r="G874" i="10" s="1"/>
  <c r="H890" i="8"/>
  <c r="I890" i="8" s="1"/>
  <c r="G875" i="10" s="1"/>
  <c r="H891" i="8"/>
  <c r="I891" i="8" s="1"/>
  <c r="G876" i="10" s="1"/>
  <c r="H892" i="8"/>
  <c r="I892" i="8" s="1"/>
  <c r="G877" i="10" s="1"/>
  <c r="H893" i="8"/>
  <c r="I893" i="8" s="1"/>
  <c r="G878" i="10" s="1"/>
  <c r="H894" i="8"/>
  <c r="I894" i="8" s="1"/>
  <c r="G879" i="10" s="1"/>
  <c r="H895" i="8"/>
  <c r="I895" i="8" s="1"/>
  <c r="G880" i="10" s="1"/>
  <c r="H896" i="8"/>
  <c r="I896" i="8" s="1"/>
  <c r="G881" i="10" s="1"/>
  <c r="H897" i="8"/>
  <c r="H898" i="8"/>
  <c r="I898" i="8" s="1"/>
  <c r="G883" i="10" s="1"/>
  <c r="H899" i="8"/>
  <c r="I899" i="8" s="1"/>
  <c r="G884" i="10" s="1"/>
  <c r="H900" i="8"/>
  <c r="I900" i="8" s="1"/>
  <c r="G885" i="10" s="1"/>
  <c r="H901" i="8"/>
  <c r="I901" i="8" s="1"/>
  <c r="G886" i="10" s="1"/>
  <c r="H902" i="8"/>
  <c r="I902" i="8" s="1"/>
  <c r="G887" i="10" s="1"/>
  <c r="H903" i="8"/>
  <c r="I903" i="8" s="1"/>
  <c r="G888" i="10" s="1"/>
  <c r="H904" i="8"/>
  <c r="I904" i="8" s="1"/>
  <c r="G889" i="10" s="1"/>
  <c r="H905" i="8"/>
  <c r="I905" i="8" s="1"/>
  <c r="G890" i="10" s="1"/>
  <c r="H906" i="8"/>
  <c r="I906" i="8" s="1"/>
  <c r="G891" i="10" s="1"/>
  <c r="H907" i="8"/>
  <c r="I907" i="8" s="1"/>
  <c r="G892" i="10" s="1"/>
  <c r="H908" i="8"/>
  <c r="I908" i="8" s="1"/>
  <c r="G893" i="10" s="1"/>
  <c r="H909" i="8"/>
  <c r="I909" i="8" s="1"/>
  <c r="G894" i="10" s="1"/>
  <c r="H910" i="8"/>
  <c r="I910" i="8" s="1"/>
  <c r="G895" i="10" s="1"/>
  <c r="H911" i="8"/>
  <c r="I911" i="8" s="1"/>
  <c r="G896" i="10" s="1"/>
  <c r="H912" i="8"/>
  <c r="I912" i="8" s="1"/>
  <c r="G897" i="10" s="1"/>
  <c r="H913" i="8"/>
  <c r="I913" i="8" s="1"/>
  <c r="G898" i="10" s="1"/>
  <c r="H914" i="8"/>
  <c r="I914" i="8" s="1"/>
  <c r="G899" i="10" s="1"/>
  <c r="H915" i="8"/>
  <c r="I915" i="8" s="1"/>
  <c r="G900" i="10" s="1"/>
  <c r="H916" i="8"/>
  <c r="I916" i="8" s="1"/>
  <c r="G901" i="10" s="1"/>
  <c r="H917" i="8"/>
  <c r="I917" i="8" s="1"/>
  <c r="G902" i="10" s="1"/>
  <c r="H918" i="8"/>
  <c r="I918" i="8" s="1"/>
  <c r="G903" i="10" s="1"/>
  <c r="H919" i="8"/>
  <c r="I919" i="8" s="1"/>
  <c r="G904" i="10" s="1"/>
  <c r="H920" i="8"/>
  <c r="I920" i="8" s="1"/>
  <c r="G905" i="10" s="1"/>
  <c r="H921" i="8"/>
  <c r="I921" i="8" s="1"/>
  <c r="G906" i="10" s="1"/>
  <c r="H922" i="8"/>
  <c r="H923" i="8"/>
  <c r="I923" i="8" s="1"/>
  <c r="G908" i="10" s="1"/>
  <c r="H924" i="8"/>
  <c r="I924" i="8" s="1"/>
  <c r="G909" i="10" s="1"/>
  <c r="H925" i="8"/>
  <c r="H926" i="8"/>
  <c r="H927" i="8"/>
  <c r="H928" i="8"/>
  <c r="H929" i="8"/>
  <c r="H930" i="8"/>
  <c r="H931" i="8"/>
  <c r="H932" i="8"/>
  <c r="H933" i="8"/>
  <c r="H934" i="8"/>
  <c r="I934" i="8" s="1"/>
  <c r="G919" i="10" s="1"/>
  <c r="H935" i="8"/>
  <c r="H936" i="8"/>
  <c r="H937" i="8"/>
  <c r="H938" i="8"/>
  <c r="H939" i="8"/>
  <c r="H940" i="8"/>
  <c r="H941" i="8"/>
  <c r="H942" i="8"/>
  <c r="H943" i="8"/>
  <c r="H944" i="8"/>
  <c r="H945" i="8"/>
  <c r="I945" i="8" s="1"/>
  <c r="G927" i="10" s="1"/>
  <c r="H946" i="8"/>
  <c r="I946" i="8" s="1"/>
  <c r="G928" i="10" s="1"/>
  <c r="H947" i="8"/>
  <c r="H948" i="8"/>
  <c r="I948" i="8" s="1"/>
  <c r="G930" i="10" s="1"/>
  <c r="H949" i="8"/>
  <c r="I949" i="8" s="1"/>
  <c r="G931" i="10" s="1"/>
  <c r="H950" i="8"/>
  <c r="I950" i="8" s="1"/>
  <c r="G932" i="10" s="1"/>
  <c r="H951" i="8"/>
  <c r="I951" i="8" s="1"/>
  <c r="G933" i="10" s="1"/>
  <c r="H952" i="8"/>
  <c r="I952" i="8" s="1"/>
  <c r="G934" i="10" s="1"/>
  <c r="H953" i="8"/>
  <c r="H954" i="8"/>
  <c r="I954" i="8" s="1"/>
  <c r="G935" i="10" s="1"/>
  <c r="H955" i="8"/>
  <c r="I955" i="8" s="1"/>
  <c r="G936" i="10" s="1"/>
  <c r="H956" i="8"/>
  <c r="I956" i="8" s="1"/>
  <c r="G937" i="10" s="1"/>
  <c r="H957" i="8"/>
  <c r="I957" i="8" s="1"/>
  <c r="G938" i="10" s="1"/>
  <c r="H958" i="8"/>
  <c r="I958" i="8" s="1"/>
  <c r="G939" i="10" s="1"/>
  <c r="H959" i="8"/>
  <c r="H960" i="8"/>
  <c r="H961" i="8"/>
  <c r="H962" i="8"/>
  <c r="H963" i="8"/>
  <c r="H964" i="8"/>
  <c r="H965" i="8"/>
  <c r="H966" i="8"/>
  <c r="H967" i="8"/>
  <c r="I967" i="8" s="1"/>
  <c r="H968" i="8"/>
  <c r="I968" i="8" s="1"/>
  <c r="G946" i="10" s="1"/>
  <c r="H969" i="8"/>
  <c r="I969" i="8" s="1"/>
  <c r="G947" i="10" s="1"/>
  <c r="H970" i="8"/>
  <c r="H971" i="8"/>
  <c r="H972" i="8"/>
  <c r="I972" i="8" s="1"/>
  <c r="G950" i="10" s="1"/>
  <c r="H973" i="8"/>
  <c r="I973" i="8" s="1"/>
  <c r="G951" i="10" s="1"/>
  <c r="H974" i="8"/>
  <c r="I974" i="8" s="1"/>
  <c r="G952" i="10" s="1"/>
  <c r="H975" i="8"/>
  <c r="I975" i="8" s="1"/>
  <c r="G953" i="10" s="1"/>
  <c r="H976" i="8"/>
  <c r="H977" i="8"/>
  <c r="H978" i="8"/>
  <c r="H979" i="8"/>
  <c r="H980" i="8"/>
  <c r="H981" i="8"/>
  <c r="H982" i="8"/>
  <c r="H983" i="8"/>
  <c r="H984" i="8"/>
  <c r="I984" i="8" s="1"/>
  <c r="G960" i="10" s="1"/>
  <c r="H985" i="8"/>
  <c r="I985" i="8" s="1"/>
  <c r="G961" i="10" s="1"/>
  <c r="H986" i="8"/>
  <c r="H987" i="8"/>
  <c r="H988" i="8"/>
  <c r="H989" i="8"/>
  <c r="H990" i="8"/>
  <c r="H991" i="8"/>
  <c r="H992" i="8"/>
  <c r="I992" i="8" s="1"/>
  <c r="G967" i="10" s="1"/>
  <c r="H993" i="8"/>
  <c r="H994" i="8"/>
  <c r="H995" i="8"/>
  <c r="H996" i="8"/>
  <c r="H997" i="8"/>
  <c r="H998" i="8"/>
  <c r="H999" i="8"/>
  <c r="I999" i="8" s="1"/>
  <c r="G973" i="10" s="1"/>
  <c r="H1000" i="8"/>
  <c r="I1000" i="8" s="1"/>
  <c r="G974" i="10" s="1"/>
  <c r="H1001" i="8"/>
  <c r="H1002" i="8"/>
  <c r="I1002" i="8" s="1"/>
  <c r="G976" i="10" s="1"/>
  <c r="H1003" i="8"/>
  <c r="I1003" i="8" s="1"/>
  <c r="G977" i="10" s="1"/>
  <c r="H1004" i="8"/>
  <c r="H1005" i="8"/>
  <c r="I1005" i="8" s="1"/>
  <c r="G979" i="10" s="1"/>
  <c r="H1006" i="8"/>
  <c r="I1006" i="8" s="1"/>
  <c r="G980" i="10" s="1"/>
  <c r="H1007" i="8"/>
  <c r="I1007" i="8" s="1"/>
  <c r="G981" i="10" s="1"/>
  <c r="H1008" i="8"/>
  <c r="H1009" i="8"/>
  <c r="H1010" i="8"/>
  <c r="I1010" i="8" s="1"/>
  <c r="G984" i="10" s="1"/>
  <c r="H1011" i="8"/>
  <c r="H1012" i="8"/>
  <c r="H1013" i="8"/>
  <c r="H1014" i="8"/>
  <c r="H1015" i="8"/>
  <c r="H1016" i="8"/>
  <c r="H1017" i="8"/>
  <c r="H1018" i="8"/>
  <c r="H1019" i="8"/>
  <c r="I1019" i="8" s="1"/>
  <c r="G991" i="10" s="1"/>
  <c r="H1020" i="8"/>
  <c r="I1020" i="8" s="1"/>
  <c r="G992" i="10" s="1"/>
  <c r="H1021" i="8"/>
  <c r="I1021" i="8" s="1"/>
  <c r="G993" i="10" s="1"/>
  <c r="H1022" i="8"/>
  <c r="I1022" i="8" s="1"/>
  <c r="G994" i="10" s="1"/>
  <c r="H1023" i="8"/>
  <c r="I1023" i="8" s="1"/>
  <c r="G995" i="10" s="1"/>
  <c r="H1024" i="8"/>
  <c r="I1024" i="8" s="1"/>
  <c r="G996" i="10" s="1"/>
  <c r="H1025" i="8"/>
  <c r="I1025" i="8" s="1"/>
  <c r="G997" i="10" s="1"/>
  <c r="H1026" i="8"/>
  <c r="I1026" i="8" s="1"/>
  <c r="G998" i="10" s="1"/>
  <c r="H1027" i="8"/>
  <c r="I1027" i="8" s="1"/>
  <c r="G999" i="10" s="1"/>
  <c r="H1028" i="8"/>
  <c r="H1029" i="8"/>
  <c r="H1030" i="8"/>
  <c r="H1031" i="8"/>
  <c r="H1032" i="8"/>
  <c r="H1033" i="8"/>
  <c r="H1034" i="8"/>
  <c r="H1035" i="8"/>
  <c r="H1036" i="8"/>
  <c r="I1036" i="8" s="1"/>
  <c r="G1008" i="10" s="1"/>
  <c r="H1037" i="8"/>
  <c r="I1037" i="8" s="1"/>
  <c r="G1009" i="10" s="1"/>
  <c r="H1038" i="8"/>
  <c r="H1039" i="8"/>
  <c r="H1040" i="8"/>
  <c r="H1041" i="8"/>
  <c r="H1042" i="8"/>
  <c r="H1043" i="8"/>
  <c r="I1043" i="8" s="1"/>
  <c r="G1015" i="10" s="1"/>
  <c r="H1044" i="8"/>
  <c r="I1044" i="8" s="1"/>
  <c r="G1016" i="10" s="1"/>
  <c r="H1045" i="8"/>
  <c r="I1045" i="8" s="1"/>
  <c r="G1017" i="10" s="1"/>
  <c r="H1046" i="8"/>
  <c r="H1047" i="8"/>
  <c r="H1048" i="8"/>
  <c r="H1049" i="8"/>
  <c r="I1049" i="8" s="1"/>
  <c r="G1021" i="10" s="1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I1071" i="8" s="1"/>
  <c r="G1041" i="10" s="1"/>
  <c r="H1072" i="8"/>
  <c r="H1073" i="8"/>
  <c r="H1074" i="8"/>
  <c r="H1075" i="8"/>
  <c r="H1076" i="8"/>
  <c r="I1076" i="8" s="1"/>
  <c r="G1046" i="10" s="1"/>
  <c r="H1077" i="8"/>
  <c r="I1077" i="8" s="1"/>
  <c r="G1047" i="10" s="1"/>
  <c r="H1078" i="8"/>
  <c r="H1079" i="8"/>
  <c r="H1080" i="8"/>
  <c r="I1080" i="8" s="1"/>
  <c r="G1049" i="10" s="1"/>
  <c r="H1081" i="8"/>
  <c r="I1081" i="8" s="1"/>
  <c r="G1050" i="10" s="1"/>
  <c r="H1082" i="8"/>
  <c r="H1083" i="8"/>
  <c r="H1084" i="8"/>
  <c r="H1085" i="8"/>
  <c r="I1085" i="8" s="1"/>
  <c r="G1053" i="10" s="1"/>
  <c r="H1086" i="8"/>
  <c r="I1086" i="8" s="1"/>
  <c r="G1054" i="10" s="1"/>
  <c r="H1087" i="8"/>
  <c r="H1088" i="8"/>
  <c r="H1089" i="8"/>
  <c r="H1090" i="8"/>
  <c r="H1091" i="8"/>
  <c r="I1091" i="8" s="1"/>
  <c r="G1059" i="10" s="1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I1107" i="8" s="1"/>
  <c r="G1074" i="10" s="1"/>
  <c r="H1108" i="8"/>
  <c r="H1109" i="8"/>
  <c r="H1110" i="8"/>
  <c r="H1111" i="8"/>
  <c r="H1112" i="8"/>
  <c r="H1113" i="8"/>
  <c r="H1114" i="8"/>
  <c r="H1115" i="8"/>
  <c r="H1116" i="8"/>
  <c r="H2" i="8"/>
  <c r="I2" i="8" s="1"/>
  <c r="G2" i="10" s="1"/>
  <c r="I4" i="9"/>
  <c r="F4" i="10" s="1"/>
  <c r="I5" i="9"/>
  <c r="F5" i="10" s="1"/>
  <c r="I6" i="9"/>
  <c r="F6" i="10" s="1"/>
  <c r="I7" i="9"/>
  <c r="F7" i="10" s="1"/>
  <c r="I8" i="9"/>
  <c r="F8" i="10" s="1"/>
  <c r="I9" i="9"/>
  <c r="F9" i="10" s="1"/>
  <c r="I10" i="9"/>
  <c r="F10" i="10" s="1"/>
  <c r="I11" i="9"/>
  <c r="F11" i="10" s="1"/>
  <c r="I12" i="9"/>
  <c r="F12" i="10" s="1"/>
  <c r="I13" i="9"/>
  <c r="F13" i="10" s="1"/>
  <c r="I15" i="9"/>
  <c r="F15" i="10" s="1"/>
  <c r="I20" i="9"/>
  <c r="F20" i="10" s="1"/>
  <c r="I21" i="9"/>
  <c r="F21" i="10" s="1"/>
  <c r="I22" i="9"/>
  <c r="F22" i="10" s="1"/>
  <c r="I23" i="9"/>
  <c r="F23" i="10" s="1"/>
  <c r="I24" i="9"/>
  <c r="F24" i="10" s="1"/>
  <c r="I25" i="9"/>
  <c r="F25" i="10" s="1"/>
  <c r="I26" i="9"/>
  <c r="F26" i="10" s="1"/>
  <c r="I27" i="9"/>
  <c r="F27" i="10" s="1"/>
  <c r="I28" i="9"/>
  <c r="F28" i="10" s="1"/>
  <c r="I29" i="9"/>
  <c r="F29" i="10" s="1"/>
  <c r="I31" i="9"/>
  <c r="F31" i="10" s="1"/>
  <c r="I32" i="9"/>
  <c r="F32" i="10" s="1"/>
  <c r="I33" i="9"/>
  <c r="F33" i="10" s="1"/>
  <c r="I35" i="9"/>
  <c r="F35" i="10" s="1"/>
  <c r="I36" i="9"/>
  <c r="F36" i="10" s="1"/>
  <c r="I37" i="9"/>
  <c r="F37" i="10" s="1"/>
  <c r="I38" i="9"/>
  <c r="F38" i="10" s="1"/>
  <c r="I40" i="9"/>
  <c r="F40" i="10" s="1"/>
  <c r="I50" i="9"/>
  <c r="F50" i="10" s="1"/>
  <c r="I51" i="9"/>
  <c r="F51" i="10" s="1"/>
  <c r="I52" i="9"/>
  <c r="F52" i="10" s="1"/>
  <c r="I53" i="9"/>
  <c r="F53" i="10" s="1"/>
  <c r="I57" i="9"/>
  <c r="F57" i="10" s="1"/>
  <c r="I58" i="9"/>
  <c r="F58" i="10" s="1"/>
  <c r="I59" i="9"/>
  <c r="F59" i="10" s="1"/>
  <c r="I60" i="9"/>
  <c r="F60" i="10" s="1"/>
  <c r="I61" i="9"/>
  <c r="F61" i="10" s="1"/>
  <c r="I62" i="9"/>
  <c r="F62" i="10" s="1"/>
  <c r="I63" i="9"/>
  <c r="F63" i="10" s="1"/>
  <c r="I64" i="9"/>
  <c r="F64" i="10" s="1"/>
  <c r="I65" i="9"/>
  <c r="F65" i="10" s="1"/>
  <c r="I66" i="9"/>
  <c r="F66" i="10" s="1"/>
  <c r="I67" i="9"/>
  <c r="F67" i="10" s="1"/>
  <c r="I68" i="9"/>
  <c r="F68" i="10" s="1"/>
  <c r="I69" i="9"/>
  <c r="F69" i="10" s="1"/>
  <c r="I70" i="9"/>
  <c r="F70" i="10" s="1"/>
  <c r="I71" i="9"/>
  <c r="F71" i="10" s="1"/>
  <c r="I72" i="9"/>
  <c r="F72" i="10" s="1"/>
  <c r="I76" i="9"/>
  <c r="F76" i="10" s="1"/>
  <c r="I78" i="9"/>
  <c r="F78" i="10" s="1"/>
  <c r="I79" i="9"/>
  <c r="F79" i="10" s="1"/>
  <c r="I80" i="9"/>
  <c r="F80" i="10" s="1"/>
  <c r="I81" i="9"/>
  <c r="F81" i="10" s="1"/>
  <c r="I82" i="9"/>
  <c r="F82" i="10" s="1"/>
  <c r="I83" i="9"/>
  <c r="F83" i="10" s="1"/>
  <c r="I84" i="9"/>
  <c r="F84" i="10" s="1"/>
  <c r="I87" i="9"/>
  <c r="F87" i="10" s="1"/>
  <c r="I88" i="9"/>
  <c r="F88" i="10" s="1"/>
  <c r="I89" i="9"/>
  <c r="F89" i="10" s="1"/>
  <c r="I90" i="9"/>
  <c r="F90" i="10" s="1"/>
  <c r="I91" i="9"/>
  <c r="F91" i="10" s="1"/>
  <c r="I92" i="9"/>
  <c r="F92" i="10" s="1"/>
  <c r="I93" i="9"/>
  <c r="F93" i="10" s="1"/>
  <c r="I95" i="9"/>
  <c r="F95" i="10" s="1"/>
  <c r="I96" i="9"/>
  <c r="F96" i="10" s="1"/>
  <c r="I97" i="9"/>
  <c r="F97" i="10" s="1"/>
  <c r="I98" i="9"/>
  <c r="F98" i="10" s="1"/>
  <c r="I99" i="9"/>
  <c r="F99" i="10" s="1"/>
  <c r="I100" i="9"/>
  <c r="F100" i="10" s="1"/>
  <c r="I101" i="9"/>
  <c r="F101" i="10" s="1"/>
  <c r="I102" i="9"/>
  <c r="F102" i="10" s="1"/>
  <c r="I103" i="9"/>
  <c r="F103" i="10" s="1"/>
  <c r="I104" i="9"/>
  <c r="F104" i="10" s="1"/>
  <c r="I108" i="9"/>
  <c r="F108" i="10" s="1"/>
  <c r="I109" i="9"/>
  <c r="F109" i="10" s="1"/>
  <c r="I110" i="9"/>
  <c r="F110" i="10" s="1"/>
  <c r="I111" i="9"/>
  <c r="F111" i="10" s="1"/>
  <c r="I113" i="9"/>
  <c r="F113" i="10" s="1"/>
  <c r="I114" i="9"/>
  <c r="F114" i="10" s="1"/>
  <c r="I118" i="9"/>
  <c r="F118" i="10" s="1"/>
  <c r="I119" i="9"/>
  <c r="F119" i="10" s="1"/>
  <c r="I121" i="9"/>
  <c r="F121" i="10" s="1"/>
  <c r="I122" i="9"/>
  <c r="F122" i="10" s="1"/>
  <c r="I124" i="9"/>
  <c r="F124" i="10" s="1"/>
  <c r="I125" i="9"/>
  <c r="F125" i="10" s="1"/>
  <c r="I126" i="9"/>
  <c r="F126" i="10" s="1"/>
  <c r="I127" i="9"/>
  <c r="F127" i="10" s="1"/>
  <c r="I129" i="9"/>
  <c r="F129" i="10" s="1"/>
  <c r="I130" i="9"/>
  <c r="F130" i="10" s="1"/>
  <c r="I131" i="9"/>
  <c r="F131" i="10" s="1"/>
  <c r="I132" i="9"/>
  <c r="F132" i="10" s="1"/>
  <c r="I133" i="9"/>
  <c r="F133" i="10" s="1"/>
  <c r="I134" i="9"/>
  <c r="F134" i="10" s="1"/>
  <c r="I136" i="9"/>
  <c r="F136" i="10" s="1"/>
  <c r="I137" i="9"/>
  <c r="F137" i="10" s="1"/>
  <c r="I138" i="9"/>
  <c r="F138" i="10" s="1"/>
  <c r="I139" i="9"/>
  <c r="F139" i="10" s="1"/>
  <c r="I140" i="9"/>
  <c r="F140" i="10" s="1"/>
  <c r="I141" i="9"/>
  <c r="F141" i="10" s="1"/>
  <c r="I142" i="9"/>
  <c r="F142" i="10" s="1"/>
  <c r="I143" i="9"/>
  <c r="F143" i="10" s="1"/>
  <c r="I144" i="9"/>
  <c r="F144" i="10" s="1"/>
  <c r="I145" i="9"/>
  <c r="F145" i="10" s="1"/>
  <c r="I146" i="9"/>
  <c r="F146" i="10" s="1"/>
  <c r="I147" i="9"/>
  <c r="F147" i="10" s="1"/>
  <c r="I148" i="9"/>
  <c r="F148" i="10" s="1"/>
  <c r="I149" i="9"/>
  <c r="F149" i="10" s="1"/>
  <c r="I150" i="9"/>
  <c r="F150" i="10" s="1"/>
  <c r="I151" i="9"/>
  <c r="F151" i="10" s="1"/>
  <c r="I152" i="9"/>
  <c r="F152" i="10" s="1"/>
  <c r="I153" i="9"/>
  <c r="F153" i="10" s="1"/>
  <c r="I154" i="9"/>
  <c r="F154" i="10" s="1"/>
  <c r="I157" i="9"/>
  <c r="F157" i="10" s="1"/>
  <c r="I158" i="9"/>
  <c r="F158" i="10" s="1"/>
  <c r="I159" i="9"/>
  <c r="F159" i="10" s="1"/>
  <c r="I160" i="9"/>
  <c r="F160" i="10" s="1"/>
  <c r="I161" i="9"/>
  <c r="F161" i="10" s="1"/>
  <c r="I164" i="9"/>
  <c r="F164" i="10" s="1"/>
  <c r="I165" i="9"/>
  <c r="F165" i="10" s="1"/>
  <c r="I166" i="9"/>
  <c r="F166" i="10" s="1"/>
  <c r="I168" i="9"/>
  <c r="F168" i="10" s="1"/>
  <c r="I169" i="9"/>
  <c r="F169" i="10" s="1"/>
  <c r="I170" i="9"/>
  <c r="F170" i="10" s="1"/>
  <c r="I171" i="9"/>
  <c r="F171" i="10" s="1"/>
  <c r="I173" i="9"/>
  <c r="F173" i="10" s="1"/>
  <c r="I174" i="9"/>
  <c r="F174" i="10" s="1"/>
  <c r="I175" i="9"/>
  <c r="F175" i="10" s="1"/>
  <c r="I177" i="9"/>
  <c r="F177" i="10" s="1"/>
  <c r="I179" i="9"/>
  <c r="F179" i="10" s="1"/>
  <c r="I180" i="9"/>
  <c r="F180" i="10" s="1"/>
  <c r="I181" i="9"/>
  <c r="F181" i="10" s="1"/>
  <c r="I182" i="9"/>
  <c r="I183" i="9"/>
  <c r="F182" i="10" s="1"/>
  <c r="I185" i="9"/>
  <c r="F184" i="10" s="1"/>
  <c r="I186" i="9"/>
  <c r="F185" i="10" s="1"/>
  <c r="I191" i="9"/>
  <c r="F190" i="10" s="1"/>
  <c r="I193" i="9"/>
  <c r="F192" i="10" s="1"/>
  <c r="I194" i="9"/>
  <c r="F193" i="10" s="1"/>
  <c r="I195" i="9"/>
  <c r="F194" i="10" s="1"/>
  <c r="I204" i="9"/>
  <c r="F203" i="10" s="1"/>
  <c r="I207" i="9"/>
  <c r="F206" i="10" s="1"/>
  <c r="I209" i="9"/>
  <c r="F208" i="10" s="1"/>
  <c r="I210" i="9"/>
  <c r="F209" i="10" s="1"/>
  <c r="I211" i="9"/>
  <c r="F210" i="10" s="1"/>
  <c r="I216" i="9"/>
  <c r="F215" i="10" s="1"/>
  <c r="I217" i="9"/>
  <c r="F216" i="10" s="1"/>
  <c r="I218" i="9"/>
  <c r="F217" i="10" s="1"/>
  <c r="I223" i="9"/>
  <c r="F222" i="10" s="1"/>
  <c r="I232" i="9"/>
  <c r="F231" i="10" s="1"/>
  <c r="I244" i="9"/>
  <c r="F243" i="10" s="1"/>
  <c r="I253" i="9"/>
  <c r="F252" i="10" s="1"/>
  <c r="I268" i="9"/>
  <c r="F267" i="10" s="1"/>
  <c r="I269" i="9"/>
  <c r="F268" i="10" s="1"/>
  <c r="I270" i="9"/>
  <c r="F269" i="10" s="1"/>
  <c r="I271" i="9"/>
  <c r="F270" i="10" s="1"/>
  <c r="I272" i="9"/>
  <c r="F271" i="10" s="1"/>
  <c r="I273" i="9"/>
  <c r="F272" i="10" s="1"/>
  <c r="I274" i="9"/>
  <c r="F273" i="10" s="1"/>
  <c r="I275" i="9"/>
  <c r="F274" i="10" s="1"/>
  <c r="I276" i="9"/>
  <c r="F275" i="10" s="1"/>
  <c r="I277" i="9"/>
  <c r="F276" i="10" s="1"/>
  <c r="I278" i="9"/>
  <c r="F277" i="10" s="1"/>
  <c r="I279" i="9"/>
  <c r="F278" i="10" s="1"/>
  <c r="I280" i="9"/>
  <c r="F281" i="10" s="1"/>
  <c r="I283" i="9"/>
  <c r="F285" i="10" s="1"/>
  <c r="I284" i="9"/>
  <c r="F286" i="10" s="1"/>
  <c r="I286" i="9"/>
  <c r="F288" i="10" s="1"/>
  <c r="I287" i="9"/>
  <c r="F289" i="10" s="1"/>
  <c r="I288" i="9"/>
  <c r="F290" i="10" s="1"/>
  <c r="I290" i="9"/>
  <c r="F292" i="10" s="1"/>
  <c r="I291" i="9"/>
  <c r="F293" i="10" s="1"/>
  <c r="I293" i="9"/>
  <c r="F295" i="10" s="1"/>
  <c r="I295" i="9"/>
  <c r="F297" i="10" s="1"/>
  <c r="I300" i="9"/>
  <c r="F302" i="10" s="1"/>
  <c r="I303" i="9"/>
  <c r="F305" i="10" s="1"/>
  <c r="I312" i="9"/>
  <c r="F314" i="10" s="1"/>
  <c r="I319" i="9"/>
  <c r="F321" i="10" s="1"/>
  <c r="I322" i="9"/>
  <c r="F324" i="10" s="1"/>
  <c r="I324" i="9"/>
  <c r="F326" i="10" s="1"/>
  <c r="I325" i="9"/>
  <c r="F327" i="10" s="1"/>
  <c r="I327" i="9"/>
  <c r="F329" i="10" s="1"/>
  <c r="I329" i="9"/>
  <c r="F331" i="10" s="1"/>
  <c r="I332" i="9"/>
  <c r="F334" i="10" s="1"/>
  <c r="I340" i="9"/>
  <c r="F342" i="10" s="1"/>
  <c r="I341" i="9"/>
  <c r="F343" i="10" s="1"/>
  <c r="I344" i="9"/>
  <c r="F346" i="10" s="1"/>
  <c r="I345" i="9"/>
  <c r="F347" i="10" s="1"/>
  <c r="I347" i="9"/>
  <c r="F349" i="10" s="1"/>
  <c r="I348" i="9"/>
  <c r="F350" i="10" s="1"/>
  <c r="I356" i="9"/>
  <c r="F358" i="10" s="1"/>
  <c r="I359" i="9"/>
  <c r="F361" i="10" s="1"/>
  <c r="I362" i="9"/>
  <c r="F364" i="10" s="1"/>
  <c r="I365" i="9"/>
  <c r="F367" i="10" s="1"/>
  <c r="I367" i="9"/>
  <c r="F369" i="10" s="1"/>
  <c r="I368" i="9"/>
  <c r="F370" i="10" s="1"/>
  <c r="I370" i="9"/>
  <c r="F372" i="10" s="1"/>
  <c r="I371" i="9"/>
  <c r="F373" i="10" s="1"/>
  <c r="I373" i="9"/>
  <c r="F375" i="10" s="1"/>
  <c r="I375" i="9"/>
  <c r="F377" i="10" s="1"/>
  <c r="I376" i="9"/>
  <c r="F378" i="10" s="1"/>
  <c r="I378" i="9"/>
  <c r="F380" i="10" s="1"/>
  <c r="I379" i="9"/>
  <c r="F381" i="10" s="1"/>
  <c r="I380" i="9"/>
  <c r="F382" i="10" s="1"/>
  <c r="I381" i="9"/>
  <c r="F383" i="10" s="1"/>
  <c r="I383" i="9"/>
  <c r="F385" i="10" s="1"/>
  <c r="I384" i="9"/>
  <c r="F386" i="10" s="1"/>
  <c r="I385" i="9"/>
  <c r="F387" i="10" s="1"/>
  <c r="I389" i="9"/>
  <c r="F391" i="10" s="1"/>
  <c r="I393" i="9"/>
  <c r="F395" i="10" s="1"/>
  <c r="I397" i="9"/>
  <c r="F399" i="10" s="1"/>
  <c r="I398" i="9"/>
  <c r="F400" i="10" s="1"/>
  <c r="I400" i="9"/>
  <c r="F402" i="10" s="1"/>
  <c r="I404" i="9"/>
  <c r="F406" i="10" s="1"/>
  <c r="I408" i="9"/>
  <c r="F410" i="10" s="1"/>
  <c r="I409" i="9"/>
  <c r="F411" i="10" s="1"/>
  <c r="I411" i="9"/>
  <c r="F413" i="10" s="1"/>
  <c r="I413" i="9"/>
  <c r="F415" i="10" s="1"/>
  <c r="I414" i="9"/>
  <c r="F416" i="10" s="1"/>
  <c r="I415" i="9"/>
  <c r="F417" i="10" s="1"/>
  <c r="I417" i="9"/>
  <c r="F419" i="10" s="1"/>
  <c r="I424" i="9"/>
  <c r="F426" i="10" s="1"/>
  <c r="I426" i="9"/>
  <c r="F428" i="10" s="1"/>
  <c r="I427" i="9"/>
  <c r="F429" i="10" s="1"/>
  <c r="I429" i="9"/>
  <c r="F431" i="10" s="1"/>
  <c r="I430" i="9"/>
  <c r="F432" i="10" s="1"/>
  <c r="I433" i="9"/>
  <c r="F435" i="10" s="1"/>
  <c r="I442" i="9"/>
  <c r="F444" i="10" s="1"/>
  <c r="I444" i="9"/>
  <c r="F446" i="10" s="1"/>
  <c r="I446" i="9"/>
  <c r="F448" i="10" s="1"/>
  <c r="I448" i="9"/>
  <c r="F450" i="10" s="1"/>
  <c r="I450" i="9"/>
  <c r="F452" i="10" s="1"/>
  <c r="I451" i="9"/>
  <c r="F453" i="10" s="1"/>
  <c r="I452" i="9"/>
  <c r="F454" i="10" s="1"/>
  <c r="I453" i="9"/>
  <c r="F455" i="10" s="1"/>
  <c r="I454" i="9"/>
  <c r="F456" i="10" s="1"/>
  <c r="I455" i="9"/>
  <c r="F457" i="10" s="1"/>
  <c r="I458" i="9"/>
  <c r="F460" i="10" s="1"/>
  <c r="I459" i="9"/>
  <c r="F461" i="10" s="1"/>
  <c r="I462" i="9"/>
  <c r="F464" i="10" s="1"/>
  <c r="I463" i="9"/>
  <c r="F465" i="10" s="1"/>
  <c r="I466" i="9"/>
  <c r="F468" i="10" s="1"/>
  <c r="I470" i="9"/>
  <c r="F472" i="10" s="1"/>
  <c r="I473" i="9"/>
  <c r="F475" i="10" s="1"/>
  <c r="I474" i="9"/>
  <c r="F476" i="10" s="1"/>
  <c r="I475" i="9"/>
  <c r="F477" i="10" s="1"/>
  <c r="I477" i="9"/>
  <c r="F479" i="10" s="1"/>
  <c r="I478" i="9"/>
  <c r="F480" i="10" s="1"/>
  <c r="I479" i="9"/>
  <c r="F481" i="10" s="1"/>
  <c r="I482" i="9"/>
  <c r="F484" i="10" s="1"/>
  <c r="I483" i="9"/>
  <c r="F485" i="10" s="1"/>
  <c r="I484" i="9"/>
  <c r="F486" i="10" s="1"/>
  <c r="I487" i="9"/>
  <c r="F489" i="10" s="1"/>
  <c r="I488" i="9"/>
  <c r="F490" i="10" s="1"/>
  <c r="I489" i="9"/>
  <c r="F491" i="10" s="1"/>
  <c r="I492" i="9"/>
  <c r="F494" i="10" s="1"/>
  <c r="I493" i="9"/>
  <c r="F495" i="10" s="1"/>
  <c r="I495" i="9"/>
  <c r="F497" i="10" s="1"/>
  <c r="I498" i="9"/>
  <c r="F500" i="10" s="1"/>
  <c r="I500" i="9"/>
  <c r="F502" i="10" s="1"/>
  <c r="I501" i="9"/>
  <c r="F503" i="10" s="1"/>
  <c r="I503" i="9"/>
  <c r="F505" i="10" s="1"/>
  <c r="I505" i="9"/>
  <c r="F507" i="10" s="1"/>
  <c r="I508" i="9"/>
  <c r="F510" i="10" s="1"/>
  <c r="I509" i="9"/>
  <c r="F511" i="10" s="1"/>
  <c r="I513" i="9"/>
  <c r="F515" i="10" s="1"/>
  <c r="I514" i="9"/>
  <c r="F516" i="10" s="1"/>
  <c r="I516" i="9"/>
  <c r="F518" i="10" s="1"/>
  <c r="I517" i="9"/>
  <c r="F519" i="10" s="1"/>
  <c r="I518" i="9"/>
  <c r="F520" i="10" s="1"/>
  <c r="I520" i="9"/>
  <c r="F522" i="10" s="1"/>
  <c r="I522" i="9"/>
  <c r="F524" i="10" s="1"/>
  <c r="I525" i="9"/>
  <c r="F527" i="10" s="1"/>
  <c r="I527" i="9"/>
  <c r="F529" i="10" s="1"/>
  <c r="I530" i="9"/>
  <c r="F532" i="10" s="1"/>
  <c r="I532" i="9"/>
  <c r="F534" i="10" s="1"/>
  <c r="I533" i="9"/>
  <c r="F535" i="10" s="1"/>
  <c r="I534" i="9"/>
  <c r="F536" i="10" s="1"/>
  <c r="I535" i="9"/>
  <c r="F537" i="10" s="1"/>
  <c r="I537" i="9"/>
  <c r="F539" i="10" s="1"/>
  <c r="I538" i="9"/>
  <c r="F540" i="10" s="1"/>
  <c r="I539" i="9"/>
  <c r="F541" i="10" s="1"/>
  <c r="I540" i="9"/>
  <c r="F542" i="10" s="1"/>
  <c r="I543" i="9"/>
  <c r="F545" i="10" s="1"/>
  <c r="I544" i="9"/>
  <c r="F546" i="10" s="1"/>
  <c r="I548" i="9"/>
  <c r="F550" i="10" s="1"/>
  <c r="I549" i="9"/>
  <c r="F551" i="10" s="1"/>
  <c r="I552" i="9"/>
  <c r="F554" i="10" s="1"/>
  <c r="I553" i="9"/>
  <c r="F555" i="10" s="1"/>
  <c r="I557" i="9"/>
  <c r="F559" i="10" s="1"/>
  <c r="I558" i="9"/>
  <c r="F560" i="10" s="1"/>
  <c r="I560" i="9"/>
  <c r="F562" i="10" s="1"/>
  <c r="I563" i="9"/>
  <c r="F565" i="10" s="1"/>
  <c r="I566" i="9"/>
  <c r="F568" i="10" s="1"/>
  <c r="I571" i="9"/>
  <c r="F573" i="10" s="1"/>
  <c r="I572" i="9"/>
  <c r="F574" i="10" s="1"/>
  <c r="I575" i="9"/>
  <c r="F577" i="10" s="1"/>
  <c r="I576" i="9"/>
  <c r="F578" i="10" s="1"/>
  <c r="I577" i="9"/>
  <c r="F579" i="10" s="1"/>
  <c r="I578" i="9"/>
  <c r="F580" i="10" s="1"/>
  <c r="I580" i="9"/>
  <c r="F582" i="10" s="1"/>
  <c r="I582" i="9"/>
  <c r="F584" i="10" s="1"/>
  <c r="I585" i="9"/>
  <c r="F587" i="10" s="1"/>
  <c r="I614" i="9"/>
  <c r="F615" i="10" s="1"/>
  <c r="I619" i="9"/>
  <c r="F620" i="10" s="1"/>
  <c r="I648" i="9"/>
  <c r="F650" i="10" s="1"/>
  <c r="I653" i="9"/>
  <c r="F655" i="10" s="1"/>
  <c r="I664" i="9"/>
  <c r="F666" i="10" s="1"/>
  <c r="I696" i="9"/>
  <c r="F698" i="10" s="1"/>
  <c r="I698" i="9"/>
  <c r="F700" i="10" s="1"/>
  <c r="I723" i="9"/>
  <c r="F725" i="10" s="1"/>
  <c r="I728" i="9"/>
  <c r="F730" i="10" s="1"/>
  <c r="I744" i="9"/>
  <c r="F746" i="10" s="1"/>
  <c r="I804" i="9"/>
  <c r="F804" i="10" s="1"/>
  <c r="I818" i="9"/>
  <c r="F818" i="10" s="1"/>
  <c r="I820" i="9"/>
  <c r="F820" i="10" s="1"/>
  <c r="I857" i="9"/>
  <c r="F857" i="10" s="1"/>
  <c r="I882" i="9"/>
  <c r="F882" i="10" s="1"/>
  <c r="I902" i="9"/>
  <c r="F902" i="10" s="1"/>
  <c r="I907" i="9"/>
  <c r="F907" i="10" s="1"/>
  <c r="I910" i="9"/>
  <c r="F910" i="10" s="1"/>
  <c r="I911" i="9"/>
  <c r="F911" i="10" s="1"/>
  <c r="I912" i="9"/>
  <c r="F912" i="10" s="1"/>
  <c r="I913" i="9"/>
  <c r="F913" i="10" s="1"/>
  <c r="I914" i="9"/>
  <c r="F914" i="10" s="1"/>
  <c r="I915" i="9"/>
  <c r="F915" i="10" s="1"/>
  <c r="I916" i="9"/>
  <c r="F916" i="10" s="1"/>
  <c r="I917" i="9"/>
  <c r="F917" i="10" s="1"/>
  <c r="I918" i="9"/>
  <c r="F918" i="10" s="1"/>
  <c r="I919" i="9"/>
  <c r="F919" i="10" s="1"/>
  <c r="I921" i="9"/>
  <c r="F920" i="10" s="1"/>
  <c r="I922" i="9"/>
  <c r="F921" i="10" s="1"/>
  <c r="I941" i="9"/>
  <c r="F940" i="10" s="1"/>
  <c r="I944" i="9"/>
  <c r="F943" i="10" s="1"/>
  <c r="I945" i="9"/>
  <c r="F944" i="10" s="1"/>
  <c r="I946" i="9"/>
  <c r="F945" i="10" s="1"/>
  <c r="F948" i="10"/>
  <c r="I950" i="9"/>
  <c r="F949" i="10" s="1"/>
  <c r="I951" i="9"/>
  <c r="F950" i="10" s="1"/>
  <c r="I953" i="9"/>
  <c r="F952" i="10" s="1"/>
  <c r="I955" i="9"/>
  <c r="F954" i="10" s="1"/>
  <c r="I956" i="9"/>
  <c r="F955" i="10" s="1"/>
  <c r="I958" i="9"/>
  <c r="F957" i="10" s="1"/>
  <c r="I959" i="9"/>
  <c r="F958" i="10" s="1"/>
  <c r="I960" i="9"/>
  <c r="F959" i="10" s="1"/>
  <c r="I961" i="9"/>
  <c r="F960" i="10" s="1"/>
  <c r="I964" i="9"/>
  <c r="F963" i="10" s="1"/>
  <c r="I965" i="9"/>
  <c r="F964" i="10" s="1"/>
  <c r="I966" i="9"/>
  <c r="F965" i="10" s="1"/>
  <c r="I967" i="9"/>
  <c r="F966" i="10" s="1"/>
  <c r="I969" i="9"/>
  <c r="F968" i="10" s="1"/>
  <c r="I971" i="9"/>
  <c r="F970" i="10" s="1"/>
  <c r="I974" i="9"/>
  <c r="F973" i="10" s="1"/>
  <c r="I979" i="9"/>
  <c r="F978" i="10" s="1"/>
  <c r="I983" i="9"/>
  <c r="F982" i="10" s="1"/>
  <c r="I984" i="9"/>
  <c r="F983" i="10" s="1"/>
  <c r="I986" i="9"/>
  <c r="F985" i="10" s="1"/>
  <c r="I987" i="9"/>
  <c r="F986" i="10" s="1"/>
  <c r="I992" i="9"/>
  <c r="F991" i="10" s="1"/>
  <c r="I1001" i="9"/>
  <c r="F1000" i="10" s="1"/>
  <c r="I1002" i="9"/>
  <c r="F1001" i="10" s="1"/>
  <c r="I1003" i="9"/>
  <c r="F1002" i="10" s="1"/>
  <c r="I1006" i="9"/>
  <c r="F1005" i="10" s="1"/>
  <c r="I1007" i="9"/>
  <c r="F1006" i="10" s="1"/>
  <c r="I1008" i="9"/>
  <c r="F1007" i="10" s="1"/>
  <c r="I1011" i="9"/>
  <c r="F1010" i="10" s="1"/>
  <c r="I1014" i="9"/>
  <c r="F1013" i="10" s="1"/>
  <c r="I1015" i="9"/>
  <c r="F1014" i="10" s="1"/>
  <c r="I1016" i="9"/>
  <c r="F1015" i="10" s="1"/>
  <c r="I1019" i="9"/>
  <c r="F1018" i="10" s="1"/>
  <c r="I1020" i="9"/>
  <c r="F1019" i="10" s="1"/>
  <c r="I1021" i="9"/>
  <c r="F1020" i="10" s="1"/>
  <c r="I1023" i="9"/>
  <c r="F1022" i="10" s="1"/>
  <c r="I1024" i="9"/>
  <c r="F1023" i="10" s="1"/>
  <c r="I1025" i="9"/>
  <c r="F1024" i="10" s="1"/>
  <c r="I1026" i="9"/>
  <c r="F1025" i="10" s="1"/>
  <c r="I1027" i="9"/>
  <c r="F1026" i="10" s="1"/>
  <c r="I1028" i="9"/>
  <c r="F1027" i="10" s="1"/>
  <c r="I1029" i="9"/>
  <c r="F1028" i="10" s="1"/>
  <c r="I1030" i="9"/>
  <c r="F1029" i="10" s="1"/>
  <c r="I1031" i="9"/>
  <c r="F1030" i="10" s="1"/>
  <c r="I1032" i="9"/>
  <c r="F1031" i="10" s="1"/>
  <c r="I1033" i="9"/>
  <c r="F1032" i="10" s="1"/>
  <c r="I1034" i="9"/>
  <c r="F1033" i="10" s="1"/>
  <c r="I1035" i="9"/>
  <c r="F1034" i="10" s="1"/>
  <c r="I1036" i="9"/>
  <c r="F1035" i="10" s="1"/>
  <c r="I1038" i="9"/>
  <c r="F1037" i="10" s="1"/>
  <c r="I1039" i="9"/>
  <c r="F1038" i="10" s="1"/>
  <c r="I1040" i="9"/>
  <c r="F1039" i="10" s="1"/>
  <c r="I1041" i="9"/>
  <c r="F1040" i="10" s="1"/>
  <c r="I1043" i="9"/>
  <c r="F1042" i="10" s="1"/>
  <c r="I1044" i="9"/>
  <c r="F1043" i="10" s="1"/>
  <c r="I1045" i="9"/>
  <c r="F1044" i="10" s="1"/>
  <c r="I1047" i="9"/>
  <c r="F1046" i="10" s="1"/>
  <c r="I1048" i="9"/>
  <c r="F1047" i="10" s="1"/>
  <c r="I1052" i="9"/>
  <c r="F1051" i="10" s="1"/>
  <c r="I1053" i="9"/>
  <c r="F1052" i="10" s="1"/>
  <c r="I1056" i="9"/>
  <c r="F1055" i="10" s="1"/>
  <c r="I1057" i="9"/>
  <c r="F1056" i="10" s="1"/>
  <c r="I1058" i="9"/>
  <c r="F1057" i="10" s="1"/>
  <c r="I1059" i="9"/>
  <c r="F1058" i="10" s="1"/>
  <c r="I1061" i="9"/>
  <c r="F1060" i="10" s="1"/>
  <c r="I1062" i="9"/>
  <c r="F1061" i="10" s="1"/>
  <c r="I1063" i="9"/>
  <c r="F1062" i="10" s="1"/>
  <c r="I1064" i="9"/>
  <c r="F1063" i="10" s="1"/>
  <c r="I1066" i="9"/>
  <c r="F1065" i="10" s="1"/>
  <c r="I1067" i="9"/>
  <c r="F1066" i="10" s="1"/>
  <c r="I1068" i="9"/>
  <c r="F1067" i="10" s="1"/>
  <c r="I1069" i="9"/>
  <c r="F1068" i="10" s="1"/>
  <c r="I1071" i="9"/>
  <c r="F1070" i="10" s="1"/>
  <c r="I1072" i="9"/>
  <c r="F1071" i="10" s="1"/>
  <c r="I1073" i="9"/>
  <c r="F1072" i="10" s="1"/>
  <c r="I1074" i="9"/>
  <c r="F1073" i="10" s="1"/>
  <c r="I1076" i="9"/>
  <c r="F1075" i="10" s="1"/>
  <c r="I1077" i="9"/>
  <c r="F1076" i="10" s="1"/>
  <c r="I1078" i="9"/>
  <c r="F1077" i="10" s="1"/>
  <c r="I1079" i="9"/>
  <c r="F1078" i="10" s="1"/>
  <c r="H3" i="9"/>
  <c r="I3" i="9" s="1"/>
  <c r="F3" i="10" s="1"/>
  <c r="H4" i="9"/>
  <c r="H5" i="9"/>
  <c r="H6" i="9"/>
  <c r="H7" i="9"/>
  <c r="H8" i="9"/>
  <c r="H9" i="9"/>
  <c r="H10" i="9"/>
  <c r="H11" i="9"/>
  <c r="H12" i="9"/>
  <c r="H13" i="9"/>
  <c r="H14" i="9"/>
  <c r="I14" i="9" s="1"/>
  <c r="F14" i="10" s="1"/>
  <c r="H15" i="9"/>
  <c r="H16" i="9"/>
  <c r="I16" i="9" s="1"/>
  <c r="F16" i="10" s="1"/>
  <c r="H17" i="9"/>
  <c r="I17" i="9" s="1"/>
  <c r="F17" i="10" s="1"/>
  <c r="H18" i="9"/>
  <c r="I18" i="9" s="1"/>
  <c r="F18" i="10" s="1"/>
  <c r="H19" i="9"/>
  <c r="I19" i="9" s="1"/>
  <c r="F19" i="10" s="1"/>
  <c r="H20" i="9"/>
  <c r="H21" i="9"/>
  <c r="H22" i="9"/>
  <c r="H23" i="9"/>
  <c r="H24" i="9"/>
  <c r="H25" i="9"/>
  <c r="H26" i="9"/>
  <c r="H27" i="9"/>
  <c r="H28" i="9"/>
  <c r="H29" i="9"/>
  <c r="H30" i="9"/>
  <c r="I30" i="9" s="1"/>
  <c r="F30" i="10" s="1"/>
  <c r="H31" i="9"/>
  <c r="H32" i="9"/>
  <c r="H33" i="9"/>
  <c r="H34" i="9"/>
  <c r="I34" i="9" s="1"/>
  <c r="F34" i="10" s="1"/>
  <c r="H35" i="9"/>
  <c r="H36" i="9"/>
  <c r="H37" i="9"/>
  <c r="H38" i="9"/>
  <c r="H39" i="9"/>
  <c r="I39" i="9" s="1"/>
  <c r="F39" i="10" s="1"/>
  <c r="H40" i="9"/>
  <c r="H41" i="9"/>
  <c r="I41" i="9" s="1"/>
  <c r="F41" i="10" s="1"/>
  <c r="H42" i="9"/>
  <c r="I42" i="9" s="1"/>
  <c r="F42" i="10" s="1"/>
  <c r="H43" i="9"/>
  <c r="I43" i="9" s="1"/>
  <c r="F43" i="10" s="1"/>
  <c r="H44" i="9"/>
  <c r="I44" i="9" s="1"/>
  <c r="F44" i="10" s="1"/>
  <c r="H45" i="9"/>
  <c r="I45" i="9" s="1"/>
  <c r="F45" i="10" s="1"/>
  <c r="H46" i="9"/>
  <c r="I46" i="9" s="1"/>
  <c r="F46" i="10" s="1"/>
  <c r="H47" i="9"/>
  <c r="I47" i="9" s="1"/>
  <c r="F47" i="10" s="1"/>
  <c r="H48" i="9"/>
  <c r="I48" i="9" s="1"/>
  <c r="F48" i="10" s="1"/>
  <c r="H49" i="9"/>
  <c r="I49" i="9" s="1"/>
  <c r="F49" i="10" s="1"/>
  <c r="H50" i="9"/>
  <c r="H51" i="9"/>
  <c r="H52" i="9"/>
  <c r="H53" i="9"/>
  <c r="H54" i="9"/>
  <c r="I54" i="9" s="1"/>
  <c r="F54" i="10" s="1"/>
  <c r="H55" i="9"/>
  <c r="I55" i="9" s="1"/>
  <c r="F55" i="10" s="1"/>
  <c r="H56" i="9"/>
  <c r="I56" i="9" s="1"/>
  <c r="F56" i="10" s="1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I73" i="9" s="1"/>
  <c r="F73" i="10" s="1"/>
  <c r="H74" i="9"/>
  <c r="I74" i="9" s="1"/>
  <c r="F74" i="10" s="1"/>
  <c r="H75" i="9"/>
  <c r="I75" i="9" s="1"/>
  <c r="F75" i="10" s="1"/>
  <c r="H76" i="9"/>
  <c r="I77" i="9"/>
  <c r="F77" i="10" s="1"/>
  <c r="H78" i="9"/>
  <c r="H79" i="9"/>
  <c r="H80" i="9"/>
  <c r="H81" i="9"/>
  <c r="H82" i="9"/>
  <c r="H83" i="9"/>
  <c r="H84" i="9"/>
  <c r="H85" i="9"/>
  <c r="I85" i="9" s="1"/>
  <c r="F85" i="10" s="1"/>
  <c r="H86" i="9"/>
  <c r="I86" i="9" s="1"/>
  <c r="F86" i="10" s="1"/>
  <c r="H87" i="9"/>
  <c r="H88" i="9"/>
  <c r="H89" i="9"/>
  <c r="H90" i="9"/>
  <c r="H91" i="9"/>
  <c r="H92" i="9"/>
  <c r="H93" i="9"/>
  <c r="H94" i="9"/>
  <c r="I94" i="9" s="1"/>
  <c r="F94" i="10" s="1"/>
  <c r="H95" i="9"/>
  <c r="H96" i="9"/>
  <c r="H97" i="9"/>
  <c r="H98" i="9"/>
  <c r="H99" i="9"/>
  <c r="H100" i="9"/>
  <c r="H101" i="9"/>
  <c r="H102" i="9"/>
  <c r="H103" i="9"/>
  <c r="H104" i="9"/>
  <c r="H105" i="9"/>
  <c r="I105" i="9" s="1"/>
  <c r="F105" i="10" s="1"/>
  <c r="H106" i="9"/>
  <c r="I106" i="9" s="1"/>
  <c r="F106" i="10" s="1"/>
  <c r="H107" i="9"/>
  <c r="I107" i="9" s="1"/>
  <c r="F107" i="10" s="1"/>
  <c r="H108" i="9"/>
  <c r="H109" i="9"/>
  <c r="H110" i="9"/>
  <c r="H111" i="9"/>
  <c r="H112" i="9"/>
  <c r="I112" i="9" s="1"/>
  <c r="F112" i="10" s="1"/>
  <c r="H113" i="9"/>
  <c r="H114" i="9"/>
  <c r="H115" i="9"/>
  <c r="I115" i="9" s="1"/>
  <c r="F115" i="10" s="1"/>
  <c r="H116" i="9"/>
  <c r="I116" i="9" s="1"/>
  <c r="F116" i="10" s="1"/>
  <c r="H117" i="9"/>
  <c r="I117" i="9" s="1"/>
  <c r="F117" i="10" s="1"/>
  <c r="H118" i="9"/>
  <c r="H119" i="9"/>
  <c r="H120" i="9"/>
  <c r="I120" i="9" s="1"/>
  <c r="F120" i="10" s="1"/>
  <c r="H121" i="9"/>
  <c r="H122" i="9"/>
  <c r="H123" i="9"/>
  <c r="I123" i="9" s="1"/>
  <c r="F123" i="10" s="1"/>
  <c r="H124" i="9"/>
  <c r="H125" i="9"/>
  <c r="H126" i="9"/>
  <c r="H127" i="9"/>
  <c r="H128" i="9"/>
  <c r="I128" i="9" s="1"/>
  <c r="F128" i="10" s="1"/>
  <c r="H129" i="9"/>
  <c r="H130" i="9"/>
  <c r="H131" i="9"/>
  <c r="H132" i="9"/>
  <c r="H133" i="9"/>
  <c r="H134" i="9"/>
  <c r="H135" i="9"/>
  <c r="I135" i="9" s="1"/>
  <c r="F135" i="10" s="1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I155" i="9" s="1"/>
  <c r="F155" i="10" s="1"/>
  <c r="H156" i="9"/>
  <c r="I156" i="9" s="1"/>
  <c r="F156" i="10" s="1"/>
  <c r="H157" i="9"/>
  <c r="H158" i="9"/>
  <c r="H159" i="9"/>
  <c r="H160" i="9"/>
  <c r="H161" i="9"/>
  <c r="H162" i="9"/>
  <c r="I162" i="9" s="1"/>
  <c r="F162" i="10" s="1"/>
  <c r="H163" i="9"/>
  <c r="I163" i="9" s="1"/>
  <c r="F163" i="10" s="1"/>
  <c r="H164" i="9"/>
  <c r="H165" i="9"/>
  <c r="H166" i="9"/>
  <c r="H167" i="9"/>
  <c r="I167" i="9" s="1"/>
  <c r="F167" i="10" s="1"/>
  <c r="H168" i="9"/>
  <c r="H169" i="9"/>
  <c r="H170" i="9"/>
  <c r="H171" i="9"/>
  <c r="H172" i="9"/>
  <c r="I172" i="9" s="1"/>
  <c r="F172" i="10" s="1"/>
  <c r="H173" i="9"/>
  <c r="H174" i="9"/>
  <c r="H175" i="9"/>
  <c r="H176" i="9"/>
  <c r="I176" i="9" s="1"/>
  <c r="F176" i="10" s="1"/>
  <c r="H177" i="9"/>
  <c r="H178" i="9"/>
  <c r="I178" i="9" s="1"/>
  <c r="F178" i="10" s="1"/>
  <c r="H179" i="9"/>
  <c r="H180" i="9"/>
  <c r="H181" i="9"/>
  <c r="H182" i="9"/>
  <c r="H183" i="9"/>
  <c r="H184" i="9"/>
  <c r="I184" i="9" s="1"/>
  <c r="F183" i="10" s="1"/>
  <c r="H185" i="9"/>
  <c r="H186" i="9"/>
  <c r="H187" i="9"/>
  <c r="I187" i="9" s="1"/>
  <c r="F186" i="10" s="1"/>
  <c r="H188" i="9"/>
  <c r="I188" i="9" s="1"/>
  <c r="F187" i="10" s="1"/>
  <c r="H189" i="9"/>
  <c r="I189" i="9" s="1"/>
  <c r="F188" i="10" s="1"/>
  <c r="H190" i="9"/>
  <c r="I190" i="9" s="1"/>
  <c r="F189" i="10" s="1"/>
  <c r="H191" i="9"/>
  <c r="H192" i="9"/>
  <c r="I192" i="9" s="1"/>
  <c r="F191" i="10" s="1"/>
  <c r="H193" i="9"/>
  <c r="H194" i="9"/>
  <c r="H195" i="9"/>
  <c r="H196" i="9"/>
  <c r="I196" i="9" s="1"/>
  <c r="F195" i="10" s="1"/>
  <c r="H197" i="9"/>
  <c r="I197" i="9" s="1"/>
  <c r="F196" i="10" s="1"/>
  <c r="H198" i="9"/>
  <c r="I198" i="9" s="1"/>
  <c r="F197" i="10" s="1"/>
  <c r="H199" i="9"/>
  <c r="I199" i="9" s="1"/>
  <c r="F198" i="10" s="1"/>
  <c r="H200" i="9"/>
  <c r="I200" i="9" s="1"/>
  <c r="F199" i="10" s="1"/>
  <c r="H201" i="9"/>
  <c r="I201" i="9" s="1"/>
  <c r="F200" i="10" s="1"/>
  <c r="H202" i="9"/>
  <c r="I202" i="9" s="1"/>
  <c r="F201" i="10" s="1"/>
  <c r="H203" i="9"/>
  <c r="I203" i="9" s="1"/>
  <c r="F202" i="10" s="1"/>
  <c r="H204" i="9"/>
  <c r="H205" i="9"/>
  <c r="I205" i="9" s="1"/>
  <c r="F204" i="10" s="1"/>
  <c r="H206" i="9"/>
  <c r="I206" i="9" s="1"/>
  <c r="F205" i="10" s="1"/>
  <c r="H207" i="9"/>
  <c r="H208" i="9"/>
  <c r="I208" i="9" s="1"/>
  <c r="F207" i="10" s="1"/>
  <c r="H209" i="9"/>
  <c r="H210" i="9"/>
  <c r="H211" i="9"/>
  <c r="H212" i="9"/>
  <c r="I212" i="9" s="1"/>
  <c r="F211" i="10" s="1"/>
  <c r="H213" i="9"/>
  <c r="I213" i="9" s="1"/>
  <c r="F212" i="10" s="1"/>
  <c r="H214" i="9"/>
  <c r="I214" i="9" s="1"/>
  <c r="F213" i="10" s="1"/>
  <c r="H215" i="9"/>
  <c r="I215" i="9" s="1"/>
  <c r="F214" i="10" s="1"/>
  <c r="H216" i="9"/>
  <c r="H217" i="9"/>
  <c r="H218" i="9"/>
  <c r="H219" i="9"/>
  <c r="I219" i="9" s="1"/>
  <c r="F218" i="10" s="1"/>
  <c r="H220" i="9"/>
  <c r="I220" i="9" s="1"/>
  <c r="F219" i="10" s="1"/>
  <c r="H221" i="9"/>
  <c r="I221" i="9" s="1"/>
  <c r="F220" i="10" s="1"/>
  <c r="H222" i="9"/>
  <c r="I222" i="9" s="1"/>
  <c r="F221" i="10" s="1"/>
  <c r="H223" i="9"/>
  <c r="H224" i="9"/>
  <c r="I224" i="9" s="1"/>
  <c r="F223" i="10" s="1"/>
  <c r="H225" i="9"/>
  <c r="I225" i="9" s="1"/>
  <c r="F224" i="10" s="1"/>
  <c r="H226" i="9"/>
  <c r="I226" i="9" s="1"/>
  <c r="F225" i="10" s="1"/>
  <c r="H227" i="9"/>
  <c r="I227" i="9" s="1"/>
  <c r="F226" i="10" s="1"/>
  <c r="H228" i="9"/>
  <c r="I228" i="9" s="1"/>
  <c r="F227" i="10" s="1"/>
  <c r="H229" i="9"/>
  <c r="I229" i="9" s="1"/>
  <c r="F228" i="10" s="1"/>
  <c r="H230" i="9"/>
  <c r="I230" i="9" s="1"/>
  <c r="F229" i="10" s="1"/>
  <c r="H231" i="9"/>
  <c r="I231" i="9" s="1"/>
  <c r="F230" i="10" s="1"/>
  <c r="H232" i="9"/>
  <c r="H233" i="9"/>
  <c r="I233" i="9" s="1"/>
  <c r="F232" i="10" s="1"/>
  <c r="H234" i="9"/>
  <c r="I234" i="9" s="1"/>
  <c r="F233" i="10" s="1"/>
  <c r="H235" i="9"/>
  <c r="I235" i="9" s="1"/>
  <c r="F234" i="10" s="1"/>
  <c r="H236" i="9"/>
  <c r="I236" i="9" s="1"/>
  <c r="F235" i="10" s="1"/>
  <c r="H237" i="9"/>
  <c r="I237" i="9" s="1"/>
  <c r="F236" i="10" s="1"/>
  <c r="H238" i="9"/>
  <c r="I238" i="9" s="1"/>
  <c r="F237" i="10" s="1"/>
  <c r="H239" i="9"/>
  <c r="I239" i="9" s="1"/>
  <c r="F238" i="10" s="1"/>
  <c r="H240" i="9"/>
  <c r="I240" i="9" s="1"/>
  <c r="F239" i="10" s="1"/>
  <c r="H241" i="9"/>
  <c r="I241" i="9" s="1"/>
  <c r="F240" i="10" s="1"/>
  <c r="H242" i="9"/>
  <c r="I242" i="9" s="1"/>
  <c r="F241" i="10" s="1"/>
  <c r="H243" i="9"/>
  <c r="I243" i="9" s="1"/>
  <c r="F242" i="10" s="1"/>
  <c r="H244" i="9"/>
  <c r="H245" i="9"/>
  <c r="I245" i="9" s="1"/>
  <c r="F244" i="10" s="1"/>
  <c r="H246" i="9"/>
  <c r="I246" i="9" s="1"/>
  <c r="F245" i="10" s="1"/>
  <c r="H247" i="9"/>
  <c r="I247" i="9" s="1"/>
  <c r="F246" i="10" s="1"/>
  <c r="H248" i="9"/>
  <c r="I248" i="9" s="1"/>
  <c r="F247" i="10" s="1"/>
  <c r="H249" i="9"/>
  <c r="I249" i="9" s="1"/>
  <c r="F248" i="10" s="1"/>
  <c r="H250" i="9"/>
  <c r="I250" i="9" s="1"/>
  <c r="F249" i="10" s="1"/>
  <c r="H251" i="9"/>
  <c r="I251" i="9" s="1"/>
  <c r="F250" i="10" s="1"/>
  <c r="H252" i="9"/>
  <c r="I252" i="9" s="1"/>
  <c r="F251" i="10" s="1"/>
  <c r="H253" i="9"/>
  <c r="H254" i="9"/>
  <c r="I254" i="9" s="1"/>
  <c r="F253" i="10" s="1"/>
  <c r="H255" i="9"/>
  <c r="I255" i="9" s="1"/>
  <c r="F254" i="10" s="1"/>
  <c r="H256" i="9"/>
  <c r="I256" i="9" s="1"/>
  <c r="F255" i="10" s="1"/>
  <c r="H257" i="9"/>
  <c r="I257" i="9" s="1"/>
  <c r="F256" i="10" s="1"/>
  <c r="H258" i="9"/>
  <c r="I258" i="9" s="1"/>
  <c r="F257" i="10" s="1"/>
  <c r="H259" i="9"/>
  <c r="I259" i="9" s="1"/>
  <c r="F258" i="10" s="1"/>
  <c r="H260" i="9"/>
  <c r="I260" i="9" s="1"/>
  <c r="F259" i="10" s="1"/>
  <c r="H261" i="9"/>
  <c r="I261" i="9" s="1"/>
  <c r="F260" i="10" s="1"/>
  <c r="H262" i="9"/>
  <c r="I262" i="9" s="1"/>
  <c r="F261" i="10" s="1"/>
  <c r="H263" i="9"/>
  <c r="I263" i="9" s="1"/>
  <c r="F262" i="10" s="1"/>
  <c r="H264" i="9"/>
  <c r="I264" i="9" s="1"/>
  <c r="F263" i="10" s="1"/>
  <c r="H265" i="9"/>
  <c r="I265" i="9" s="1"/>
  <c r="F264" i="10" s="1"/>
  <c r="H266" i="9"/>
  <c r="I266" i="9" s="1"/>
  <c r="F265" i="10" s="1"/>
  <c r="H267" i="9"/>
  <c r="I267" i="9" s="1"/>
  <c r="F266" i="10" s="1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I281" i="9" s="1"/>
  <c r="F282" i="10" s="1"/>
  <c r="H283" i="9"/>
  <c r="H284" i="9"/>
  <c r="H285" i="9"/>
  <c r="I285" i="9" s="1"/>
  <c r="F287" i="10" s="1"/>
  <c r="H286" i="9"/>
  <c r="H287" i="9"/>
  <c r="H288" i="9"/>
  <c r="H289" i="9"/>
  <c r="I289" i="9" s="1"/>
  <c r="F291" i="10" s="1"/>
  <c r="H290" i="9"/>
  <c r="H291" i="9"/>
  <c r="H292" i="9"/>
  <c r="I292" i="9" s="1"/>
  <c r="F294" i="10" s="1"/>
  <c r="H293" i="9"/>
  <c r="H294" i="9"/>
  <c r="I294" i="9" s="1"/>
  <c r="F296" i="10" s="1"/>
  <c r="H295" i="9"/>
  <c r="H296" i="9"/>
  <c r="I296" i="9" s="1"/>
  <c r="F298" i="10" s="1"/>
  <c r="H297" i="9"/>
  <c r="I297" i="9" s="1"/>
  <c r="F299" i="10" s="1"/>
  <c r="H298" i="9"/>
  <c r="I298" i="9" s="1"/>
  <c r="F300" i="10" s="1"/>
  <c r="H299" i="9"/>
  <c r="I299" i="9" s="1"/>
  <c r="F301" i="10" s="1"/>
  <c r="H300" i="9"/>
  <c r="H301" i="9"/>
  <c r="I301" i="9" s="1"/>
  <c r="F303" i="10" s="1"/>
  <c r="H302" i="9"/>
  <c r="I302" i="9" s="1"/>
  <c r="F304" i="10" s="1"/>
  <c r="H303" i="9"/>
  <c r="H304" i="9"/>
  <c r="I304" i="9" s="1"/>
  <c r="F306" i="10" s="1"/>
  <c r="H305" i="9"/>
  <c r="I305" i="9" s="1"/>
  <c r="F307" i="10" s="1"/>
  <c r="H306" i="9"/>
  <c r="I306" i="9" s="1"/>
  <c r="F308" i="10" s="1"/>
  <c r="H307" i="9"/>
  <c r="I307" i="9" s="1"/>
  <c r="F309" i="10" s="1"/>
  <c r="H308" i="9"/>
  <c r="I308" i="9" s="1"/>
  <c r="F310" i="10" s="1"/>
  <c r="H309" i="9"/>
  <c r="I309" i="9" s="1"/>
  <c r="F311" i="10" s="1"/>
  <c r="H310" i="9"/>
  <c r="I310" i="9" s="1"/>
  <c r="F312" i="10" s="1"/>
  <c r="H311" i="9"/>
  <c r="I311" i="9" s="1"/>
  <c r="F313" i="10" s="1"/>
  <c r="H312" i="9"/>
  <c r="H313" i="9"/>
  <c r="I313" i="9" s="1"/>
  <c r="F315" i="10" s="1"/>
  <c r="H314" i="9"/>
  <c r="I314" i="9" s="1"/>
  <c r="F316" i="10" s="1"/>
  <c r="H315" i="9"/>
  <c r="I315" i="9" s="1"/>
  <c r="F317" i="10" s="1"/>
  <c r="H316" i="9"/>
  <c r="I316" i="9" s="1"/>
  <c r="F318" i="10" s="1"/>
  <c r="H317" i="9"/>
  <c r="I317" i="9" s="1"/>
  <c r="F319" i="10" s="1"/>
  <c r="H318" i="9"/>
  <c r="I318" i="9" s="1"/>
  <c r="F320" i="10" s="1"/>
  <c r="H319" i="9"/>
  <c r="H320" i="9"/>
  <c r="I320" i="9" s="1"/>
  <c r="F322" i="10" s="1"/>
  <c r="H321" i="9"/>
  <c r="I321" i="9" s="1"/>
  <c r="F323" i="10" s="1"/>
  <c r="H322" i="9"/>
  <c r="H323" i="9"/>
  <c r="I323" i="9" s="1"/>
  <c r="F325" i="10" s="1"/>
  <c r="H324" i="9"/>
  <c r="H325" i="9"/>
  <c r="H326" i="9"/>
  <c r="I326" i="9" s="1"/>
  <c r="F328" i="10" s="1"/>
  <c r="H327" i="9"/>
  <c r="H328" i="9"/>
  <c r="I328" i="9" s="1"/>
  <c r="F330" i="10" s="1"/>
  <c r="H329" i="9"/>
  <c r="H330" i="9"/>
  <c r="I330" i="9" s="1"/>
  <c r="F332" i="10" s="1"/>
  <c r="H331" i="9"/>
  <c r="I331" i="9" s="1"/>
  <c r="F333" i="10" s="1"/>
  <c r="H332" i="9"/>
  <c r="H333" i="9"/>
  <c r="I333" i="9" s="1"/>
  <c r="F335" i="10" s="1"/>
  <c r="H334" i="9"/>
  <c r="I334" i="9" s="1"/>
  <c r="F336" i="10" s="1"/>
  <c r="H335" i="9"/>
  <c r="I335" i="9" s="1"/>
  <c r="F337" i="10" s="1"/>
  <c r="H336" i="9"/>
  <c r="I336" i="9" s="1"/>
  <c r="F338" i="10" s="1"/>
  <c r="H337" i="9"/>
  <c r="I337" i="9" s="1"/>
  <c r="F339" i="10" s="1"/>
  <c r="H338" i="9"/>
  <c r="I338" i="9" s="1"/>
  <c r="F340" i="10" s="1"/>
  <c r="H339" i="9"/>
  <c r="I339" i="9" s="1"/>
  <c r="F341" i="10" s="1"/>
  <c r="H340" i="9"/>
  <c r="H341" i="9"/>
  <c r="H342" i="9"/>
  <c r="I342" i="9" s="1"/>
  <c r="F344" i="10" s="1"/>
  <c r="H343" i="9"/>
  <c r="I343" i="9" s="1"/>
  <c r="F345" i="10" s="1"/>
  <c r="H344" i="9"/>
  <c r="H345" i="9"/>
  <c r="H346" i="9"/>
  <c r="I346" i="9" s="1"/>
  <c r="F348" i="10" s="1"/>
  <c r="H347" i="9"/>
  <c r="H348" i="9"/>
  <c r="H349" i="9"/>
  <c r="I349" i="9" s="1"/>
  <c r="F351" i="10" s="1"/>
  <c r="H350" i="9"/>
  <c r="I350" i="9" s="1"/>
  <c r="F352" i="10" s="1"/>
  <c r="H351" i="9"/>
  <c r="I351" i="9" s="1"/>
  <c r="F353" i="10" s="1"/>
  <c r="H352" i="9"/>
  <c r="I352" i="9" s="1"/>
  <c r="F354" i="10" s="1"/>
  <c r="H353" i="9"/>
  <c r="I353" i="9" s="1"/>
  <c r="F355" i="10" s="1"/>
  <c r="H354" i="9"/>
  <c r="I354" i="9" s="1"/>
  <c r="F356" i="10" s="1"/>
  <c r="H355" i="9"/>
  <c r="I355" i="9" s="1"/>
  <c r="F357" i="10" s="1"/>
  <c r="H356" i="9"/>
  <c r="H357" i="9"/>
  <c r="I357" i="9" s="1"/>
  <c r="F359" i="10" s="1"/>
  <c r="H358" i="9"/>
  <c r="I358" i="9" s="1"/>
  <c r="F360" i="10" s="1"/>
  <c r="H359" i="9"/>
  <c r="H360" i="9"/>
  <c r="I360" i="9" s="1"/>
  <c r="F362" i="10" s="1"/>
  <c r="H361" i="9"/>
  <c r="I361" i="9" s="1"/>
  <c r="F363" i="10" s="1"/>
  <c r="H362" i="9"/>
  <c r="H363" i="9"/>
  <c r="I363" i="9" s="1"/>
  <c r="F365" i="10" s="1"/>
  <c r="H364" i="9"/>
  <c r="I364" i="9" s="1"/>
  <c r="F366" i="10" s="1"/>
  <c r="H365" i="9"/>
  <c r="H366" i="9"/>
  <c r="I366" i="9" s="1"/>
  <c r="F368" i="10" s="1"/>
  <c r="H367" i="9"/>
  <c r="H368" i="9"/>
  <c r="H369" i="9"/>
  <c r="I369" i="9" s="1"/>
  <c r="F371" i="10" s="1"/>
  <c r="H370" i="9"/>
  <c r="H371" i="9"/>
  <c r="H372" i="9"/>
  <c r="I372" i="9" s="1"/>
  <c r="F374" i="10" s="1"/>
  <c r="H373" i="9"/>
  <c r="H374" i="9"/>
  <c r="I374" i="9" s="1"/>
  <c r="F376" i="10" s="1"/>
  <c r="H375" i="9"/>
  <c r="H376" i="9"/>
  <c r="H377" i="9"/>
  <c r="I377" i="9" s="1"/>
  <c r="F379" i="10" s="1"/>
  <c r="H378" i="9"/>
  <c r="H379" i="9"/>
  <c r="H380" i="9"/>
  <c r="H381" i="9"/>
  <c r="H382" i="9"/>
  <c r="I382" i="9" s="1"/>
  <c r="F384" i="10" s="1"/>
  <c r="H383" i="9"/>
  <c r="H384" i="9"/>
  <c r="H385" i="9"/>
  <c r="H386" i="9"/>
  <c r="I386" i="9" s="1"/>
  <c r="F388" i="10" s="1"/>
  <c r="H387" i="9"/>
  <c r="I387" i="9" s="1"/>
  <c r="F389" i="10" s="1"/>
  <c r="H388" i="9"/>
  <c r="I388" i="9" s="1"/>
  <c r="F390" i="10" s="1"/>
  <c r="H389" i="9"/>
  <c r="H390" i="9"/>
  <c r="I390" i="9" s="1"/>
  <c r="F392" i="10" s="1"/>
  <c r="H391" i="9"/>
  <c r="I391" i="9" s="1"/>
  <c r="F393" i="10" s="1"/>
  <c r="H392" i="9"/>
  <c r="I392" i="9" s="1"/>
  <c r="F394" i="10" s="1"/>
  <c r="H393" i="9"/>
  <c r="H394" i="9"/>
  <c r="I394" i="9" s="1"/>
  <c r="F396" i="10" s="1"/>
  <c r="H395" i="9"/>
  <c r="I395" i="9" s="1"/>
  <c r="F397" i="10" s="1"/>
  <c r="H396" i="9"/>
  <c r="I396" i="9" s="1"/>
  <c r="F398" i="10" s="1"/>
  <c r="H397" i="9"/>
  <c r="H398" i="9"/>
  <c r="H399" i="9"/>
  <c r="I399" i="9" s="1"/>
  <c r="F401" i="10" s="1"/>
  <c r="H400" i="9"/>
  <c r="H401" i="9"/>
  <c r="I401" i="9" s="1"/>
  <c r="F403" i="10" s="1"/>
  <c r="H402" i="9"/>
  <c r="I402" i="9" s="1"/>
  <c r="F404" i="10" s="1"/>
  <c r="H403" i="9"/>
  <c r="I403" i="9" s="1"/>
  <c r="F405" i="10" s="1"/>
  <c r="H404" i="9"/>
  <c r="H405" i="9"/>
  <c r="I405" i="9" s="1"/>
  <c r="F407" i="10" s="1"/>
  <c r="H406" i="9"/>
  <c r="I406" i="9" s="1"/>
  <c r="F408" i="10" s="1"/>
  <c r="H407" i="9"/>
  <c r="I407" i="9" s="1"/>
  <c r="F409" i="10" s="1"/>
  <c r="H408" i="9"/>
  <c r="H409" i="9"/>
  <c r="H410" i="9"/>
  <c r="I410" i="9" s="1"/>
  <c r="F412" i="10" s="1"/>
  <c r="H411" i="9"/>
  <c r="H412" i="9"/>
  <c r="I412" i="9" s="1"/>
  <c r="F414" i="10" s="1"/>
  <c r="H413" i="9"/>
  <c r="H414" i="9"/>
  <c r="H415" i="9"/>
  <c r="H416" i="9"/>
  <c r="I416" i="9" s="1"/>
  <c r="F418" i="10" s="1"/>
  <c r="H417" i="9"/>
  <c r="H418" i="9"/>
  <c r="I418" i="9" s="1"/>
  <c r="F420" i="10" s="1"/>
  <c r="H419" i="9"/>
  <c r="I419" i="9" s="1"/>
  <c r="F421" i="10" s="1"/>
  <c r="H420" i="9"/>
  <c r="I420" i="9" s="1"/>
  <c r="F422" i="10" s="1"/>
  <c r="H421" i="9"/>
  <c r="I421" i="9" s="1"/>
  <c r="F423" i="10" s="1"/>
  <c r="H422" i="9"/>
  <c r="I422" i="9" s="1"/>
  <c r="F424" i="10" s="1"/>
  <c r="H423" i="9"/>
  <c r="I423" i="9" s="1"/>
  <c r="F425" i="10" s="1"/>
  <c r="H424" i="9"/>
  <c r="H425" i="9"/>
  <c r="I425" i="9" s="1"/>
  <c r="F427" i="10" s="1"/>
  <c r="H426" i="9"/>
  <c r="H427" i="9"/>
  <c r="H428" i="9"/>
  <c r="I428" i="9" s="1"/>
  <c r="F430" i="10" s="1"/>
  <c r="H429" i="9"/>
  <c r="H430" i="9"/>
  <c r="H431" i="9"/>
  <c r="I431" i="9" s="1"/>
  <c r="F433" i="10" s="1"/>
  <c r="H432" i="9"/>
  <c r="I432" i="9" s="1"/>
  <c r="F434" i="10" s="1"/>
  <c r="H433" i="9"/>
  <c r="H434" i="9"/>
  <c r="I434" i="9" s="1"/>
  <c r="F436" i="10" s="1"/>
  <c r="H435" i="9"/>
  <c r="I435" i="9" s="1"/>
  <c r="F437" i="10" s="1"/>
  <c r="H436" i="9"/>
  <c r="I436" i="9" s="1"/>
  <c r="F438" i="10" s="1"/>
  <c r="H437" i="9"/>
  <c r="I437" i="9" s="1"/>
  <c r="F439" i="10" s="1"/>
  <c r="H438" i="9"/>
  <c r="I438" i="9" s="1"/>
  <c r="F440" i="10" s="1"/>
  <c r="H439" i="9"/>
  <c r="I439" i="9" s="1"/>
  <c r="F441" i="10" s="1"/>
  <c r="H440" i="9"/>
  <c r="I440" i="9" s="1"/>
  <c r="F442" i="10" s="1"/>
  <c r="H441" i="9"/>
  <c r="I441" i="9" s="1"/>
  <c r="F443" i="10" s="1"/>
  <c r="H442" i="9"/>
  <c r="H443" i="9"/>
  <c r="I443" i="9" s="1"/>
  <c r="F445" i="10" s="1"/>
  <c r="H444" i="9"/>
  <c r="H445" i="9"/>
  <c r="I445" i="9" s="1"/>
  <c r="F447" i="10" s="1"/>
  <c r="H446" i="9"/>
  <c r="H447" i="9"/>
  <c r="I447" i="9" s="1"/>
  <c r="F449" i="10" s="1"/>
  <c r="H448" i="9"/>
  <c r="H449" i="9"/>
  <c r="I449" i="9" s="1"/>
  <c r="F451" i="10" s="1"/>
  <c r="H450" i="9"/>
  <c r="H451" i="9"/>
  <c r="H452" i="9"/>
  <c r="H453" i="9"/>
  <c r="H454" i="9"/>
  <c r="H455" i="9"/>
  <c r="H456" i="9"/>
  <c r="I456" i="9" s="1"/>
  <c r="F458" i="10" s="1"/>
  <c r="H457" i="9"/>
  <c r="I457" i="9" s="1"/>
  <c r="F459" i="10" s="1"/>
  <c r="H458" i="9"/>
  <c r="H459" i="9"/>
  <c r="H460" i="9"/>
  <c r="I460" i="9" s="1"/>
  <c r="F462" i="10" s="1"/>
  <c r="H461" i="9"/>
  <c r="I461" i="9" s="1"/>
  <c r="F463" i="10" s="1"/>
  <c r="H462" i="9"/>
  <c r="H463" i="9"/>
  <c r="H464" i="9"/>
  <c r="I464" i="9" s="1"/>
  <c r="F466" i="10" s="1"/>
  <c r="H465" i="9"/>
  <c r="I465" i="9" s="1"/>
  <c r="F467" i="10" s="1"/>
  <c r="H466" i="9"/>
  <c r="H467" i="9"/>
  <c r="I467" i="9" s="1"/>
  <c r="F469" i="10" s="1"/>
  <c r="H468" i="9"/>
  <c r="I468" i="9" s="1"/>
  <c r="F470" i="10" s="1"/>
  <c r="H469" i="9"/>
  <c r="I469" i="9" s="1"/>
  <c r="F471" i="10" s="1"/>
  <c r="H470" i="9"/>
  <c r="H471" i="9"/>
  <c r="I471" i="9" s="1"/>
  <c r="F473" i="10" s="1"/>
  <c r="H472" i="9"/>
  <c r="I472" i="9" s="1"/>
  <c r="F474" i="10" s="1"/>
  <c r="H473" i="9"/>
  <c r="H474" i="9"/>
  <c r="H475" i="9"/>
  <c r="H476" i="9"/>
  <c r="I476" i="9" s="1"/>
  <c r="F478" i="10" s="1"/>
  <c r="H477" i="9"/>
  <c r="H478" i="9"/>
  <c r="H479" i="9"/>
  <c r="H480" i="9"/>
  <c r="I480" i="9" s="1"/>
  <c r="F482" i="10" s="1"/>
  <c r="H481" i="9"/>
  <c r="I481" i="9" s="1"/>
  <c r="F483" i="10" s="1"/>
  <c r="H482" i="9"/>
  <c r="H483" i="9"/>
  <c r="H484" i="9"/>
  <c r="H485" i="9"/>
  <c r="I485" i="9" s="1"/>
  <c r="F487" i="10" s="1"/>
  <c r="H486" i="9"/>
  <c r="I486" i="9" s="1"/>
  <c r="F488" i="10" s="1"/>
  <c r="H487" i="9"/>
  <c r="H488" i="9"/>
  <c r="H489" i="9"/>
  <c r="H490" i="9"/>
  <c r="I490" i="9" s="1"/>
  <c r="F492" i="10" s="1"/>
  <c r="H491" i="9"/>
  <c r="I491" i="9" s="1"/>
  <c r="F493" i="10" s="1"/>
  <c r="H492" i="9"/>
  <c r="H493" i="9"/>
  <c r="H494" i="9"/>
  <c r="I494" i="9" s="1"/>
  <c r="F496" i="10" s="1"/>
  <c r="H495" i="9"/>
  <c r="H496" i="9"/>
  <c r="I496" i="9" s="1"/>
  <c r="F498" i="10" s="1"/>
  <c r="H497" i="9"/>
  <c r="I497" i="9" s="1"/>
  <c r="F499" i="10" s="1"/>
  <c r="H498" i="9"/>
  <c r="H499" i="9"/>
  <c r="I499" i="9" s="1"/>
  <c r="F501" i="10" s="1"/>
  <c r="H500" i="9"/>
  <c r="H501" i="9"/>
  <c r="H502" i="9"/>
  <c r="I502" i="9" s="1"/>
  <c r="F504" i="10" s="1"/>
  <c r="H503" i="9"/>
  <c r="H504" i="9"/>
  <c r="I504" i="9" s="1"/>
  <c r="F506" i="10" s="1"/>
  <c r="H505" i="9"/>
  <c r="H506" i="9"/>
  <c r="I506" i="9" s="1"/>
  <c r="F508" i="10" s="1"/>
  <c r="H507" i="9"/>
  <c r="I507" i="9" s="1"/>
  <c r="F509" i="10" s="1"/>
  <c r="H508" i="9"/>
  <c r="H509" i="9"/>
  <c r="H510" i="9"/>
  <c r="I510" i="9" s="1"/>
  <c r="F512" i="10" s="1"/>
  <c r="H511" i="9"/>
  <c r="I511" i="9" s="1"/>
  <c r="F513" i="10" s="1"/>
  <c r="H512" i="9"/>
  <c r="I512" i="9" s="1"/>
  <c r="F514" i="10" s="1"/>
  <c r="H513" i="9"/>
  <c r="H514" i="9"/>
  <c r="H515" i="9"/>
  <c r="I515" i="9" s="1"/>
  <c r="F517" i="10" s="1"/>
  <c r="H516" i="9"/>
  <c r="H517" i="9"/>
  <c r="H518" i="9"/>
  <c r="H519" i="9"/>
  <c r="I519" i="9" s="1"/>
  <c r="F521" i="10" s="1"/>
  <c r="H520" i="9"/>
  <c r="H521" i="9"/>
  <c r="I521" i="9" s="1"/>
  <c r="F523" i="10" s="1"/>
  <c r="H522" i="9"/>
  <c r="H523" i="9"/>
  <c r="I523" i="9" s="1"/>
  <c r="F525" i="10" s="1"/>
  <c r="H524" i="9"/>
  <c r="I524" i="9" s="1"/>
  <c r="F526" i="10" s="1"/>
  <c r="H525" i="9"/>
  <c r="H526" i="9"/>
  <c r="I526" i="9" s="1"/>
  <c r="F528" i="10" s="1"/>
  <c r="H527" i="9"/>
  <c r="H528" i="9"/>
  <c r="I528" i="9" s="1"/>
  <c r="F530" i="10" s="1"/>
  <c r="H529" i="9"/>
  <c r="I529" i="9" s="1"/>
  <c r="F531" i="10" s="1"/>
  <c r="H530" i="9"/>
  <c r="H531" i="9"/>
  <c r="I531" i="9" s="1"/>
  <c r="F533" i="10" s="1"/>
  <c r="H532" i="9"/>
  <c r="H533" i="9"/>
  <c r="H534" i="9"/>
  <c r="H535" i="9"/>
  <c r="H536" i="9"/>
  <c r="I536" i="9" s="1"/>
  <c r="F538" i="10" s="1"/>
  <c r="H537" i="9"/>
  <c r="H538" i="9"/>
  <c r="H539" i="9"/>
  <c r="H540" i="9"/>
  <c r="H541" i="9"/>
  <c r="I541" i="9" s="1"/>
  <c r="F543" i="10" s="1"/>
  <c r="H542" i="9"/>
  <c r="I542" i="9" s="1"/>
  <c r="F544" i="10" s="1"/>
  <c r="H543" i="9"/>
  <c r="H544" i="9"/>
  <c r="H545" i="9"/>
  <c r="I545" i="9" s="1"/>
  <c r="F547" i="10" s="1"/>
  <c r="H546" i="9"/>
  <c r="I546" i="9" s="1"/>
  <c r="F548" i="10" s="1"/>
  <c r="H547" i="9"/>
  <c r="I547" i="9" s="1"/>
  <c r="F549" i="10" s="1"/>
  <c r="H548" i="9"/>
  <c r="H549" i="9"/>
  <c r="H550" i="9"/>
  <c r="I550" i="9" s="1"/>
  <c r="F552" i="10" s="1"/>
  <c r="H551" i="9"/>
  <c r="I551" i="9" s="1"/>
  <c r="F553" i="10" s="1"/>
  <c r="H552" i="9"/>
  <c r="H553" i="9"/>
  <c r="H554" i="9"/>
  <c r="I554" i="9" s="1"/>
  <c r="F556" i="10" s="1"/>
  <c r="H555" i="9"/>
  <c r="I555" i="9" s="1"/>
  <c r="F557" i="10" s="1"/>
  <c r="H556" i="9"/>
  <c r="I556" i="9" s="1"/>
  <c r="F558" i="10" s="1"/>
  <c r="H557" i="9"/>
  <c r="H558" i="9"/>
  <c r="H559" i="9"/>
  <c r="I559" i="9" s="1"/>
  <c r="F561" i="10" s="1"/>
  <c r="H560" i="9"/>
  <c r="H561" i="9"/>
  <c r="I561" i="9" s="1"/>
  <c r="F563" i="10" s="1"/>
  <c r="H562" i="9"/>
  <c r="I562" i="9" s="1"/>
  <c r="F564" i="10" s="1"/>
  <c r="H563" i="9"/>
  <c r="H564" i="9"/>
  <c r="I564" i="9" s="1"/>
  <c r="F566" i="10" s="1"/>
  <c r="H565" i="9"/>
  <c r="I565" i="9" s="1"/>
  <c r="F567" i="10" s="1"/>
  <c r="H566" i="9"/>
  <c r="H567" i="9"/>
  <c r="I567" i="9" s="1"/>
  <c r="F569" i="10" s="1"/>
  <c r="H568" i="9"/>
  <c r="I568" i="9" s="1"/>
  <c r="F570" i="10" s="1"/>
  <c r="H569" i="9"/>
  <c r="I569" i="9" s="1"/>
  <c r="F571" i="10" s="1"/>
  <c r="H570" i="9"/>
  <c r="I570" i="9" s="1"/>
  <c r="F572" i="10" s="1"/>
  <c r="H571" i="9"/>
  <c r="H572" i="9"/>
  <c r="H573" i="9"/>
  <c r="I573" i="9" s="1"/>
  <c r="F575" i="10" s="1"/>
  <c r="H574" i="9"/>
  <c r="I574" i="9" s="1"/>
  <c r="F576" i="10" s="1"/>
  <c r="H575" i="9"/>
  <c r="H576" i="9"/>
  <c r="H577" i="9"/>
  <c r="H578" i="9"/>
  <c r="H579" i="9"/>
  <c r="I579" i="9" s="1"/>
  <c r="F581" i="10" s="1"/>
  <c r="H580" i="9"/>
  <c r="H581" i="9"/>
  <c r="I581" i="9" s="1"/>
  <c r="F583" i="10" s="1"/>
  <c r="H582" i="9"/>
  <c r="H583" i="9"/>
  <c r="I583" i="9" s="1"/>
  <c r="F585" i="10" s="1"/>
  <c r="H584" i="9"/>
  <c r="I584" i="9" s="1"/>
  <c r="F586" i="10" s="1"/>
  <c r="H585" i="9"/>
  <c r="H586" i="9"/>
  <c r="I586" i="9" s="1"/>
  <c r="F588" i="10" s="1"/>
  <c r="H587" i="9"/>
  <c r="I587" i="9" s="1"/>
  <c r="F589" i="10" s="1"/>
  <c r="H588" i="9"/>
  <c r="I588" i="9" s="1"/>
  <c r="F590" i="10" s="1"/>
  <c r="H589" i="9"/>
  <c r="I589" i="9" s="1"/>
  <c r="F591" i="10" s="1"/>
  <c r="H590" i="9"/>
  <c r="I590" i="9" s="1"/>
  <c r="F592" i="10" s="1"/>
  <c r="H591" i="9"/>
  <c r="I591" i="9" s="1"/>
  <c r="F593" i="10" s="1"/>
  <c r="H592" i="9"/>
  <c r="I592" i="9" s="1"/>
  <c r="F594" i="10" s="1"/>
  <c r="H593" i="9"/>
  <c r="I593" i="9" s="1"/>
  <c r="F595" i="10" s="1"/>
  <c r="H594" i="9"/>
  <c r="I594" i="9" s="1"/>
  <c r="F596" i="10" s="1"/>
  <c r="H595" i="9"/>
  <c r="I595" i="9" s="1"/>
  <c r="F597" i="10" s="1"/>
  <c r="H596" i="9"/>
  <c r="I596" i="9" s="1"/>
  <c r="F598" i="10" s="1"/>
  <c r="H597" i="9"/>
  <c r="I597" i="9" s="1"/>
  <c r="F599" i="10" s="1"/>
  <c r="H598" i="9"/>
  <c r="I598" i="9" s="1"/>
  <c r="F600" i="10" s="1"/>
  <c r="H599" i="9"/>
  <c r="I599" i="9" s="1"/>
  <c r="F601" i="10" s="1"/>
  <c r="H600" i="9"/>
  <c r="I600" i="9" s="1"/>
  <c r="F602" i="10" s="1"/>
  <c r="H601" i="9"/>
  <c r="I601" i="9" s="1"/>
  <c r="F603" i="10" s="1"/>
  <c r="H602" i="9"/>
  <c r="I602" i="9" s="1"/>
  <c r="F604" i="10" s="1"/>
  <c r="H603" i="9"/>
  <c r="I603" i="9" s="1"/>
  <c r="F605" i="10" s="1"/>
  <c r="H604" i="9"/>
  <c r="I604" i="9" s="1"/>
  <c r="F606" i="10" s="1"/>
  <c r="H605" i="9"/>
  <c r="I605" i="9" s="1"/>
  <c r="H606" i="9"/>
  <c r="I606" i="9" s="1"/>
  <c r="F607" i="10" s="1"/>
  <c r="H607" i="9"/>
  <c r="I607" i="9" s="1"/>
  <c r="F608" i="10" s="1"/>
  <c r="H608" i="9"/>
  <c r="I608" i="9" s="1"/>
  <c r="F609" i="10" s="1"/>
  <c r="H609" i="9"/>
  <c r="I609" i="9" s="1"/>
  <c r="F610" i="10" s="1"/>
  <c r="H610" i="9"/>
  <c r="I610" i="9" s="1"/>
  <c r="F611" i="10" s="1"/>
  <c r="H611" i="9"/>
  <c r="I611" i="9" s="1"/>
  <c r="F612" i="10" s="1"/>
  <c r="H612" i="9"/>
  <c r="I612" i="9" s="1"/>
  <c r="F613" i="10" s="1"/>
  <c r="H613" i="9"/>
  <c r="I613" i="9" s="1"/>
  <c r="F614" i="10" s="1"/>
  <c r="H614" i="9"/>
  <c r="H615" i="9"/>
  <c r="I615" i="9" s="1"/>
  <c r="F616" i="10" s="1"/>
  <c r="H616" i="9"/>
  <c r="I616" i="9" s="1"/>
  <c r="F617" i="10" s="1"/>
  <c r="H617" i="9"/>
  <c r="I617" i="9" s="1"/>
  <c r="F618" i="10" s="1"/>
  <c r="H618" i="9"/>
  <c r="I618" i="9" s="1"/>
  <c r="F619" i="10" s="1"/>
  <c r="H619" i="9"/>
  <c r="H620" i="9"/>
  <c r="I620" i="9" s="1"/>
  <c r="F621" i="10" s="1"/>
  <c r="H621" i="9"/>
  <c r="I621" i="9" s="1"/>
  <c r="F622" i="10" s="1"/>
  <c r="H622" i="9"/>
  <c r="I622" i="9" s="1"/>
  <c r="F623" i="10" s="1"/>
  <c r="H623" i="9"/>
  <c r="I623" i="9" s="1"/>
  <c r="F624" i="10" s="1"/>
  <c r="H624" i="9"/>
  <c r="I624" i="9" s="1"/>
  <c r="F625" i="10" s="1"/>
  <c r="H625" i="9"/>
  <c r="I625" i="9" s="1"/>
  <c r="F626" i="10" s="1"/>
  <c r="H626" i="9"/>
  <c r="I626" i="9" s="1"/>
  <c r="F627" i="10" s="1"/>
  <c r="H627" i="9"/>
  <c r="I627" i="9" s="1"/>
  <c r="F628" i="10" s="1"/>
  <c r="H628" i="9"/>
  <c r="I628" i="9" s="1"/>
  <c r="F629" i="10" s="1"/>
  <c r="H629" i="9"/>
  <c r="I629" i="9" s="1"/>
  <c r="F630" i="10" s="1"/>
  <c r="H630" i="9"/>
  <c r="I630" i="9" s="1"/>
  <c r="F631" i="10" s="1"/>
  <c r="H631" i="9"/>
  <c r="I631" i="9" s="1"/>
  <c r="F632" i="10" s="1"/>
  <c r="H632" i="9"/>
  <c r="I632" i="9" s="1"/>
  <c r="F633" i="10" s="1"/>
  <c r="H633" i="9"/>
  <c r="I633" i="9" s="1"/>
  <c r="F634" i="10" s="1"/>
  <c r="H634" i="9"/>
  <c r="I634" i="9" s="1"/>
  <c r="F635" i="10" s="1"/>
  <c r="H635" i="9"/>
  <c r="I635" i="9" s="1"/>
  <c r="F636" i="10" s="1"/>
  <c r="H636" i="9"/>
  <c r="I636" i="9" s="1"/>
  <c r="F637" i="10" s="1"/>
  <c r="H637" i="9"/>
  <c r="I637" i="9" s="1"/>
  <c r="F638" i="10" s="1"/>
  <c r="H638" i="9"/>
  <c r="I638" i="9" s="1"/>
  <c r="F639" i="10" s="1"/>
  <c r="H639" i="9"/>
  <c r="I639" i="9" s="1"/>
  <c r="F640" i="10" s="1"/>
  <c r="H640" i="9"/>
  <c r="I640" i="9" s="1"/>
  <c r="F641" i="10" s="1"/>
  <c r="H641" i="9"/>
  <c r="I641" i="9" s="1"/>
  <c r="F642" i="10" s="1"/>
  <c r="H642" i="9"/>
  <c r="I642" i="9" s="1"/>
  <c r="F643" i="10" s="1"/>
  <c r="H643" i="9"/>
  <c r="I643" i="9" s="1"/>
  <c r="F644" i="10" s="1"/>
  <c r="H644" i="9"/>
  <c r="I644" i="9" s="1"/>
  <c r="F645" i="10" s="1"/>
  <c r="H645" i="9"/>
  <c r="I645" i="9" s="1"/>
  <c r="F647" i="10" s="1"/>
  <c r="H646" i="9"/>
  <c r="I646" i="9" s="1"/>
  <c r="F648" i="10" s="1"/>
  <c r="H647" i="9"/>
  <c r="I647" i="9" s="1"/>
  <c r="F649" i="10" s="1"/>
  <c r="H648" i="9"/>
  <c r="H649" i="9"/>
  <c r="I649" i="9" s="1"/>
  <c r="F651" i="10" s="1"/>
  <c r="H650" i="9"/>
  <c r="I650" i="9" s="1"/>
  <c r="F652" i="10" s="1"/>
  <c r="H651" i="9"/>
  <c r="I651" i="9" s="1"/>
  <c r="F653" i="10" s="1"/>
  <c r="H652" i="9"/>
  <c r="I652" i="9" s="1"/>
  <c r="F654" i="10" s="1"/>
  <c r="H653" i="9"/>
  <c r="H654" i="9"/>
  <c r="I654" i="9" s="1"/>
  <c r="F656" i="10" s="1"/>
  <c r="H655" i="9"/>
  <c r="I655" i="9" s="1"/>
  <c r="F657" i="10" s="1"/>
  <c r="H656" i="9"/>
  <c r="I656" i="9" s="1"/>
  <c r="F658" i="10" s="1"/>
  <c r="H657" i="9"/>
  <c r="I657" i="9" s="1"/>
  <c r="F659" i="10" s="1"/>
  <c r="H658" i="9"/>
  <c r="I658" i="9" s="1"/>
  <c r="F660" i="10" s="1"/>
  <c r="H659" i="9"/>
  <c r="I659" i="9" s="1"/>
  <c r="F661" i="10" s="1"/>
  <c r="H660" i="9"/>
  <c r="I660" i="9" s="1"/>
  <c r="F662" i="10" s="1"/>
  <c r="H661" i="9"/>
  <c r="I661" i="9" s="1"/>
  <c r="F663" i="10" s="1"/>
  <c r="H662" i="9"/>
  <c r="I662" i="9" s="1"/>
  <c r="F664" i="10" s="1"/>
  <c r="H663" i="9"/>
  <c r="I663" i="9" s="1"/>
  <c r="F665" i="10" s="1"/>
  <c r="H664" i="9"/>
  <c r="H665" i="9"/>
  <c r="I665" i="9" s="1"/>
  <c r="F667" i="10" s="1"/>
  <c r="H666" i="9"/>
  <c r="I666" i="9" s="1"/>
  <c r="F668" i="10" s="1"/>
  <c r="H667" i="9"/>
  <c r="I667" i="9" s="1"/>
  <c r="F669" i="10" s="1"/>
  <c r="H668" i="9"/>
  <c r="I668" i="9" s="1"/>
  <c r="F670" i="10" s="1"/>
  <c r="H669" i="9"/>
  <c r="I669" i="9" s="1"/>
  <c r="F671" i="10" s="1"/>
  <c r="H670" i="9"/>
  <c r="I670" i="9" s="1"/>
  <c r="F672" i="10" s="1"/>
  <c r="H671" i="9"/>
  <c r="I671" i="9" s="1"/>
  <c r="F673" i="10" s="1"/>
  <c r="H672" i="9"/>
  <c r="I672" i="9" s="1"/>
  <c r="F674" i="10" s="1"/>
  <c r="H673" i="9"/>
  <c r="I673" i="9" s="1"/>
  <c r="F675" i="10" s="1"/>
  <c r="H674" i="9"/>
  <c r="I674" i="9" s="1"/>
  <c r="F676" i="10" s="1"/>
  <c r="H675" i="9"/>
  <c r="I675" i="9" s="1"/>
  <c r="F677" i="10" s="1"/>
  <c r="H676" i="9"/>
  <c r="I676" i="9" s="1"/>
  <c r="F678" i="10" s="1"/>
  <c r="H677" i="9"/>
  <c r="I677" i="9" s="1"/>
  <c r="F679" i="10" s="1"/>
  <c r="H678" i="9"/>
  <c r="I678" i="9" s="1"/>
  <c r="F680" i="10" s="1"/>
  <c r="H679" i="9"/>
  <c r="I679" i="9" s="1"/>
  <c r="F681" i="10" s="1"/>
  <c r="H680" i="9"/>
  <c r="I680" i="9" s="1"/>
  <c r="F682" i="10" s="1"/>
  <c r="H681" i="9"/>
  <c r="I681" i="9" s="1"/>
  <c r="F683" i="10" s="1"/>
  <c r="H682" i="9"/>
  <c r="I682" i="9" s="1"/>
  <c r="F684" i="10" s="1"/>
  <c r="H683" i="9"/>
  <c r="I683" i="9" s="1"/>
  <c r="F685" i="10" s="1"/>
  <c r="H684" i="9"/>
  <c r="I684" i="9" s="1"/>
  <c r="F686" i="10" s="1"/>
  <c r="H685" i="9"/>
  <c r="I685" i="9" s="1"/>
  <c r="F687" i="10" s="1"/>
  <c r="H686" i="9"/>
  <c r="I686" i="9" s="1"/>
  <c r="F688" i="10" s="1"/>
  <c r="H687" i="9"/>
  <c r="I687" i="9" s="1"/>
  <c r="F689" i="10" s="1"/>
  <c r="H688" i="9"/>
  <c r="I688" i="9" s="1"/>
  <c r="F690" i="10" s="1"/>
  <c r="H689" i="9"/>
  <c r="I689" i="9" s="1"/>
  <c r="F691" i="10" s="1"/>
  <c r="H690" i="9"/>
  <c r="I690" i="9" s="1"/>
  <c r="F692" i="10" s="1"/>
  <c r="H691" i="9"/>
  <c r="I691" i="9" s="1"/>
  <c r="F693" i="10" s="1"/>
  <c r="H692" i="9"/>
  <c r="I692" i="9" s="1"/>
  <c r="F694" i="10" s="1"/>
  <c r="H693" i="9"/>
  <c r="I693" i="9" s="1"/>
  <c r="F695" i="10" s="1"/>
  <c r="H694" i="9"/>
  <c r="I694" i="9" s="1"/>
  <c r="F696" i="10" s="1"/>
  <c r="H695" i="9"/>
  <c r="I695" i="9" s="1"/>
  <c r="F697" i="10" s="1"/>
  <c r="H696" i="9"/>
  <c r="H697" i="9"/>
  <c r="I697" i="9" s="1"/>
  <c r="F699" i="10" s="1"/>
  <c r="H698" i="9"/>
  <c r="H699" i="9"/>
  <c r="I699" i="9" s="1"/>
  <c r="F701" i="10" s="1"/>
  <c r="H700" i="9"/>
  <c r="I700" i="9" s="1"/>
  <c r="F702" i="10" s="1"/>
  <c r="H701" i="9"/>
  <c r="I701" i="9" s="1"/>
  <c r="F703" i="10" s="1"/>
  <c r="H702" i="9"/>
  <c r="I702" i="9" s="1"/>
  <c r="F704" i="10" s="1"/>
  <c r="H703" i="9"/>
  <c r="I703" i="9" s="1"/>
  <c r="F705" i="10" s="1"/>
  <c r="H704" i="9"/>
  <c r="I704" i="9" s="1"/>
  <c r="F706" i="10" s="1"/>
  <c r="H705" i="9"/>
  <c r="I705" i="9" s="1"/>
  <c r="F707" i="10" s="1"/>
  <c r="H706" i="9"/>
  <c r="I706" i="9" s="1"/>
  <c r="F708" i="10" s="1"/>
  <c r="H707" i="9"/>
  <c r="I707" i="9" s="1"/>
  <c r="F709" i="10" s="1"/>
  <c r="H708" i="9"/>
  <c r="I708" i="9" s="1"/>
  <c r="F710" i="10" s="1"/>
  <c r="H709" i="9"/>
  <c r="I709" i="9" s="1"/>
  <c r="F711" i="10" s="1"/>
  <c r="H710" i="9"/>
  <c r="I710" i="9" s="1"/>
  <c r="F712" i="10" s="1"/>
  <c r="H711" i="9"/>
  <c r="I711" i="9" s="1"/>
  <c r="F713" i="10" s="1"/>
  <c r="H712" i="9"/>
  <c r="I712" i="9" s="1"/>
  <c r="F714" i="10" s="1"/>
  <c r="H713" i="9"/>
  <c r="I713" i="9" s="1"/>
  <c r="F715" i="10" s="1"/>
  <c r="H714" i="9"/>
  <c r="I714" i="9" s="1"/>
  <c r="F716" i="10" s="1"/>
  <c r="H715" i="9"/>
  <c r="I715" i="9" s="1"/>
  <c r="F717" i="10" s="1"/>
  <c r="H716" i="9"/>
  <c r="I716" i="9" s="1"/>
  <c r="F718" i="10" s="1"/>
  <c r="H717" i="9"/>
  <c r="I717" i="9" s="1"/>
  <c r="F719" i="10" s="1"/>
  <c r="H718" i="9"/>
  <c r="I718" i="9" s="1"/>
  <c r="F720" i="10" s="1"/>
  <c r="H719" i="9"/>
  <c r="I719" i="9" s="1"/>
  <c r="F721" i="10" s="1"/>
  <c r="H720" i="9"/>
  <c r="I720" i="9" s="1"/>
  <c r="F722" i="10" s="1"/>
  <c r="H721" i="9"/>
  <c r="I721" i="9" s="1"/>
  <c r="F723" i="10" s="1"/>
  <c r="H722" i="9"/>
  <c r="I722" i="9" s="1"/>
  <c r="F724" i="10" s="1"/>
  <c r="H723" i="9"/>
  <c r="H724" i="9"/>
  <c r="I724" i="9" s="1"/>
  <c r="F726" i="10" s="1"/>
  <c r="H725" i="9"/>
  <c r="I725" i="9" s="1"/>
  <c r="F727" i="10" s="1"/>
  <c r="H726" i="9"/>
  <c r="I726" i="9" s="1"/>
  <c r="F728" i="10" s="1"/>
  <c r="H727" i="9"/>
  <c r="I727" i="9" s="1"/>
  <c r="F729" i="10" s="1"/>
  <c r="H728" i="9"/>
  <c r="H729" i="9"/>
  <c r="I729" i="9" s="1"/>
  <c r="F731" i="10" s="1"/>
  <c r="H730" i="9"/>
  <c r="I730" i="9" s="1"/>
  <c r="F732" i="10" s="1"/>
  <c r="H731" i="9"/>
  <c r="I731" i="9" s="1"/>
  <c r="F733" i="10" s="1"/>
  <c r="H732" i="9"/>
  <c r="I732" i="9" s="1"/>
  <c r="F734" i="10" s="1"/>
  <c r="H733" i="9"/>
  <c r="I733" i="9" s="1"/>
  <c r="F735" i="10" s="1"/>
  <c r="H734" i="9"/>
  <c r="I734" i="9" s="1"/>
  <c r="F736" i="10" s="1"/>
  <c r="H735" i="9"/>
  <c r="I735" i="9" s="1"/>
  <c r="F737" i="10" s="1"/>
  <c r="H736" i="9"/>
  <c r="I736" i="9" s="1"/>
  <c r="F738" i="10" s="1"/>
  <c r="H737" i="9"/>
  <c r="I737" i="9" s="1"/>
  <c r="F739" i="10" s="1"/>
  <c r="H738" i="9"/>
  <c r="I738" i="9" s="1"/>
  <c r="F740" i="10" s="1"/>
  <c r="H739" i="9"/>
  <c r="I739" i="9" s="1"/>
  <c r="F741" i="10" s="1"/>
  <c r="H740" i="9"/>
  <c r="I740" i="9" s="1"/>
  <c r="F742" i="10" s="1"/>
  <c r="H741" i="9"/>
  <c r="I741" i="9" s="1"/>
  <c r="F743" i="10" s="1"/>
  <c r="H742" i="9"/>
  <c r="I742" i="9" s="1"/>
  <c r="F744" i="10" s="1"/>
  <c r="H743" i="9"/>
  <c r="I743" i="9" s="1"/>
  <c r="F745" i="10" s="1"/>
  <c r="H744" i="9"/>
  <c r="H745" i="9"/>
  <c r="I745" i="9" s="1"/>
  <c r="F747" i="10" s="1"/>
  <c r="H746" i="9"/>
  <c r="I746" i="9" s="1"/>
  <c r="F748" i="10" s="1"/>
  <c r="H747" i="9"/>
  <c r="I747" i="9" s="1"/>
  <c r="F749" i="10" s="1"/>
  <c r="H748" i="9"/>
  <c r="I748" i="9" s="1"/>
  <c r="F750" i="10" s="1"/>
  <c r="H749" i="9"/>
  <c r="I749" i="9" s="1"/>
  <c r="F751" i="10" s="1"/>
  <c r="H750" i="9"/>
  <c r="I750" i="9" s="1"/>
  <c r="F752" i="10" s="1"/>
  <c r="H751" i="9"/>
  <c r="I751" i="9" s="1"/>
  <c r="H752" i="9"/>
  <c r="I752" i="9" s="1"/>
  <c r="F753" i="10" s="1"/>
  <c r="H753" i="9"/>
  <c r="I753" i="9" s="1"/>
  <c r="F754" i="10" s="1"/>
  <c r="H754" i="9"/>
  <c r="I754" i="9" s="1"/>
  <c r="F755" i="10" s="1"/>
  <c r="H755" i="9"/>
  <c r="I755" i="9" s="1"/>
  <c r="F756" i="10" s="1"/>
  <c r="H756" i="9"/>
  <c r="I756" i="9" s="1"/>
  <c r="F757" i="10" s="1"/>
  <c r="H757" i="9"/>
  <c r="I757" i="9" s="1"/>
  <c r="F758" i="10" s="1"/>
  <c r="H758" i="9"/>
  <c r="I758" i="9" s="1"/>
  <c r="F759" i="10" s="1"/>
  <c r="H759" i="9"/>
  <c r="I759" i="9" s="1"/>
  <c r="F760" i="10" s="1"/>
  <c r="H760" i="9"/>
  <c r="I760" i="9" s="1"/>
  <c r="F761" i="10" s="1"/>
  <c r="H761" i="9"/>
  <c r="I761" i="9" s="1"/>
  <c r="F762" i="10" s="1"/>
  <c r="H762" i="9"/>
  <c r="I762" i="9" s="1"/>
  <c r="F763" i="10" s="1"/>
  <c r="H763" i="9"/>
  <c r="I763" i="9" s="1"/>
  <c r="F764" i="10" s="1"/>
  <c r="H764" i="9"/>
  <c r="I764" i="9" s="1"/>
  <c r="F765" i="10" s="1"/>
  <c r="H765" i="9"/>
  <c r="I765" i="9" s="1"/>
  <c r="F766" i="10" s="1"/>
  <c r="H766" i="9"/>
  <c r="I766" i="9" s="1"/>
  <c r="F767" i="10" s="1"/>
  <c r="H767" i="9"/>
  <c r="I767" i="9" s="1"/>
  <c r="F768" i="10" s="1"/>
  <c r="H768" i="9"/>
  <c r="I768" i="9" s="1"/>
  <c r="F769" i="10" s="1"/>
  <c r="H769" i="9"/>
  <c r="I769" i="9" s="1"/>
  <c r="F770" i="10" s="1"/>
  <c r="H770" i="9"/>
  <c r="I770" i="9" s="1"/>
  <c r="F771" i="10" s="1"/>
  <c r="H771" i="9"/>
  <c r="I771" i="9" s="1"/>
  <c r="F772" i="10" s="1"/>
  <c r="H772" i="9"/>
  <c r="I772" i="9" s="1"/>
  <c r="F773" i="10" s="1"/>
  <c r="H773" i="9"/>
  <c r="I773" i="9" s="1"/>
  <c r="F774" i="10" s="1"/>
  <c r="H774" i="9"/>
  <c r="I774" i="9" s="1"/>
  <c r="F775" i="10" s="1"/>
  <c r="H775" i="9"/>
  <c r="I775" i="9" s="1"/>
  <c r="F776" i="10" s="1"/>
  <c r="H776" i="9"/>
  <c r="I776" i="9" s="1"/>
  <c r="F777" i="10" s="1"/>
  <c r="H777" i="9"/>
  <c r="I777" i="9" s="1"/>
  <c r="F778" i="10" s="1"/>
  <c r="H778" i="9"/>
  <c r="I778" i="9" s="1"/>
  <c r="F779" i="10" s="1"/>
  <c r="H779" i="9"/>
  <c r="I779" i="9" s="1"/>
  <c r="F780" i="10" s="1"/>
  <c r="H780" i="9"/>
  <c r="I780" i="9" s="1"/>
  <c r="F781" i="10" s="1"/>
  <c r="H781" i="9"/>
  <c r="I781" i="9" s="1"/>
  <c r="F782" i="10" s="1"/>
  <c r="H782" i="9"/>
  <c r="I782" i="9" s="1"/>
  <c r="F783" i="10" s="1"/>
  <c r="H783" i="9"/>
  <c r="I783" i="9" s="1"/>
  <c r="F784" i="10" s="1"/>
  <c r="H784" i="9"/>
  <c r="I784" i="9" s="1"/>
  <c r="F785" i="10" s="1"/>
  <c r="H785" i="9"/>
  <c r="I785" i="9" s="1"/>
  <c r="F786" i="10" s="1"/>
  <c r="H786" i="9"/>
  <c r="I786" i="9" s="1"/>
  <c r="F787" i="10" s="1"/>
  <c r="H787" i="9"/>
  <c r="I787" i="9" s="1"/>
  <c r="F788" i="10" s="1"/>
  <c r="H788" i="9"/>
  <c r="I788" i="9" s="1"/>
  <c r="F789" i="10" s="1"/>
  <c r="H789" i="9"/>
  <c r="I789" i="9" s="1"/>
  <c r="F790" i="10" s="1"/>
  <c r="H790" i="9"/>
  <c r="I790" i="9" s="1"/>
  <c r="F791" i="10" s="1"/>
  <c r="H791" i="9"/>
  <c r="I791" i="9" s="1"/>
  <c r="F792" i="10" s="1"/>
  <c r="H792" i="9"/>
  <c r="I792" i="9" s="1"/>
  <c r="F793" i="10" s="1"/>
  <c r="H793" i="9"/>
  <c r="I793" i="9" s="1"/>
  <c r="F794" i="10" s="1"/>
  <c r="H794" i="9"/>
  <c r="I794" i="9" s="1"/>
  <c r="F795" i="10" s="1"/>
  <c r="H795" i="9"/>
  <c r="I795" i="9" s="1"/>
  <c r="F796" i="10" s="1"/>
  <c r="H796" i="9"/>
  <c r="I796" i="9" s="1"/>
  <c r="F797" i="10" s="1"/>
  <c r="H797" i="9"/>
  <c r="I797" i="9" s="1"/>
  <c r="F798" i="10" s="1"/>
  <c r="H798" i="9"/>
  <c r="I798" i="9" s="1"/>
  <c r="F799" i="10" s="1"/>
  <c r="H799" i="9"/>
  <c r="I799" i="9" s="1"/>
  <c r="F800" i="10" s="1"/>
  <c r="H800" i="9"/>
  <c r="I800" i="9" s="1"/>
  <c r="H801" i="9"/>
  <c r="I801" i="9" s="1"/>
  <c r="F801" i="10" s="1"/>
  <c r="H802" i="9"/>
  <c r="I802" i="9" s="1"/>
  <c r="F802" i="10" s="1"/>
  <c r="H803" i="9"/>
  <c r="I803" i="9" s="1"/>
  <c r="F803" i="10" s="1"/>
  <c r="H804" i="9"/>
  <c r="H805" i="9"/>
  <c r="I805" i="9" s="1"/>
  <c r="F805" i="10" s="1"/>
  <c r="H806" i="9"/>
  <c r="I806" i="9" s="1"/>
  <c r="F806" i="10" s="1"/>
  <c r="H807" i="9"/>
  <c r="I807" i="9" s="1"/>
  <c r="F807" i="10" s="1"/>
  <c r="H808" i="9"/>
  <c r="I808" i="9" s="1"/>
  <c r="F808" i="10" s="1"/>
  <c r="H809" i="9"/>
  <c r="I809" i="9" s="1"/>
  <c r="F809" i="10" s="1"/>
  <c r="H810" i="9"/>
  <c r="I810" i="9" s="1"/>
  <c r="F810" i="10" s="1"/>
  <c r="H811" i="9"/>
  <c r="I811" i="9" s="1"/>
  <c r="F811" i="10" s="1"/>
  <c r="H812" i="9"/>
  <c r="I812" i="9" s="1"/>
  <c r="F812" i="10" s="1"/>
  <c r="H813" i="9"/>
  <c r="I813" i="9" s="1"/>
  <c r="F813" i="10" s="1"/>
  <c r="H814" i="9"/>
  <c r="I814" i="9" s="1"/>
  <c r="F814" i="10" s="1"/>
  <c r="H815" i="9"/>
  <c r="I815" i="9" s="1"/>
  <c r="F815" i="10" s="1"/>
  <c r="H816" i="9"/>
  <c r="I816" i="9" s="1"/>
  <c r="F816" i="10" s="1"/>
  <c r="H817" i="9"/>
  <c r="I817" i="9" s="1"/>
  <c r="F817" i="10" s="1"/>
  <c r="H818" i="9"/>
  <c r="H819" i="9"/>
  <c r="I819" i="9" s="1"/>
  <c r="F819" i="10" s="1"/>
  <c r="H820" i="9"/>
  <c r="H821" i="9"/>
  <c r="I821" i="9" s="1"/>
  <c r="F821" i="10" s="1"/>
  <c r="H822" i="9"/>
  <c r="I822" i="9" s="1"/>
  <c r="F822" i="10" s="1"/>
  <c r="H823" i="9"/>
  <c r="I823" i="9" s="1"/>
  <c r="F823" i="10" s="1"/>
  <c r="H824" i="9"/>
  <c r="I824" i="9" s="1"/>
  <c r="F824" i="10" s="1"/>
  <c r="H825" i="9"/>
  <c r="I825" i="9" s="1"/>
  <c r="F825" i="10" s="1"/>
  <c r="H826" i="9"/>
  <c r="I826" i="9" s="1"/>
  <c r="F826" i="10" s="1"/>
  <c r="H827" i="9"/>
  <c r="I827" i="9" s="1"/>
  <c r="F827" i="10" s="1"/>
  <c r="H828" i="9"/>
  <c r="I828" i="9" s="1"/>
  <c r="F828" i="10" s="1"/>
  <c r="H829" i="9"/>
  <c r="I829" i="9" s="1"/>
  <c r="F829" i="10" s="1"/>
  <c r="H830" i="9"/>
  <c r="I830" i="9" s="1"/>
  <c r="F830" i="10" s="1"/>
  <c r="H831" i="9"/>
  <c r="I831" i="9" s="1"/>
  <c r="F831" i="10" s="1"/>
  <c r="H832" i="9"/>
  <c r="I832" i="9" s="1"/>
  <c r="F832" i="10" s="1"/>
  <c r="H833" i="9"/>
  <c r="I833" i="9" s="1"/>
  <c r="F833" i="10" s="1"/>
  <c r="H834" i="9"/>
  <c r="I834" i="9" s="1"/>
  <c r="F834" i="10" s="1"/>
  <c r="H835" i="9"/>
  <c r="I835" i="9" s="1"/>
  <c r="F835" i="10" s="1"/>
  <c r="H836" i="9"/>
  <c r="I836" i="9" s="1"/>
  <c r="F836" i="10" s="1"/>
  <c r="H837" i="9"/>
  <c r="I837" i="9" s="1"/>
  <c r="F837" i="10" s="1"/>
  <c r="H838" i="9"/>
  <c r="I838" i="9" s="1"/>
  <c r="F838" i="10" s="1"/>
  <c r="H839" i="9"/>
  <c r="I839" i="9" s="1"/>
  <c r="F839" i="10" s="1"/>
  <c r="H840" i="9"/>
  <c r="I840" i="9" s="1"/>
  <c r="F840" i="10" s="1"/>
  <c r="H841" i="9"/>
  <c r="I841" i="9" s="1"/>
  <c r="F841" i="10" s="1"/>
  <c r="H842" i="9"/>
  <c r="I842" i="9" s="1"/>
  <c r="F842" i="10" s="1"/>
  <c r="H843" i="9"/>
  <c r="I843" i="9" s="1"/>
  <c r="F843" i="10" s="1"/>
  <c r="H844" i="9"/>
  <c r="I844" i="9" s="1"/>
  <c r="F844" i="10" s="1"/>
  <c r="H845" i="9"/>
  <c r="I845" i="9" s="1"/>
  <c r="F845" i="10" s="1"/>
  <c r="H846" i="9"/>
  <c r="I846" i="9" s="1"/>
  <c r="F846" i="10" s="1"/>
  <c r="H847" i="9"/>
  <c r="I847" i="9" s="1"/>
  <c r="F847" i="10" s="1"/>
  <c r="H848" i="9"/>
  <c r="I848" i="9" s="1"/>
  <c r="F848" i="10" s="1"/>
  <c r="H849" i="9"/>
  <c r="I849" i="9" s="1"/>
  <c r="F849" i="10" s="1"/>
  <c r="H850" i="9"/>
  <c r="I850" i="9" s="1"/>
  <c r="F850" i="10" s="1"/>
  <c r="H851" i="9"/>
  <c r="I851" i="9" s="1"/>
  <c r="F851" i="10" s="1"/>
  <c r="H852" i="9"/>
  <c r="I852" i="9" s="1"/>
  <c r="F852" i="10" s="1"/>
  <c r="H853" i="9"/>
  <c r="I853" i="9" s="1"/>
  <c r="F853" i="10" s="1"/>
  <c r="H854" i="9"/>
  <c r="I854" i="9" s="1"/>
  <c r="F854" i="10" s="1"/>
  <c r="H855" i="9"/>
  <c r="I855" i="9" s="1"/>
  <c r="F855" i="10" s="1"/>
  <c r="H856" i="9"/>
  <c r="I856" i="9" s="1"/>
  <c r="F856" i="10" s="1"/>
  <c r="H857" i="9"/>
  <c r="H858" i="9"/>
  <c r="I858" i="9" s="1"/>
  <c r="F858" i="10" s="1"/>
  <c r="H859" i="9"/>
  <c r="I859" i="9" s="1"/>
  <c r="F859" i="10" s="1"/>
  <c r="H860" i="9"/>
  <c r="I860" i="9" s="1"/>
  <c r="F860" i="10" s="1"/>
  <c r="H861" i="9"/>
  <c r="I861" i="9" s="1"/>
  <c r="F861" i="10" s="1"/>
  <c r="H862" i="9"/>
  <c r="I862" i="9" s="1"/>
  <c r="F862" i="10" s="1"/>
  <c r="H863" i="9"/>
  <c r="I863" i="9" s="1"/>
  <c r="F863" i="10" s="1"/>
  <c r="H864" i="9"/>
  <c r="I864" i="9" s="1"/>
  <c r="F864" i="10" s="1"/>
  <c r="H865" i="9"/>
  <c r="I865" i="9" s="1"/>
  <c r="F865" i="10" s="1"/>
  <c r="H866" i="9"/>
  <c r="I866" i="9" s="1"/>
  <c r="F866" i="10" s="1"/>
  <c r="H867" i="9"/>
  <c r="I867" i="9" s="1"/>
  <c r="F867" i="10" s="1"/>
  <c r="H868" i="9"/>
  <c r="I868" i="9" s="1"/>
  <c r="F868" i="10" s="1"/>
  <c r="H869" i="9"/>
  <c r="I869" i="9" s="1"/>
  <c r="F869" i="10" s="1"/>
  <c r="H870" i="9"/>
  <c r="I870" i="9" s="1"/>
  <c r="F870" i="10" s="1"/>
  <c r="H871" i="9"/>
  <c r="I871" i="9" s="1"/>
  <c r="F871" i="10" s="1"/>
  <c r="H872" i="9"/>
  <c r="I872" i="9" s="1"/>
  <c r="F872" i="10" s="1"/>
  <c r="H873" i="9"/>
  <c r="I873" i="9" s="1"/>
  <c r="F873" i="10" s="1"/>
  <c r="H874" i="9"/>
  <c r="I874" i="9" s="1"/>
  <c r="F874" i="10" s="1"/>
  <c r="H875" i="9"/>
  <c r="I875" i="9" s="1"/>
  <c r="F875" i="10" s="1"/>
  <c r="H876" i="9"/>
  <c r="I876" i="9" s="1"/>
  <c r="F876" i="10" s="1"/>
  <c r="H877" i="9"/>
  <c r="I877" i="9" s="1"/>
  <c r="F877" i="10" s="1"/>
  <c r="H878" i="9"/>
  <c r="I878" i="9" s="1"/>
  <c r="F878" i="10" s="1"/>
  <c r="H879" i="9"/>
  <c r="I879" i="9" s="1"/>
  <c r="F879" i="10" s="1"/>
  <c r="H880" i="9"/>
  <c r="I880" i="9" s="1"/>
  <c r="F880" i="10" s="1"/>
  <c r="H881" i="9"/>
  <c r="I881" i="9" s="1"/>
  <c r="F881" i="10" s="1"/>
  <c r="H882" i="9"/>
  <c r="H883" i="9"/>
  <c r="I883" i="9" s="1"/>
  <c r="F883" i="10" s="1"/>
  <c r="H884" i="9"/>
  <c r="I884" i="9" s="1"/>
  <c r="F884" i="10" s="1"/>
  <c r="H885" i="9"/>
  <c r="I885" i="9" s="1"/>
  <c r="F885" i="10" s="1"/>
  <c r="H886" i="9"/>
  <c r="I886" i="9" s="1"/>
  <c r="F886" i="10" s="1"/>
  <c r="H887" i="9"/>
  <c r="I887" i="9" s="1"/>
  <c r="F887" i="10" s="1"/>
  <c r="H888" i="9"/>
  <c r="I888" i="9" s="1"/>
  <c r="F888" i="10" s="1"/>
  <c r="H889" i="9"/>
  <c r="I889" i="9" s="1"/>
  <c r="F889" i="10" s="1"/>
  <c r="H890" i="9"/>
  <c r="I890" i="9" s="1"/>
  <c r="F890" i="10" s="1"/>
  <c r="H891" i="9"/>
  <c r="I891" i="9" s="1"/>
  <c r="F891" i="10" s="1"/>
  <c r="H892" i="9"/>
  <c r="I892" i="9" s="1"/>
  <c r="F892" i="10" s="1"/>
  <c r="H893" i="9"/>
  <c r="I893" i="9" s="1"/>
  <c r="F893" i="10" s="1"/>
  <c r="H894" i="9"/>
  <c r="I894" i="9" s="1"/>
  <c r="F894" i="10" s="1"/>
  <c r="H895" i="9"/>
  <c r="I895" i="9" s="1"/>
  <c r="F895" i="10" s="1"/>
  <c r="H896" i="9"/>
  <c r="I896" i="9" s="1"/>
  <c r="F896" i="10" s="1"/>
  <c r="H897" i="9"/>
  <c r="I897" i="9" s="1"/>
  <c r="F897" i="10" s="1"/>
  <c r="H898" i="9"/>
  <c r="I898" i="9" s="1"/>
  <c r="F898" i="10" s="1"/>
  <c r="H899" i="9"/>
  <c r="I899" i="9" s="1"/>
  <c r="F899" i="10" s="1"/>
  <c r="H900" i="9"/>
  <c r="I900" i="9" s="1"/>
  <c r="F900" i="10" s="1"/>
  <c r="H901" i="9"/>
  <c r="I901" i="9" s="1"/>
  <c r="F901" i="10" s="1"/>
  <c r="H902" i="9"/>
  <c r="H903" i="9"/>
  <c r="I903" i="9" s="1"/>
  <c r="F903" i="10" s="1"/>
  <c r="H904" i="9"/>
  <c r="I904" i="9" s="1"/>
  <c r="F904" i="10" s="1"/>
  <c r="H905" i="9"/>
  <c r="I905" i="9" s="1"/>
  <c r="F905" i="10" s="1"/>
  <c r="H906" i="9"/>
  <c r="I906" i="9" s="1"/>
  <c r="F906" i="10" s="1"/>
  <c r="H907" i="9"/>
  <c r="H908" i="9"/>
  <c r="I908" i="9" s="1"/>
  <c r="F908" i="10" s="1"/>
  <c r="H909" i="9"/>
  <c r="I909" i="9" s="1"/>
  <c r="F909" i="10" s="1"/>
  <c r="H910" i="9"/>
  <c r="H911" i="9"/>
  <c r="H912" i="9"/>
  <c r="H913" i="9"/>
  <c r="H914" i="9"/>
  <c r="H915" i="9"/>
  <c r="H916" i="9"/>
  <c r="H917" i="9"/>
  <c r="H918" i="9"/>
  <c r="H919" i="9"/>
  <c r="H920" i="9"/>
  <c r="I920" i="9" s="1"/>
  <c r="H921" i="9"/>
  <c r="H922" i="9"/>
  <c r="H923" i="9"/>
  <c r="I923" i="9" s="1"/>
  <c r="F922" i="10" s="1"/>
  <c r="H924" i="9"/>
  <c r="I924" i="9" s="1"/>
  <c r="F923" i="10" s="1"/>
  <c r="H925" i="9"/>
  <c r="I925" i="9" s="1"/>
  <c r="F924" i="10" s="1"/>
  <c r="H926" i="9"/>
  <c r="I926" i="9" s="1"/>
  <c r="F925" i="10" s="1"/>
  <c r="H927" i="9"/>
  <c r="I927" i="9" s="1"/>
  <c r="F926" i="10" s="1"/>
  <c r="H928" i="9"/>
  <c r="I928" i="9" s="1"/>
  <c r="F927" i="10" s="1"/>
  <c r="H929" i="9"/>
  <c r="I929" i="9" s="1"/>
  <c r="F928" i="10" s="1"/>
  <c r="H930" i="9"/>
  <c r="I930" i="9" s="1"/>
  <c r="F929" i="10" s="1"/>
  <c r="H931" i="9"/>
  <c r="I931" i="9" s="1"/>
  <c r="F930" i="10" s="1"/>
  <c r="H932" i="9"/>
  <c r="I932" i="9" s="1"/>
  <c r="F931" i="10" s="1"/>
  <c r="H933" i="9"/>
  <c r="I933" i="9" s="1"/>
  <c r="F932" i="10" s="1"/>
  <c r="H934" i="9"/>
  <c r="I934" i="9" s="1"/>
  <c r="H935" i="9"/>
  <c r="I935" i="9" s="1"/>
  <c r="F934" i="10" s="1"/>
  <c r="H936" i="9"/>
  <c r="I936" i="9" s="1"/>
  <c r="F935" i="10" s="1"/>
  <c r="H937" i="9"/>
  <c r="I937" i="9" s="1"/>
  <c r="F936" i="10" s="1"/>
  <c r="H938" i="9"/>
  <c r="I938" i="9" s="1"/>
  <c r="F937" i="10" s="1"/>
  <c r="H939" i="9"/>
  <c r="I939" i="9" s="1"/>
  <c r="F938" i="10" s="1"/>
  <c r="H940" i="9"/>
  <c r="I940" i="9" s="1"/>
  <c r="F939" i="10" s="1"/>
  <c r="H941" i="9"/>
  <c r="H942" i="9"/>
  <c r="I942" i="9" s="1"/>
  <c r="F941" i="10" s="1"/>
  <c r="H943" i="9"/>
  <c r="I943" i="9" s="1"/>
  <c r="F942" i="10" s="1"/>
  <c r="H944" i="9"/>
  <c r="H945" i="9"/>
  <c r="H946" i="9"/>
  <c r="H947" i="9"/>
  <c r="I947" i="9" s="1"/>
  <c r="F946" i="10" s="1"/>
  <c r="H948" i="9"/>
  <c r="I948" i="9" s="1"/>
  <c r="F947" i="10" s="1"/>
  <c r="H949" i="9"/>
  <c r="I949" i="9" s="1"/>
  <c r="H950" i="9"/>
  <c r="H951" i="9"/>
  <c r="H952" i="9"/>
  <c r="I952" i="9" s="1"/>
  <c r="F951" i="10" s="1"/>
  <c r="H953" i="9"/>
  <c r="H954" i="9"/>
  <c r="I954" i="9" s="1"/>
  <c r="F953" i="10" s="1"/>
  <c r="H955" i="9"/>
  <c r="H956" i="9"/>
  <c r="H957" i="9"/>
  <c r="I957" i="9" s="1"/>
  <c r="F956" i="10" s="1"/>
  <c r="H958" i="9"/>
  <c r="H959" i="9"/>
  <c r="H960" i="9"/>
  <c r="H961" i="9"/>
  <c r="H962" i="9"/>
  <c r="I962" i="9" s="1"/>
  <c r="F961" i="10" s="1"/>
  <c r="H963" i="9"/>
  <c r="I963" i="9" s="1"/>
  <c r="F962" i="10" s="1"/>
  <c r="H964" i="9"/>
  <c r="H965" i="9"/>
  <c r="H966" i="9"/>
  <c r="H967" i="9"/>
  <c r="H968" i="9"/>
  <c r="I968" i="9" s="1"/>
  <c r="F967" i="10" s="1"/>
  <c r="H969" i="9"/>
  <c r="H970" i="9"/>
  <c r="I970" i="9" s="1"/>
  <c r="F969" i="10" s="1"/>
  <c r="H971" i="9"/>
  <c r="H972" i="9"/>
  <c r="I972" i="9" s="1"/>
  <c r="F971" i="10" s="1"/>
  <c r="H973" i="9"/>
  <c r="I973" i="9" s="1"/>
  <c r="F972" i="10" s="1"/>
  <c r="H974" i="9"/>
  <c r="H975" i="9"/>
  <c r="I975" i="9" s="1"/>
  <c r="F974" i="10" s="1"/>
  <c r="H976" i="9"/>
  <c r="I976" i="9" s="1"/>
  <c r="F975" i="10" s="1"/>
  <c r="H977" i="9"/>
  <c r="I977" i="9" s="1"/>
  <c r="F976" i="10" s="1"/>
  <c r="H978" i="9"/>
  <c r="I978" i="9" s="1"/>
  <c r="F977" i="10" s="1"/>
  <c r="H979" i="9"/>
  <c r="H980" i="9"/>
  <c r="I980" i="9" s="1"/>
  <c r="F979" i="10" s="1"/>
  <c r="H981" i="9"/>
  <c r="I981" i="9" s="1"/>
  <c r="F980" i="10" s="1"/>
  <c r="H982" i="9"/>
  <c r="I982" i="9" s="1"/>
  <c r="F981" i="10" s="1"/>
  <c r="H983" i="9"/>
  <c r="H984" i="9"/>
  <c r="H985" i="9"/>
  <c r="I985" i="9" s="1"/>
  <c r="F984" i="10" s="1"/>
  <c r="H986" i="9"/>
  <c r="H987" i="9"/>
  <c r="H988" i="9"/>
  <c r="I988" i="9" s="1"/>
  <c r="F987" i="10" s="1"/>
  <c r="H989" i="9"/>
  <c r="I989" i="9" s="1"/>
  <c r="F988" i="10" s="1"/>
  <c r="H990" i="9"/>
  <c r="I990" i="9" s="1"/>
  <c r="F989" i="10" s="1"/>
  <c r="H991" i="9"/>
  <c r="I991" i="9" s="1"/>
  <c r="F990" i="10" s="1"/>
  <c r="H992" i="9"/>
  <c r="H993" i="9"/>
  <c r="I993" i="9" s="1"/>
  <c r="F992" i="10" s="1"/>
  <c r="H994" i="9"/>
  <c r="I994" i="9" s="1"/>
  <c r="F993" i="10" s="1"/>
  <c r="H995" i="9"/>
  <c r="I995" i="9" s="1"/>
  <c r="F994" i="10" s="1"/>
  <c r="H996" i="9"/>
  <c r="I996" i="9" s="1"/>
  <c r="F995" i="10" s="1"/>
  <c r="H997" i="9"/>
  <c r="I997" i="9" s="1"/>
  <c r="F996" i="10" s="1"/>
  <c r="H998" i="9"/>
  <c r="I998" i="9" s="1"/>
  <c r="F997" i="10" s="1"/>
  <c r="H999" i="9"/>
  <c r="I999" i="9" s="1"/>
  <c r="F998" i="10" s="1"/>
  <c r="H1000" i="9"/>
  <c r="I1000" i="9" s="1"/>
  <c r="F999" i="10" s="1"/>
  <c r="H1001" i="9"/>
  <c r="H1002" i="9"/>
  <c r="H1003" i="9"/>
  <c r="H1004" i="9"/>
  <c r="I1004" i="9" s="1"/>
  <c r="F1003" i="10" s="1"/>
  <c r="H1005" i="9"/>
  <c r="I1005" i="9" s="1"/>
  <c r="F1004" i="10" s="1"/>
  <c r="H1006" i="9"/>
  <c r="H1007" i="9"/>
  <c r="H1008" i="9"/>
  <c r="H1009" i="9"/>
  <c r="I1009" i="9" s="1"/>
  <c r="F1008" i="10" s="1"/>
  <c r="H1010" i="9"/>
  <c r="I1010" i="9" s="1"/>
  <c r="F1009" i="10" s="1"/>
  <c r="H1011" i="9"/>
  <c r="H1012" i="9"/>
  <c r="I1012" i="9" s="1"/>
  <c r="F1011" i="10" s="1"/>
  <c r="H1013" i="9"/>
  <c r="I1013" i="9" s="1"/>
  <c r="F1012" i="10" s="1"/>
  <c r="H1014" i="9"/>
  <c r="H1015" i="9"/>
  <c r="H1016" i="9"/>
  <c r="H1017" i="9"/>
  <c r="I1017" i="9" s="1"/>
  <c r="F1016" i="10" s="1"/>
  <c r="H1018" i="9"/>
  <c r="I1018" i="9" s="1"/>
  <c r="F1017" i="10" s="1"/>
  <c r="H1019" i="9"/>
  <c r="H1020" i="9"/>
  <c r="H1021" i="9"/>
  <c r="H1022" i="9"/>
  <c r="I1022" i="9" s="1"/>
  <c r="F1021" i="10" s="1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I1037" i="9" s="1"/>
  <c r="F1036" i="10" s="1"/>
  <c r="H1038" i="9"/>
  <c r="H1039" i="9"/>
  <c r="H1040" i="9"/>
  <c r="H1041" i="9"/>
  <c r="H1042" i="9"/>
  <c r="I1042" i="9" s="1"/>
  <c r="F1041" i="10" s="1"/>
  <c r="H1043" i="9"/>
  <c r="H1044" i="9"/>
  <c r="H1045" i="9"/>
  <c r="H1046" i="9"/>
  <c r="I1046" i="9" s="1"/>
  <c r="F1045" i="10" s="1"/>
  <c r="H1047" i="9"/>
  <c r="H1048" i="9"/>
  <c r="H1049" i="9"/>
  <c r="I1049" i="9" s="1"/>
  <c r="F1048" i="10" s="1"/>
  <c r="H1050" i="9"/>
  <c r="I1050" i="9" s="1"/>
  <c r="F1049" i="10" s="1"/>
  <c r="H1051" i="9"/>
  <c r="I1051" i="9" s="1"/>
  <c r="F1050" i="10" s="1"/>
  <c r="H1052" i="9"/>
  <c r="H1053" i="9"/>
  <c r="H1054" i="9"/>
  <c r="I1054" i="9" s="1"/>
  <c r="F1053" i="10" s="1"/>
  <c r="H1055" i="9"/>
  <c r="I1055" i="9" s="1"/>
  <c r="F1054" i="10" s="1"/>
  <c r="H1056" i="9"/>
  <c r="H1057" i="9"/>
  <c r="H1058" i="9"/>
  <c r="H1059" i="9"/>
  <c r="H1060" i="9"/>
  <c r="I1060" i="9" s="1"/>
  <c r="F1059" i="10" s="1"/>
  <c r="H1061" i="9"/>
  <c r="H1062" i="9"/>
  <c r="H1063" i="9"/>
  <c r="H1064" i="9"/>
  <c r="H1065" i="9"/>
  <c r="I1065" i="9" s="1"/>
  <c r="F1064" i="10" s="1"/>
  <c r="H1066" i="9"/>
  <c r="H1067" i="9"/>
  <c r="H1068" i="9"/>
  <c r="H1069" i="9"/>
  <c r="H1070" i="9"/>
  <c r="I1070" i="9" s="1"/>
  <c r="F1069" i="10" s="1"/>
  <c r="H1071" i="9"/>
  <c r="H1072" i="9"/>
  <c r="H1073" i="9"/>
  <c r="H1074" i="9"/>
  <c r="H1075" i="9"/>
  <c r="I1075" i="9" s="1"/>
  <c r="F1074" i="10" s="1"/>
  <c r="H1076" i="9"/>
  <c r="H1077" i="9"/>
  <c r="H1078" i="9"/>
  <c r="H1079" i="9"/>
  <c r="H2" i="7"/>
  <c r="I2" i="7" s="1"/>
  <c r="I4" i="7"/>
  <c r="I5" i="7"/>
  <c r="I6" i="7"/>
  <c r="I7" i="7"/>
  <c r="I8" i="7"/>
  <c r="I9" i="7"/>
  <c r="I10" i="7"/>
  <c r="I11" i="7"/>
  <c r="I12" i="7"/>
  <c r="I13" i="7"/>
  <c r="I15" i="7"/>
  <c r="I20" i="7"/>
  <c r="I21" i="7"/>
  <c r="I22" i="7"/>
  <c r="I23" i="7"/>
  <c r="I24" i="7"/>
  <c r="I25" i="7"/>
  <c r="I26" i="7"/>
  <c r="I27" i="7"/>
  <c r="I28" i="7"/>
  <c r="I29" i="7"/>
  <c r="I31" i="7"/>
  <c r="I32" i="7"/>
  <c r="I33" i="7"/>
  <c r="I35" i="7"/>
  <c r="I36" i="7"/>
  <c r="I37" i="7"/>
  <c r="I38" i="7"/>
  <c r="I40" i="7"/>
  <c r="I47" i="7"/>
  <c r="I50" i="7"/>
  <c r="I51" i="7"/>
  <c r="I52" i="7"/>
  <c r="I53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6" i="7"/>
  <c r="I78" i="7"/>
  <c r="I79" i="7"/>
  <c r="I80" i="7"/>
  <c r="I81" i="7"/>
  <c r="I82" i="7"/>
  <c r="I83" i="7"/>
  <c r="I84" i="7"/>
  <c r="I87" i="7"/>
  <c r="I88" i="7"/>
  <c r="I89" i="7"/>
  <c r="I90" i="7"/>
  <c r="I91" i="7"/>
  <c r="I92" i="7"/>
  <c r="I93" i="7"/>
  <c r="I95" i="7"/>
  <c r="I96" i="7"/>
  <c r="I97" i="7"/>
  <c r="I98" i="7"/>
  <c r="I99" i="7"/>
  <c r="I100" i="7"/>
  <c r="I101" i="7"/>
  <c r="I102" i="7"/>
  <c r="I103" i="7"/>
  <c r="I104" i="7"/>
  <c r="I108" i="7"/>
  <c r="I109" i="7"/>
  <c r="I110" i="7"/>
  <c r="I111" i="7"/>
  <c r="I113" i="7"/>
  <c r="I114" i="7"/>
  <c r="I118" i="7"/>
  <c r="I119" i="7"/>
  <c r="I121" i="7"/>
  <c r="I122" i="7"/>
  <c r="I124" i="7"/>
  <c r="I125" i="7"/>
  <c r="I126" i="7"/>
  <c r="I127" i="7"/>
  <c r="I129" i="7"/>
  <c r="I130" i="7"/>
  <c r="I131" i="7"/>
  <c r="I132" i="7"/>
  <c r="I133" i="7"/>
  <c r="I134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7" i="7"/>
  <c r="I158" i="7"/>
  <c r="I159" i="7"/>
  <c r="I160" i="7"/>
  <c r="I161" i="7"/>
  <c r="I165" i="7"/>
  <c r="I166" i="7"/>
  <c r="I169" i="7"/>
  <c r="I170" i="7"/>
  <c r="I171" i="7"/>
  <c r="I174" i="7"/>
  <c r="I175" i="7"/>
  <c r="I180" i="7"/>
  <c r="I181" i="7"/>
  <c r="I182" i="7"/>
  <c r="I185" i="7"/>
  <c r="I193" i="7"/>
  <c r="I194" i="7"/>
  <c r="I209" i="7"/>
  <c r="I210" i="7"/>
  <c r="I216" i="7"/>
  <c r="I217" i="7"/>
  <c r="I268" i="7"/>
  <c r="I269" i="7"/>
  <c r="I270" i="7"/>
  <c r="I272" i="7"/>
  <c r="I273" i="7"/>
  <c r="I274" i="7"/>
  <c r="I275" i="7"/>
  <c r="I276" i="7"/>
  <c r="I277" i="7"/>
  <c r="I278" i="7"/>
  <c r="I279" i="7"/>
  <c r="I280" i="7"/>
  <c r="I283" i="7"/>
  <c r="I286" i="7"/>
  <c r="I287" i="7"/>
  <c r="I288" i="7"/>
  <c r="I290" i="7"/>
  <c r="I292" i="7"/>
  <c r="I293" i="7"/>
  <c r="I294" i="7"/>
  <c r="I295" i="7"/>
  <c r="I297" i="7"/>
  <c r="I299" i="7"/>
  <c r="I302" i="7"/>
  <c r="I304" i="7"/>
  <c r="I310" i="7"/>
  <c r="I311" i="7"/>
  <c r="I319" i="7"/>
  <c r="I323" i="7"/>
  <c r="I324" i="7"/>
  <c r="I326" i="7"/>
  <c r="I328" i="7"/>
  <c r="I329" i="7"/>
  <c r="I331" i="7"/>
  <c r="I333" i="7"/>
  <c r="I334" i="7"/>
  <c r="I339" i="7"/>
  <c r="I340" i="7"/>
  <c r="I344" i="7"/>
  <c r="I347" i="7"/>
  <c r="I349" i="7"/>
  <c r="I354" i="7"/>
  <c r="I355" i="7"/>
  <c r="I361" i="7"/>
  <c r="I366" i="7"/>
  <c r="I367" i="7"/>
  <c r="I369" i="7"/>
  <c r="I370" i="7"/>
  <c r="I372" i="7"/>
  <c r="I373" i="7"/>
  <c r="I374" i="7"/>
  <c r="I375" i="7"/>
  <c r="I377" i="7"/>
  <c r="I378" i="7"/>
  <c r="I379" i="7"/>
  <c r="I380" i="7"/>
  <c r="I382" i="7"/>
  <c r="I383" i="7"/>
  <c r="I384" i="7"/>
  <c r="I386" i="7"/>
  <c r="I387" i="7"/>
  <c r="I388" i="7"/>
  <c r="I389" i="7"/>
  <c r="I392" i="7"/>
  <c r="I394" i="7"/>
  <c r="I397" i="7"/>
  <c r="I399" i="7"/>
  <c r="I401" i="7"/>
  <c r="I408" i="7"/>
  <c r="I412" i="7"/>
  <c r="I413" i="7"/>
  <c r="I416" i="7"/>
  <c r="I417" i="7"/>
  <c r="I418" i="7"/>
  <c r="I423" i="7"/>
  <c r="I425" i="7"/>
  <c r="I428" i="7"/>
  <c r="I430" i="7"/>
  <c r="I432" i="7"/>
  <c r="I433" i="7"/>
  <c r="I438" i="7"/>
  <c r="I441" i="7"/>
  <c r="I443" i="7"/>
  <c r="I450" i="7"/>
  <c r="I452" i="7"/>
  <c r="I454" i="7"/>
  <c r="I455" i="7"/>
  <c r="I456" i="7"/>
  <c r="I457" i="7"/>
  <c r="I458" i="7"/>
  <c r="I461" i="7"/>
  <c r="I462" i="7"/>
  <c r="I466" i="7"/>
  <c r="I469" i="7"/>
  <c r="I474" i="7"/>
  <c r="I477" i="7"/>
  <c r="I478" i="7"/>
  <c r="I481" i="7"/>
  <c r="I482" i="7"/>
  <c r="I483" i="7"/>
  <c r="I486" i="7"/>
  <c r="I487" i="7"/>
  <c r="I488" i="7"/>
  <c r="I491" i="7"/>
  <c r="I492" i="7"/>
  <c r="I493" i="7"/>
  <c r="I496" i="7"/>
  <c r="I497" i="7"/>
  <c r="I499" i="7"/>
  <c r="I502" i="7"/>
  <c r="I504" i="7"/>
  <c r="I505" i="7"/>
  <c r="I507" i="7"/>
  <c r="I509" i="7"/>
  <c r="I512" i="7"/>
  <c r="I513" i="7"/>
  <c r="I517" i="7"/>
  <c r="I518" i="7"/>
  <c r="I520" i="7"/>
  <c r="I521" i="7"/>
  <c r="I522" i="7"/>
  <c r="I524" i="7"/>
  <c r="I526" i="7"/>
  <c r="I529" i="7"/>
  <c r="I531" i="7"/>
  <c r="I534" i="7"/>
  <c r="I536" i="7"/>
  <c r="I537" i="7"/>
  <c r="I538" i="7"/>
  <c r="I539" i="7"/>
  <c r="I541" i="7"/>
  <c r="I542" i="7"/>
  <c r="I543" i="7"/>
  <c r="I544" i="7"/>
  <c r="I547" i="7"/>
  <c r="I548" i="7"/>
  <c r="I552" i="7"/>
  <c r="I553" i="7"/>
  <c r="I556" i="7"/>
  <c r="I557" i="7"/>
  <c r="I561" i="7"/>
  <c r="I562" i="7"/>
  <c r="I564" i="7"/>
  <c r="I566" i="7"/>
  <c r="I569" i="7"/>
  <c r="I570" i="7"/>
  <c r="I575" i="7"/>
  <c r="I576" i="7"/>
  <c r="I579" i="7"/>
  <c r="I580" i="7"/>
  <c r="I581" i="7"/>
  <c r="I583" i="7"/>
  <c r="I585" i="7"/>
  <c r="I589" i="7"/>
  <c r="I591" i="7"/>
  <c r="I614" i="7"/>
  <c r="I622" i="7"/>
  <c r="I685" i="7"/>
  <c r="I696" i="7"/>
  <c r="I727" i="7"/>
  <c r="I828" i="7"/>
  <c r="I859" i="7"/>
  <c r="I904" i="7"/>
  <c r="I906" i="7"/>
  <c r="I909" i="7"/>
  <c r="I912" i="7"/>
  <c r="I913" i="7"/>
  <c r="I914" i="7"/>
  <c r="I915" i="7"/>
  <c r="I917" i="7"/>
  <c r="I918" i="7"/>
  <c r="I921" i="7"/>
  <c r="I942" i="7"/>
  <c r="I944" i="7"/>
  <c r="I946" i="7"/>
  <c r="I947" i="7"/>
  <c r="I950" i="7"/>
  <c r="I951" i="7"/>
  <c r="I952" i="7"/>
  <c r="I954" i="7"/>
  <c r="I956" i="7"/>
  <c r="I957" i="7"/>
  <c r="I958" i="7"/>
  <c r="I960" i="7"/>
  <c r="I961" i="7"/>
  <c r="I962" i="7"/>
  <c r="I964" i="7"/>
  <c r="I965" i="7"/>
  <c r="I967" i="7"/>
  <c r="I970" i="7"/>
  <c r="I971" i="7"/>
  <c r="I974" i="7"/>
  <c r="I975" i="7"/>
  <c r="I977" i="7"/>
  <c r="I980" i="7"/>
  <c r="I981" i="7"/>
  <c r="I992" i="7"/>
  <c r="I993" i="7"/>
  <c r="I1002" i="7"/>
  <c r="I1003" i="7"/>
  <c r="I1004" i="7"/>
  <c r="I1005" i="7"/>
  <c r="I1006" i="7"/>
  <c r="I1007" i="7"/>
  <c r="I1012" i="7"/>
  <c r="I1014" i="7"/>
  <c r="I1015" i="7"/>
  <c r="I1016" i="7"/>
  <c r="I1017" i="7"/>
  <c r="I1020" i="7"/>
  <c r="I1021" i="7"/>
  <c r="I1022" i="7"/>
  <c r="I1024" i="7"/>
  <c r="I1025" i="7"/>
  <c r="I1026" i="7"/>
  <c r="I1027" i="7"/>
  <c r="I1028" i="7"/>
  <c r="I1029" i="7"/>
  <c r="I1030" i="7"/>
  <c r="I1031" i="7"/>
  <c r="I1032" i="7"/>
  <c r="I1034" i="7"/>
  <c r="I1035" i="7"/>
  <c r="I1036" i="7"/>
  <c r="I1037" i="7"/>
  <c r="I1038" i="7"/>
  <c r="I1039" i="7"/>
  <c r="I1040" i="7"/>
  <c r="I1041" i="7"/>
  <c r="I1044" i="7"/>
  <c r="I1047" i="7"/>
  <c r="I1048" i="7"/>
  <c r="I1049" i="7"/>
  <c r="I1050" i="7"/>
  <c r="I1053" i="7"/>
  <c r="I1054" i="7"/>
  <c r="I1057" i="7"/>
  <c r="I1058" i="7"/>
  <c r="I1059" i="7"/>
  <c r="I1060" i="7"/>
  <c r="H3" i="7"/>
  <c r="I3" i="7" s="1"/>
  <c r="H4" i="7"/>
  <c r="H5" i="7"/>
  <c r="H6" i="7"/>
  <c r="H7" i="7"/>
  <c r="H8" i="7"/>
  <c r="H9" i="7"/>
  <c r="H10" i="7"/>
  <c r="H11" i="7"/>
  <c r="H12" i="7"/>
  <c r="H13" i="7"/>
  <c r="H14" i="7"/>
  <c r="I14" i="7" s="1"/>
  <c r="H15" i="7"/>
  <c r="H16" i="7"/>
  <c r="I16" i="7" s="1"/>
  <c r="H17" i="7"/>
  <c r="I17" i="7" s="1"/>
  <c r="H18" i="7"/>
  <c r="I18" i="7" s="1"/>
  <c r="H19" i="7"/>
  <c r="I19" i="7" s="1"/>
  <c r="H20" i="7"/>
  <c r="H21" i="7"/>
  <c r="H22" i="7"/>
  <c r="H23" i="7"/>
  <c r="H24" i="7"/>
  <c r="H25" i="7"/>
  <c r="H26" i="7"/>
  <c r="H27" i="7"/>
  <c r="H28" i="7"/>
  <c r="H29" i="7"/>
  <c r="H30" i="7"/>
  <c r="I30" i="7" s="1"/>
  <c r="H31" i="7"/>
  <c r="H32" i="7"/>
  <c r="H33" i="7"/>
  <c r="H34" i="7"/>
  <c r="I34" i="7" s="1"/>
  <c r="H35" i="7"/>
  <c r="H36" i="7"/>
  <c r="H37" i="7"/>
  <c r="H38" i="7"/>
  <c r="H39" i="7"/>
  <c r="I39" i="7" s="1"/>
  <c r="H40" i="7"/>
  <c r="H41" i="7"/>
  <c r="I41" i="7" s="1"/>
  <c r="H42" i="7"/>
  <c r="I42" i="7" s="1"/>
  <c r="H43" i="7"/>
  <c r="I43" i="7" s="1"/>
  <c r="H44" i="7"/>
  <c r="I44" i="7" s="1"/>
  <c r="H45" i="7"/>
  <c r="I45" i="7" s="1"/>
  <c r="H46" i="7"/>
  <c r="I46" i="7" s="1"/>
  <c r="H47" i="7"/>
  <c r="H48" i="7"/>
  <c r="I48" i="7" s="1"/>
  <c r="H49" i="7"/>
  <c r="I49" i="7" s="1"/>
  <c r="H50" i="7"/>
  <c r="H51" i="7"/>
  <c r="H52" i="7"/>
  <c r="H53" i="7"/>
  <c r="H54" i="7"/>
  <c r="I54" i="7" s="1"/>
  <c r="H55" i="7"/>
  <c r="I55" i="7" s="1"/>
  <c r="H56" i="7"/>
  <c r="I56" i="7" s="1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I73" i="7" s="1"/>
  <c r="H74" i="7"/>
  <c r="I74" i="7" s="1"/>
  <c r="H75" i="7"/>
  <c r="I75" i="7" s="1"/>
  <c r="H76" i="7"/>
  <c r="H77" i="7"/>
  <c r="I77" i="7" s="1"/>
  <c r="H78" i="7"/>
  <c r="H79" i="7"/>
  <c r="H80" i="7"/>
  <c r="H81" i="7"/>
  <c r="H82" i="7"/>
  <c r="H83" i="7"/>
  <c r="H84" i="7"/>
  <c r="H85" i="7"/>
  <c r="I85" i="7" s="1"/>
  <c r="H86" i="7"/>
  <c r="I86" i="7" s="1"/>
  <c r="H87" i="7"/>
  <c r="H88" i="7"/>
  <c r="H89" i="7"/>
  <c r="H90" i="7"/>
  <c r="H91" i="7"/>
  <c r="H92" i="7"/>
  <c r="H93" i="7"/>
  <c r="H94" i="7"/>
  <c r="I94" i="7" s="1"/>
  <c r="H95" i="7"/>
  <c r="H96" i="7"/>
  <c r="H97" i="7"/>
  <c r="H98" i="7"/>
  <c r="H99" i="7"/>
  <c r="H100" i="7"/>
  <c r="H101" i="7"/>
  <c r="H102" i="7"/>
  <c r="H103" i="7"/>
  <c r="H104" i="7"/>
  <c r="H105" i="7"/>
  <c r="I105" i="7" s="1"/>
  <c r="H106" i="7"/>
  <c r="I106" i="7" s="1"/>
  <c r="H107" i="7"/>
  <c r="I107" i="7" s="1"/>
  <c r="H108" i="7"/>
  <c r="H109" i="7"/>
  <c r="H110" i="7"/>
  <c r="H111" i="7"/>
  <c r="H112" i="7"/>
  <c r="I112" i="7" s="1"/>
  <c r="H113" i="7"/>
  <c r="H114" i="7"/>
  <c r="H115" i="7"/>
  <c r="I115" i="7" s="1"/>
  <c r="H116" i="7"/>
  <c r="I116" i="7" s="1"/>
  <c r="H117" i="7"/>
  <c r="I117" i="7" s="1"/>
  <c r="H118" i="7"/>
  <c r="H119" i="7"/>
  <c r="H120" i="7"/>
  <c r="I120" i="7" s="1"/>
  <c r="H121" i="7"/>
  <c r="H122" i="7"/>
  <c r="H123" i="7"/>
  <c r="I123" i="7" s="1"/>
  <c r="H124" i="7"/>
  <c r="H125" i="7"/>
  <c r="H126" i="7"/>
  <c r="H127" i="7"/>
  <c r="H128" i="7"/>
  <c r="I128" i="7" s="1"/>
  <c r="H129" i="7"/>
  <c r="H130" i="7"/>
  <c r="H131" i="7"/>
  <c r="H132" i="7"/>
  <c r="H133" i="7"/>
  <c r="H134" i="7"/>
  <c r="H135" i="7"/>
  <c r="I135" i="7" s="1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I155" i="7" s="1"/>
  <c r="H156" i="7"/>
  <c r="I156" i="7" s="1"/>
  <c r="H157" i="7"/>
  <c r="H158" i="7"/>
  <c r="H159" i="7"/>
  <c r="H160" i="7"/>
  <c r="H161" i="7"/>
  <c r="H162" i="7"/>
  <c r="I162" i="7" s="1"/>
  <c r="H163" i="7"/>
  <c r="I163" i="7" s="1"/>
  <c r="H164" i="7"/>
  <c r="I164" i="7" s="1"/>
  <c r="H165" i="7"/>
  <c r="H166" i="7"/>
  <c r="H167" i="7"/>
  <c r="I167" i="7" s="1"/>
  <c r="H168" i="7"/>
  <c r="I168" i="7" s="1"/>
  <c r="H169" i="7"/>
  <c r="H170" i="7"/>
  <c r="H171" i="7"/>
  <c r="H172" i="7"/>
  <c r="I172" i="7" s="1"/>
  <c r="H173" i="7"/>
  <c r="I173" i="7" s="1"/>
  <c r="H174" i="7"/>
  <c r="H175" i="7"/>
  <c r="H176" i="7"/>
  <c r="I176" i="7" s="1"/>
  <c r="H177" i="7"/>
  <c r="I177" i="7" s="1"/>
  <c r="H178" i="7"/>
  <c r="I178" i="7" s="1"/>
  <c r="H179" i="7"/>
  <c r="I179" i="7" s="1"/>
  <c r="H180" i="7"/>
  <c r="H181" i="7"/>
  <c r="H182" i="7"/>
  <c r="H183" i="7"/>
  <c r="I183" i="7" s="1"/>
  <c r="H184" i="7"/>
  <c r="I184" i="7" s="1"/>
  <c r="H185" i="7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H194" i="7"/>
  <c r="H195" i="7"/>
  <c r="I195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I202" i="7" s="1"/>
  <c r="H203" i="7"/>
  <c r="I203" i="7" s="1"/>
  <c r="H204" i="7"/>
  <c r="I204" i="7" s="1"/>
  <c r="H205" i="7"/>
  <c r="I205" i="7" s="1"/>
  <c r="H206" i="7"/>
  <c r="I206" i="7" s="1"/>
  <c r="H207" i="7"/>
  <c r="I207" i="7" s="1"/>
  <c r="H208" i="7"/>
  <c r="I208" i="7" s="1"/>
  <c r="H209" i="7"/>
  <c r="H210" i="7"/>
  <c r="H211" i="7"/>
  <c r="I211" i="7" s="1"/>
  <c r="H212" i="7"/>
  <c r="I212" i="7" s="1"/>
  <c r="H213" i="7"/>
  <c r="I213" i="7" s="1"/>
  <c r="H214" i="7"/>
  <c r="I214" i="7" s="1"/>
  <c r="H215" i="7"/>
  <c r="I215" i="7" s="1"/>
  <c r="H216" i="7"/>
  <c r="H217" i="7"/>
  <c r="H218" i="7"/>
  <c r="I218" i="7" s="1"/>
  <c r="H219" i="7"/>
  <c r="I219" i="7" s="1"/>
  <c r="H220" i="7"/>
  <c r="I220" i="7" s="1"/>
  <c r="H221" i="7"/>
  <c r="I221" i="7" s="1"/>
  <c r="H222" i="7"/>
  <c r="I222" i="7" s="1"/>
  <c r="H223" i="7"/>
  <c r="I223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3" i="7"/>
  <c r="I233" i="7" s="1"/>
  <c r="H234" i="7"/>
  <c r="I234" i="7" s="1"/>
  <c r="H235" i="7"/>
  <c r="I235" i="7" s="1"/>
  <c r="H236" i="7"/>
  <c r="I236" i="7" s="1"/>
  <c r="H237" i="7"/>
  <c r="I237" i="7" s="1"/>
  <c r="H238" i="7"/>
  <c r="I238" i="7" s="1"/>
  <c r="H239" i="7"/>
  <c r="I239" i="7" s="1"/>
  <c r="H240" i="7"/>
  <c r="I240" i="7" s="1"/>
  <c r="H241" i="7"/>
  <c r="I241" i="7" s="1"/>
  <c r="H242" i="7"/>
  <c r="I242" i="7" s="1"/>
  <c r="H243" i="7"/>
  <c r="I243" i="7" s="1"/>
  <c r="H244" i="7"/>
  <c r="I244" i="7" s="1"/>
  <c r="H245" i="7"/>
  <c r="I245" i="7" s="1"/>
  <c r="H246" i="7"/>
  <c r="I246" i="7" s="1"/>
  <c r="H247" i="7"/>
  <c r="I247" i="7" s="1"/>
  <c r="H248" i="7"/>
  <c r="I248" i="7" s="1"/>
  <c r="H249" i="7"/>
  <c r="I249" i="7" s="1"/>
  <c r="H250" i="7"/>
  <c r="I250" i="7" s="1"/>
  <c r="H251" i="7"/>
  <c r="I251" i="7" s="1"/>
  <c r="H252" i="7"/>
  <c r="I252" i="7" s="1"/>
  <c r="H253" i="7"/>
  <c r="I253" i="7" s="1"/>
  <c r="H254" i="7"/>
  <c r="I254" i="7" s="1"/>
  <c r="H255" i="7"/>
  <c r="I255" i="7" s="1"/>
  <c r="H256" i="7"/>
  <c r="I256" i="7" s="1"/>
  <c r="H257" i="7"/>
  <c r="I257" i="7" s="1"/>
  <c r="H258" i="7"/>
  <c r="I258" i="7" s="1"/>
  <c r="H259" i="7"/>
  <c r="I259" i="7" s="1"/>
  <c r="H260" i="7"/>
  <c r="I260" i="7" s="1"/>
  <c r="H261" i="7"/>
  <c r="I261" i="7" s="1"/>
  <c r="H262" i="7"/>
  <c r="I262" i="7" s="1"/>
  <c r="H263" i="7"/>
  <c r="I263" i="7" s="1"/>
  <c r="H264" i="7"/>
  <c r="I264" i="7" s="1"/>
  <c r="H265" i="7"/>
  <c r="I265" i="7" s="1"/>
  <c r="H266" i="7"/>
  <c r="I266" i="7" s="1"/>
  <c r="H267" i="7"/>
  <c r="I267" i="7" s="1"/>
  <c r="H268" i="7"/>
  <c r="H269" i="7"/>
  <c r="H271" i="7"/>
  <c r="I271" i="7" s="1"/>
  <c r="H272" i="7"/>
  <c r="H273" i="7"/>
  <c r="H274" i="7"/>
  <c r="H275" i="7"/>
  <c r="H276" i="7"/>
  <c r="H277" i="7"/>
  <c r="H278" i="7"/>
  <c r="H279" i="7"/>
  <c r="H280" i="7"/>
  <c r="H281" i="7"/>
  <c r="I281" i="7" s="1"/>
  <c r="H282" i="7"/>
  <c r="I282" i="7" s="1"/>
  <c r="H283" i="7"/>
  <c r="H284" i="7"/>
  <c r="I284" i="7" s="1"/>
  <c r="H285" i="7"/>
  <c r="I285" i="7" s="1"/>
  <c r="H286" i="7"/>
  <c r="H287" i="7"/>
  <c r="H288" i="7"/>
  <c r="H289" i="7"/>
  <c r="I289" i="7" s="1"/>
  <c r="H290" i="7"/>
  <c r="H291" i="7"/>
  <c r="I291" i="7" s="1"/>
  <c r="H292" i="7"/>
  <c r="H293" i="7"/>
  <c r="H294" i="7"/>
  <c r="H295" i="7"/>
  <c r="H296" i="7"/>
  <c r="I296" i="7" s="1"/>
  <c r="H297" i="7"/>
  <c r="H298" i="7"/>
  <c r="I298" i="7" s="1"/>
  <c r="H299" i="7"/>
  <c r="H300" i="7"/>
  <c r="I300" i="7" s="1"/>
  <c r="H301" i="7"/>
  <c r="I301" i="7" s="1"/>
  <c r="H302" i="7"/>
  <c r="H303" i="7"/>
  <c r="I303" i="7" s="1"/>
  <c r="H304" i="7"/>
  <c r="H305" i="7"/>
  <c r="I305" i="7" s="1"/>
  <c r="H306" i="7"/>
  <c r="I306" i="7" s="1"/>
  <c r="H307" i="7"/>
  <c r="I307" i="7" s="1"/>
  <c r="H308" i="7"/>
  <c r="I308" i="7" s="1"/>
  <c r="H309" i="7"/>
  <c r="I309" i="7" s="1"/>
  <c r="H310" i="7"/>
  <c r="H311" i="7"/>
  <c r="H312" i="7"/>
  <c r="I312" i="7" s="1"/>
  <c r="H313" i="7"/>
  <c r="I313" i="7" s="1"/>
  <c r="H314" i="7"/>
  <c r="I314" i="7" s="1"/>
  <c r="H315" i="7"/>
  <c r="I315" i="7" s="1"/>
  <c r="H316" i="7"/>
  <c r="I316" i="7" s="1"/>
  <c r="H317" i="7"/>
  <c r="I317" i="7" s="1"/>
  <c r="H318" i="7"/>
  <c r="I318" i="7" s="1"/>
  <c r="H319" i="7"/>
  <c r="H320" i="7"/>
  <c r="I320" i="7" s="1"/>
  <c r="H321" i="7"/>
  <c r="I321" i="7" s="1"/>
  <c r="H322" i="7"/>
  <c r="I322" i="7" s="1"/>
  <c r="H323" i="7"/>
  <c r="H324" i="7"/>
  <c r="H325" i="7"/>
  <c r="I325" i="7" s="1"/>
  <c r="H326" i="7"/>
  <c r="H327" i="7"/>
  <c r="I327" i="7" s="1"/>
  <c r="H328" i="7"/>
  <c r="H329" i="7"/>
  <c r="H330" i="7"/>
  <c r="I330" i="7" s="1"/>
  <c r="H331" i="7"/>
  <c r="H332" i="7"/>
  <c r="I332" i="7" s="1"/>
  <c r="H333" i="7"/>
  <c r="H334" i="7"/>
  <c r="H335" i="7"/>
  <c r="I335" i="7" s="1"/>
  <c r="H336" i="7"/>
  <c r="I336" i="7" s="1"/>
  <c r="H337" i="7"/>
  <c r="I337" i="7" s="1"/>
  <c r="H338" i="7"/>
  <c r="I338" i="7" s="1"/>
  <c r="H339" i="7"/>
  <c r="H340" i="7"/>
  <c r="H341" i="7"/>
  <c r="I341" i="7" s="1"/>
  <c r="H342" i="7"/>
  <c r="I342" i="7" s="1"/>
  <c r="H343" i="7"/>
  <c r="I343" i="7" s="1"/>
  <c r="H344" i="7"/>
  <c r="H345" i="7"/>
  <c r="I345" i="7" s="1"/>
  <c r="H346" i="7"/>
  <c r="I346" i="7" s="1"/>
  <c r="H347" i="7"/>
  <c r="H348" i="7"/>
  <c r="I348" i="7" s="1"/>
  <c r="H349" i="7"/>
  <c r="H350" i="7"/>
  <c r="I350" i="7" s="1"/>
  <c r="H351" i="7"/>
  <c r="I351" i="7" s="1"/>
  <c r="H352" i="7"/>
  <c r="I352" i="7" s="1"/>
  <c r="H353" i="7"/>
  <c r="I353" i="7" s="1"/>
  <c r="H354" i="7"/>
  <c r="H355" i="7"/>
  <c r="H356" i="7"/>
  <c r="I356" i="7" s="1"/>
  <c r="H357" i="7"/>
  <c r="I357" i="7" s="1"/>
  <c r="H358" i="7"/>
  <c r="I358" i="7" s="1"/>
  <c r="H359" i="7"/>
  <c r="I359" i="7" s="1"/>
  <c r="H360" i="7"/>
  <c r="I360" i="7" s="1"/>
  <c r="H361" i="7"/>
  <c r="H362" i="7"/>
  <c r="I362" i="7" s="1"/>
  <c r="H363" i="7"/>
  <c r="I363" i="7" s="1"/>
  <c r="H364" i="7"/>
  <c r="I364" i="7" s="1"/>
  <c r="H365" i="7"/>
  <c r="I365" i="7" s="1"/>
  <c r="H366" i="7"/>
  <c r="H367" i="7"/>
  <c r="H368" i="7"/>
  <c r="I368" i="7" s="1"/>
  <c r="H369" i="7"/>
  <c r="H370" i="7"/>
  <c r="H371" i="7"/>
  <c r="I371" i="7" s="1"/>
  <c r="H372" i="7"/>
  <c r="H373" i="7"/>
  <c r="H374" i="7"/>
  <c r="H375" i="7"/>
  <c r="H376" i="7"/>
  <c r="I376" i="7" s="1"/>
  <c r="H377" i="7"/>
  <c r="H378" i="7"/>
  <c r="H379" i="7"/>
  <c r="H380" i="7"/>
  <c r="H381" i="7"/>
  <c r="I381" i="7" s="1"/>
  <c r="H382" i="7"/>
  <c r="H383" i="7"/>
  <c r="H384" i="7"/>
  <c r="H385" i="7"/>
  <c r="I385" i="7" s="1"/>
  <c r="H386" i="7"/>
  <c r="H387" i="7"/>
  <c r="H388" i="7"/>
  <c r="H389" i="7"/>
  <c r="H390" i="7"/>
  <c r="I390" i="7" s="1"/>
  <c r="H391" i="7"/>
  <c r="I391" i="7" s="1"/>
  <c r="H392" i="7"/>
  <c r="H393" i="7"/>
  <c r="I393" i="7" s="1"/>
  <c r="H394" i="7"/>
  <c r="H395" i="7"/>
  <c r="I395" i="7" s="1"/>
  <c r="H396" i="7"/>
  <c r="I396" i="7" s="1"/>
  <c r="H397" i="7"/>
  <c r="H398" i="7"/>
  <c r="I398" i="7" s="1"/>
  <c r="H399" i="7"/>
  <c r="H400" i="7"/>
  <c r="I400" i="7" s="1"/>
  <c r="H401" i="7"/>
  <c r="H402" i="7"/>
  <c r="I402" i="7" s="1"/>
  <c r="H403" i="7"/>
  <c r="I403" i="7" s="1"/>
  <c r="H404" i="7"/>
  <c r="I404" i="7" s="1"/>
  <c r="H405" i="7"/>
  <c r="I405" i="7" s="1"/>
  <c r="H406" i="7"/>
  <c r="I406" i="7" s="1"/>
  <c r="H407" i="7"/>
  <c r="I407" i="7" s="1"/>
  <c r="H408" i="7"/>
  <c r="H409" i="7"/>
  <c r="I409" i="7" s="1"/>
  <c r="H410" i="7"/>
  <c r="I410" i="7" s="1"/>
  <c r="H411" i="7"/>
  <c r="I411" i="7" s="1"/>
  <c r="H412" i="7"/>
  <c r="H413" i="7"/>
  <c r="H414" i="7"/>
  <c r="I414" i="7" s="1"/>
  <c r="H415" i="7"/>
  <c r="I415" i="7" s="1"/>
  <c r="H416" i="7"/>
  <c r="H417" i="7"/>
  <c r="H418" i="7"/>
  <c r="H419" i="7"/>
  <c r="I419" i="7" s="1"/>
  <c r="H420" i="7"/>
  <c r="I420" i="7" s="1"/>
  <c r="H421" i="7"/>
  <c r="I421" i="7" s="1"/>
  <c r="H422" i="7"/>
  <c r="I422" i="7" s="1"/>
  <c r="H423" i="7"/>
  <c r="H424" i="7"/>
  <c r="I424" i="7" s="1"/>
  <c r="H425" i="7"/>
  <c r="H426" i="7"/>
  <c r="I426" i="7" s="1"/>
  <c r="H427" i="7"/>
  <c r="I427" i="7" s="1"/>
  <c r="H428" i="7"/>
  <c r="H429" i="7"/>
  <c r="I429" i="7" s="1"/>
  <c r="H430" i="7"/>
  <c r="H431" i="7"/>
  <c r="I431" i="7" s="1"/>
  <c r="H432" i="7"/>
  <c r="H433" i="7"/>
  <c r="H434" i="7"/>
  <c r="I434" i="7" s="1"/>
  <c r="H435" i="7"/>
  <c r="I435" i="7" s="1"/>
  <c r="H436" i="7"/>
  <c r="I436" i="7" s="1"/>
  <c r="H437" i="7"/>
  <c r="I437" i="7" s="1"/>
  <c r="H438" i="7"/>
  <c r="H439" i="7"/>
  <c r="I439" i="7" s="1"/>
  <c r="H440" i="7"/>
  <c r="I440" i="7" s="1"/>
  <c r="H441" i="7"/>
  <c r="H442" i="7"/>
  <c r="I442" i="7" s="1"/>
  <c r="H443" i="7"/>
  <c r="H444" i="7"/>
  <c r="I444" i="7" s="1"/>
  <c r="H445" i="7"/>
  <c r="I445" i="7" s="1"/>
  <c r="H446" i="7"/>
  <c r="I446" i="7" s="1"/>
  <c r="H447" i="7"/>
  <c r="I447" i="7" s="1"/>
  <c r="H448" i="7"/>
  <c r="I448" i="7" s="1"/>
  <c r="H449" i="7"/>
  <c r="I449" i="7" s="1"/>
  <c r="H450" i="7"/>
  <c r="H451" i="7"/>
  <c r="I451" i="7" s="1"/>
  <c r="H452" i="7"/>
  <c r="H453" i="7"/>
  <c r="I453" i="7" s="1"/>
  <c r="H454" i="7"/>
  <c r="H455" i="7"/>
  <c r="H456" i="7"/>
  <c r="H457" i="7"/>
  <c r="H458" i="7"/>
  <c r="H459" i="7"/>
  <c r="I459" i="7" s="1"/>
  <c r="H460" i="7"/>
  <c r="I460" i="7" s="1"/>
  <c r="H461" i="7"/>
  <c r="H462" i="7"/>
  <c r="H463" i="7"/>
  <c r="I463" i="7" s="1"/>
  <c r="H464" i="7"/>
  <c r="I464" i="7" s="1"/>
  <c r="H465" i="7"/>
  <c r="I465" i="7" s="1"/>
  <c r="H466" i="7"/>
  <c r="H467" i="7"/>
  <c r="I467" i="7" s="1"/>
  <c r="H468" i="7"/>
  <c r="I468" i="7" s="1"/>
  <c r="H469" i="7"/>
  <c r="H470" i="7"/>
  <c r="I470" i="7" s="1"/>
  <c r="H471" i="7"/>
  <c r="I471" i="7" s="1"/>
  <c r="H472" i="7"/>
  <c r="I472" i="7" s="1"/>
  <c r="H473" i="7"/>
  <c r="I473" i="7" s="1"/>
  <c r="H474" i="7"/>
  <c r="H475" i="7"/>
  <c r="I475" i="7" s="1"/>
  <c r="H476" i="7"/>
  <c r="I476" i="7" s="1"/>
  <c r="H477" i="7"/>
  <c r="H478" i="7"/>
  <c r="H479" i="7"/>
  <c r="I479" i="7" s="1"/>
  <c r="H480" i="7"/>
  <c r="I480" i="7" s="1"/>
  <c r="H481" i="7"/>
  <c r="H482" i="7"/>
  <c r="H483" i="7"/>
  <c r="H484" i="7"/>
  <c r="I484" i="7" s="1"/>
  <c r="H485" i="7"/>
  <c r="I485" i="7" s="1"/>
  <c r="H486" i="7"/>
  <c r="H487" i="7"/>
  <c r="H488" i="7"/>
  <c r="H489" i="7"/>
  <c r="I489" i="7" s="1"/>
  <c r="H490" i="7"/>
  <c r="I490" i="7" s="1"/>
  <c r="H491" i="7"/>
  <c r="H492" i="7"/>
  <c r="H493" i="7"/>
  <c r="H494" i="7"/>
  <c r="I494" i="7" s="1"/>
  <c r="H495" i="7"/>
  <c r="I495" i="7" s="1"/>
  <c r="H496" i="7"/>
  <c r="H497" i="7"/>
  <c r="H498" i="7"/>
  <c r="I498" i="7" s="1"/>
  <c r="H499" i="7"/>
  <c r="H500" i="7"/>
  <c r="I500" i="7" s="1"/>
  <c r="H501" i="7"/>
  <c r="I501" i="7" s="1"/>
  <c r="H502" i="7"/>
  <c r="H503" i="7"/>
  <c r="I503" i="7" s="1"/>
  <c r="H504" i="7"/>
  <c r="H505" i="7"/>
  <c r="H506" i="7"/>
  <c r="I506" i="7" s="1"/>
  <c r="H507" i="7"/>
  <c r="H508" i="7"/>
  <c r="I508" i="7" s="1"/>
  <c r="H509" i="7"/>
  <c r="H510" i="7"/>
  <c r="I510" i="7" s="1"/>
  <c r="H511" i="7"/>
  <c r="I511" i="7" s="1"/>
  <c r="H512" i="7"/>
  <c r="H513" i="7"/>
  <c r="H514" i="7"/>
  <c r="I514" i="7" s="1"/>
  <c r="H515" i="7"/>
  <c r="I515" i="7" s="1"/>
  <c r="H516" i="7"/>
  <c r="I516" i="7" s="1"/>
  <c r="H517" i="7"/>
  <c r="H518" i="7"/>
  <c r="H519" i="7"/>
  <c r="I519" i="7" s="1"/>
  <c r="H520" i="7"/>
  <c r="H521" i="7"/>
  <c r="H522" i="7"/>
  <c r="H523" i="7"/>
  <c r="I523" i="7" s="1"/>
  <c r="H524" i="7"/>
  <c r="H525" i="7"/>
  <c r="I525" i="7" s="1"/>
  <c r="H526" i="7"/>
  <c r="H527" i="7"/>
  <c r="I527" i="7" s="1"/>
  <c r="H528" i="7"/>
  <c r="I528" i="7" s="1"/>
  <c r="H529" i="7"/>
  <c r="H530" i="7"/>
  <c r="I530" i="7" s="1"/>
  <c r="H531" i="7"/>
  <c r="H532" i="7"/>
  <c r="I532" i="7" s="1"/>
  <c r="H533" i="7"/>
  <c r="I533" i="7" s="1"/>
  <c r="H534" i="7"/>
  <c r="H535" i="7"/>
  <c r="I535" i="7" s="1"/>
  <c r="H536" i="7"/>
  <c r="H537" i="7"/>
  <c r="H538" i="7"/>
  <c r="H539" i="7"/>
  <c r="H540" i="7"/>
  <c r="I540" i="7" s="1"/>
  <c r="H541" i="7"/>
  <c r="H542" i="7"/>
  <c r="H543" i="7"/>
  <c r="H544" i="7"/>
  <c r="H545" i="7"/>
  <c r="I545" i="7" s="1"/>
  <c r="H546" i="7"/>
  <c r="I546" i="7" s="1"/>
  <c r="H547" i="7"/>
  <c r="H548" i="7"/>
  <c r="H549" i="7"/>
  <c r="I549" i="7" s="1"/>
  <c r="H550" i="7"/>
  <c r="I550" i="7" s="1"/>
  <c r="H551" i="7"/>
  <c r="I551" i="7" s="1"/>
  <c r="H552" i="7"/>
  <c r="H553" i="7"/>
  <c r="H554" i="7"/>
  <c r="I554" i="7" s="1"/>
  <c r="H555" i="7"/>
  <c r="I555" i="7" s="1"/>
  <c r="H556" i="7"/>
  <c r="H557" i="7"/>
  <c r="H558" i="7"/>
  <c r="I558" i="7" s="1"/>
  <c r="H559" i="7"/>
  <c r="I559" i="7" s="1"/>
  <c r="H560" i="7"/>
  <c r="I560" i="7" s="1"/>
  <c r="H561" i="7"/>
  <c r="H562" i="7"/>
  <c r="H563" i="7"/>
  <c r="I563" i="7" s="1"/>
  <c r="H564" i="7"/>
  <c r="H565" i="7"/>
  <c r="I565" i="7" s="1"/>
  <c r="H566" i="7"/>
  <c r="H567" i="7"/>
  <c r="I567" i="7" s="1"/>
  <c r="H568" i="7"/>
  <c r="I568" i="7" s="1"/>
  <c r="H569" i="7"/>
  <c r="H570" i="7"/>
  <c r="H571" i="7"/>
  <c r="I571" i="7" s="1"/>
  <c r="H572" i="7"/>
  <c r="I572" i="7" s="1"/>
  <c r="H573" i="7"/>
  <c r="I573" i="7" s="1"/>
  <c r="H574" i="7"/>
  <c r="I574" i="7" s="1"/>
  <c r="H575" i="7"/>
  <c r="H576" i="7"/>
  <c r="H577" i="7"/>
  <c r="I577" i="7" s="1"/>
  <c r="H578" i="7"/>
  <c r="I578" i="7" s="1"/>
  <c r="H579" i="7"/>
  <c r="H580" i="7"/>
  <c r="H581" i="7"/>
  <c r="H582" i="7"/>
  <c r="I582" i="7" s="1"/>
  <c r="H583" i="7"/>
  <c r="H584" i="7"/>
  <c r="I584" i="7" s="1"/>
  <c r="H585" i="7"/>
  <c r="H586" i="7"/>
  <c r="I586" i="7" s="1"/>
  <c r="H587" i="7"/>
  <c r="I587" i="7" s="1"/>
  <c r="H588" i="7"/>
  <c r="I588" i="7" s="1"/>
  <c r="H589" i="7"/>
  <c r="H590" i="7"/>
  <c r="I590" i="7" s="1"/>
  <c r="H591" i="7"/>
  <c r="H592" i="7"/>
  <c r="I592" i="7" s="1"/>
  <c r="H593" i="7"/>
  <c r="I593" i="7" s="1"/>
  <c r="H594" i="7"/>
  <c r="I594" i="7" s="1"/>
  <c r="H595" i="7"/>
  <c r="I595" i="7" s="1"/>
  <c r="H596" i="7"/>
  <c r="I596" i="7" s="1"/>
  <c r="H597" i="7"/>
  <c r="I597" i="7" s="1"/>
  <c r="H598" i="7"/>
  <c r="I598" i="7" s="1"/>
  <c r="H599" i="7"/>
  <c r="I599" i="7" s="1"/>
  <c r="H600" i="7"/>
  <c r="I600" i="7" s="1"/>
  <c r="H601" i="7"/>
  <c r="I601" i="7" s="1"/>
  <c r="H602" i="7"/>
  <c r="I602" i="7" s="1"/>
  <c r="H603" i="7"/>
  <c r="I603" i="7" s="1"/>
  <c r="H604" i="7"/>
  <c r="I604" i="7" s="1"/>
  <c r="H605" i="7"/>
  <c r="I605" i="7" s="1"/>
  <c r="H606" i="7"/>
  <c r="I606" i="7" s="1"/>
  <c r="H607" i="7"/>
  <c r="I607" i="7" s="1"/>
  <c r="H608" i="7"/>
  <c r="I608" i="7" s="1"/>
  <c r="H609" i="7"/>
  <c r="I609" i="7" s="1"/>
  <c r="H610" i="7"/>
  <c r="I610" i="7" s="1"/>
  <c r="H611" i="7"/>
  <c r="I611" i="7" s="1"/>
  <c r="H612" i="7"/>
  <c r="I612" i="7" s="1"/>
  <c r="H613" i="7"/>
  <c r="I613" i="7" s="1"/>
  <c r="H614" i="7"/>
  <c r="H615" i="7"/>
  <c r="I615" i="7" s="1"/>
  <c r="H616" i="7"/>
  <c r="I616" i="7" s="1"/>
  <c r="H617" i="7"/>
  <c r="I617" i="7" s="1"/>
  <c r="H618" i="7"/>
  <c r="I618" i="7" s="1"/>
  <c r="H619" i="7"/>
  <c r="I619" i="7" s="1"/>
  <c r="H620" i="7"/>
  <c r="I620" i="7" s="1"/>
  <c r="H621" i="7"/>
  <c r="I621" i="7" s="1"/>
  <c r="H622" i="7"/>
  <c r="H623" i="7"/>
  <c r="I623" i="7" s="1"/>
  <c r="H624" i="7"/>
  <c r="I624" i="7" s="1"/>
  <c r="H625" i="7"/>
  <c r="I625" i="7" s="1"/>
  <c r="H626" i="7"/>
  <c r="I626" i="7" s="1"/>
  <c r="H627" i="7"/>
  <c r="I627" i="7" s="1"/>
  <c r="H628" i="7"/>
  <c r="I628" i="7" s="1"/>
  <c r="H629" i="7"/>
  <c r="I629" i="7" s="1"/>
  <c r="H630" i="7"/>
  <c r="I630" i="7" s="1"/>
  <c r="H631" i="7"/>
  <c r="I631" i="7" s="1"/>
  <c r="H632" i="7"/>
  <c r="I632" i="7" s="1"/>
  <c r="H633" i="7"/>
  <c r="I633" i="7" s="1"/>
  <c r="H634" i="7"/>
  <c r="I634" i="7" s="1"/>
  <c r="H635" i="7"/>
  <c r="I635" i="7" s="1"/>
  <c r="H636" i="7"/>
  <c r="I636" i="7" s="1"/>
  <c r="H637" i="7"/>
  <c r="I637" i="7" s="1"/>
  <c r="H638" i="7"/>
  <c r="I638" i="7" s="1"/>
  <c r="H639" i="7"/>
  <c r="I639" i="7" s="1"/>
  <c r="H640" i="7"/>
  <c r="I640" i="7" s="1"/>
  <c r="H641" i="7"/>
  <c r="I641" i="7" s="1"/>
  <c r="H642" i="7"/>
  <c r="I642" i="7" s="1"/>
  <c r="H643" i="7"/>
  <c r="I643" i="7" s="1"/>
  <c r="H644" i="7"/>
  <c r="I644" i="7" s="1"/>
  <c r="H645" i="7"/>
  <c r="I645" i="7" s="1"/>
  <c r="H646" i="7"/>
  <c r="I646" i="7" s="1"/>
  <c r="H647" i="7"/>
  <c r="I647" i="7" s="1"/>
  <c r="H648" i="7"/>
  <c r="I648" i="7" s="1"/>
  <c r="H649" i="7"/>
  <c r="I649" i="7" s="1"/>
  <c r="H650" i="7"/>
  <c r="I650" i="7" s="1"/>
  <c r="H651" i="7"/>
  <c r="I651" i="7" s="1"/>
  <c r="H652" i="7"/>
  <c r="I652" i="7" s="1"/>
  <c r="H653" i="7"/>
  <c r="I653" i="7" s="1"/>
  <c r="H654" i="7"/>
  <c r="I654" i="7" s="1"/>
  <c r="H655" i="7"/>
  <c r="I655" i="7" s="1"/>
  <c r="H656" i="7"/>
  <c r="I656" i="7" s="1"/>
  <c r="H657" i="7"/>
  <c r="I657" i="7" s="1"/>
  <c r="H658" i="7"/>
  <c r="I658" i="7" s="1"/>
  <c r="H659" i="7"/>
  <c r="I659" i="7" s="1"/>
  <c r="H660" i="7"/>
  <c r="I660" i="7" s="1"/>
  <c r="H661" i="7"/>
  <c r="I661" i="7" s="1"/>
  <c r="H662" i="7"/>
  <c r="I662" i="7" s="1"/>
  <c r="H663" i="7"/>
  <c r="I663" i="7" s="1"/>
  <c r="H664" i="7"/>
  <c r="I664" i="7" s="1"/>
  <c r="H665" i="7"/>
  <c r="I665" i="7" s="1"/>
  <c r="H666" i="7"/>
  <c r="I666" i="7" s="1"/>
  <c r="H667" i="7"/>
  <c r="I667" i="7" s="1"/>
  <c r="H668" i="7"/>
  <c r="I668" i="7" s="1"/>
  <c r="H669" i="7"/>
  <c r="I669" i="7" s="1"/>
  <c r="H670" i="7"/>
  <c r="I670" i="7" s="1"/>
  <c r="H671" i="7"/>
  <c r="I671" i="7" s="1"/>
  <c r="H672" i="7"/>
  <c r="I672" i="7" s="1"/>
  <c r="H673" i="7"/>
  <c r="I673" i="7" s="1"/>
  <c r="H674" i="7"/>
  <c r="I674" i="7" s="1"/>
  <c r="H675" i="7"/>
  <c r="I675" i="7" s="1"/>
  <c r="H676" i="7"/>
  <c r="I676" i="7" s="1"/>
  <c r="H677" i="7"/>
  <c r="I677" i="7" s="1"/>
  <c r="H678" i="7"/>
  <c r="I678" i="7" s="1"/>
  <c r="H679" i="7"/>
  <c r="I679" i="7" s="1"/>
  <c r="H680" i="7"/>
  <c r="I680" i="7" s="1"/>
  <c r="H681" i="7"/>
  <c r="I681" i="7" s="1"/>
  <c r="H682" i="7"/>
  <c r="I682" i="7" s="1"/>
  <c r="H683" i="7"/>
  <c r="I683" i="7" s="1"/>
  <c r="H684" i="7"/>
  <c r="I684" i="7" s="1"/>
  <c r="H685" i="7"/>
  <c r="H686" i="7"/>
  <c r="I686" i="7" s="1"/>
  <c r="H687" i="7"/>
  <c r="I687" i="7" s="1"/>
  <c r="H688" i="7"/>
  <c r="I688" i="7" s="1"/>
  <c r="H689" i="7"/>
  <c r="I689" i="7" s="1"/>
  <c r="H690" i="7"/>
  <c r="I690" i="7" s="1"/>
  <c r="H691" i="7"/>
  <c r="I691" i="7" s="1"/>
  <c r="H692" i="7"/>
  <c r="I692" i="7" s="1"/>
  <c r="H693" i="7"/>
  <c r="I693" i="7" s="1"/>
  <c r="H694" i="7"/>
  <c r="I694" i="7" s="1"/>
  <c r="H695" i="7"/>
  <c r="I695" i="7" s="1"/>
  <c r="H696" i="7"/>
  <c r="H697" i="7"/>
  <c r="I697" i="7" s="1"/>
  <c r="H698" i="7"/>
  <c r="I698" i="7" s="1"/>
  <c r="H699" i="7"/>
  <c r="I699" i="7" s="1"/>
  <c r="H700" i="7"/>
  <c r="I700" i="7" s="1"/>
  <c r="H701" i="7"/>
  <c r="I701" i="7" s="1"/>
  <c r="H702" i="7"/>
  <c r="I702" i="7" s="1"/>
  <c r="H703" i="7"/>
  <c r="I703" i="7" s="1"/>
  <c r="H704" i="7"/>
  <c r="I704" i="7" s="1"/>
  <c r="H705" i="7"/>
  <c r="I705" i="7" s="1"/>
  <c r="H706" i="7"/>
  <c r="I706" i="7" s="1"/>
  <c r="H707" i="7"/>
  <c r="I707" i="7" s="1"/>
  <c r="H708" i="7"/>
  <c r="I708" i="7" s="1"/>
  <c r="H709" i="7"/>
  <c r="I709" i="7" s="1"/>
  <c r="H710" i="7"/>
  <c r="I710" i="7" s="1"/>
  <c r="H711" i="7"/>
  <c r="I711" i="7" s="1"/>
  <c r="H712" i="7"/>
  <c r="I712" i="7" s="1"/>
  <c r="H713" i="7"/>
  <c r="I713" i="7" s="1"/>
  <c r="H714" i="7"/>
  <c r="I714" i="7" s="1"/>
  <c r="H715" i="7"/>
  <c r="I715" i="7" s="1"/>
  <c r="H716" i="7"/>
  <c r="I716" i="7" s="1"/>
  <c r="H717" i="7"/>
  <c r="I717" i="7" s="1"/>
  <c r="H718" i="7"/>
  <c r="I718" i="7" s="1"/>
  <c r="H719" i="7"/>
  <c r="I719" i="7" s="1"/>
  <c r="H720" i="7"/>
  <c r="I720" i="7" s="1"/>
  <c r="H721" i="7"/>
  <c r="I721" i="7" s="1"/>
  <c r="H722" i="7"/>
  <c r="I722" i="7" s="1"/>
  <c r="H723" i="7"/>
  <c r="I723" i="7" s="1"/>
  <c r="H724" i="7"/>
  <c r="I724" i="7" s="1"/>
  <c r="H725" i="7"/>
  <c r="I725" i="7" s="1"/>
  <c r="H726" i="7"/>
  <c r="I726" i="7" s="1"/>
  <c r="H727" i="7"/>
  <c r="H729" i="7"/>
  <c r="I729" i="7" s="1"/>
  <c r="H730" i="7"/>
  <c r="I730" i="7" s="1"/>
  <c r="H731" i="7"/>
  <c r="I731" i="7" s="1"/>
  <c r="H732" i="7"/>
  <c r="I732" i="7" s="1"/>
  <c r="H733" i="7"/>
  <c r="I733" i="7" s="1"/>
  <c r="H734" i="7"/>
  <c r="I734" i="7" s="1"/>
  <c r="H735" i="7"/>
  <c r="I735" i="7" s="1"/>
  <c r="H736" i="7"/>
  <c r="I736" i="7" s="1"/>
  <c r="H737" i="7"/>
  <c r="I737" i="7" s="1"/>
  <c r="H738" i="7"/>
  <c r="I738" i="7" s="1"/>
  <c r="H739" i="7"/>
  <c r="I739" i="7" s="1"/>
  <c r="H740" i="7"/>
  <c r="I740" i="7" s="1"/>
  <c r="H741" i="7"/>
  <c r="I741" i="7" s="1"/>
  <c r="H742" i="7"/>
  <c r="I742" i="7" s="1"/>
  <c r="H743" i="7"/>
  <c r="I743" i="7" s="1"/>
  <c r="H744" i="7"/>
  <c r="I744" i="7" s="1"/>
  <c r="H745" i="7"/>
  <c r="I745" i="7" s="1"/>
  <c r="H746" i="7"/>
  <c r="I746" i="7" s="1"/>
  <c r="H747" i="7"/>
  <c r="I747" i="7" s="1"/>
  <c r="H748" i="7"/>
  <c r="I748" i="7" s="1"/>
  <c r="H749" i="7"/>
  <c r="I749" i="7" s="1"/>
  <c r="H750" i="7"/>
  <c r="I750" i="7" s="1"/>
  <c r="H751" i="7"/>
  <c r="I751" i="7" s="1"/>
  <c r="H752" i="7"/>
  <c r="I752" i="7" s="1"/>
  <c r="H753" i="7"/>
  <c r="I753" i="7" s="1"/>
  <c r="H754" i="7"/>
  <c r="I754" i="7" s="1"/>
  <c r="H755" i="7"/>
  <c r="I755" i="7" s="1"/>
  <c r="H756" i="7"/>
  <c r="I756" i="7" s="1"/>
  <c r="H757" i="7"/>
  <c r="I757" i="7" s="1"/>
  <c r="H758" i="7"/>
  <c r="I758" i="7" s="1"/>
  <c r="H759" i="7"/>
  <c r="I759" i="7" s="1"/>
  <c r="H760" i="7"/>
  <c r="I760" i="7" s="1"/>
  <c r="H761" i="7"/>
  <c r="I761" i="7" s="1"/>
  <c r="H762" i="7"/>
  <c r="I762" i="7" s="1"/>
  <c r="H763" i="7"/>
  <c r="I763" i="7" s="1"/>
  <c r="H764" i="7"/>
  <c r="I764" i="7" s="1"/>
  <c r="H765" i="7"/>
  <c r="I765" i="7" s="1"/>
  <c r="H766" i="7"/>
  <c r="I766" i="7" s="1"/>
  <c r="H767" i="7"/>
  <c r="I767" i="7" s="1"/>
  <c r="H768" i="7"/>
  <c r="I768" i="7" s="1"/>
  <c r="H769" i="7"/>
  <c r="I769" i="7" s="1"/>
  <c r="H770" i="7"/>
  <c r="I770" i="7" s="1"/>
  <c r="H771" i="7"/>
  <c r="I771" i="7" s="1"/>
  <c r="H772" i="7"/>
  <c r="I772" i="7" s="1"/>
  <c r="H773" i="7"/>
  <c r="I773" i="7" s="1"/>
  <c r="H774" i="7"/>
  <c r="I774" i="7" s="1"/>
  <c r="H775" i="7"/>
  <c r="I775" i="7" s="1"/>
  <c r="H776" i="7"/>
  <c r="I776" i="7" s="1"/>
  <c r="H777" i="7"/>
  <c r="I777" i="7" s="1"/>
  <c r="H778" i="7"/>
  <c r="I778" i="7" s="1"/>
  <c r="H779" i="7"/>
  <c r="I779" i="7" s="1"/>
  <c r="H780" i="7"/>
  <c r="I780" i="7" s="1"/>
  <c r="H781" i="7"/>
  <c r="I781" i="7" s="1"/>
  <c r="H782" i="7"/>
  <c r="I782" i="7" s="1"/>
  <c r="H783" i="7"/>
  <c r="I783" i="7" s="1"/>
  <c r="H784" i="7"/>
  <c r="I784" i="7" s="1"/>
  <c r="H785" i="7"/>
  <c r="I785" i="7" s="1"/>
  <c r="H786" i="7"/>
  <c r="I786" i="7" s="1"/>
  <c r="H787" i="7"/>
  <c r="I787" i="7" s="1"/>
  <c r="H788" i="7"/>
  <c r="I788" i="7" s="1"/>
  <c r="H789" i="7"/>
  <c r="I789" i="7" s="1"/>
  <c r="H790" i="7"/>
  <c r="I790" i="7" s="1"/>
  <c r="H791" i="7"/>
  <c r="I791" i="7" s="1"/>
  <c r="H792" i="7"/>
  <c r="I792" i="7" s="1"/>
  <c r="H793" i="7"/>
  <c r="I793" i="7" s="1"/>
  <c r="H794" i="7"/>
  <c r="I794" i="7" s="1"/>
  <c r="H795" i="7"/>
  <c r="I795" i="7" s="1"/>
  <c r="H796" i="7"/>
  <c r="I796" i="7" s="1"/>
  <c r="H797" i="7"/>
  <c r="I797" i="7" s="1"/>
  <c r="H798" i="7"/>
  <c r="I798" i="7" s="1"/>
  <c r="H799" i="7"/>
  <c r="I799" i="7" s="1"/>
  <c r="H800" i="7"/>
  <c r="I800" i="7" s="1"/>
  <c r="H801" i="7"/>
  <c r="I801" i="7" s="1"/>
  <c r="H802" i="7"/>
  <c r="I802" i="7" s="1"/>
  <c r="H803" i="7"/>
  <c r="I803" i="7" s="1"/>
  <c r="H804" i="7"/>
  <c r="I804" i="7" s="1"/>
  <c r="H805" i="7"/>
  <c r="I805" i="7" s="1"/>
  <c r="H806" i="7"/>
  <c r="I806" i="7" s="1"/>
  <c r="H807" i="7"/>
  <c r="I807" i="7" s="1"/>
  <c r="H808" i="7"/>
  <c r="I808" i="7" s="1"/>
  <c r="H809" i="7"/>
  <c r="I809" i="7" s="1"/>
  <c r="H810" i="7"/>
  <c r="I810" i="7" s="1"/>
  <c r="H811" i="7"/>
  <c r="I811" i="7" s="1"/>
  <c r="H812" i="7"/>
  <c r="I812" i="7" s="1"/>
  <c r="H813" i="7"/>
  <c r="I813" i="7" s="1"/>
  <c r="H814" i="7"/>
  <c r="I814" i="7" s="1"/>
  <c r="H815" i="7"/>
  <c r="I815" i="7" s="1"/>
  <c r="H816" i="7"/>
  <c r="I816" i="7" s="1"/>
  <c r="H817" i="7"/>
  <c r="I817" i="7" s="1"/>
  <c r="H818" i="7"/>
  <c r="I818" i="7" s="1"/>
  <c r="H819" i="7"/>
  <c r="I819" i="7" s="1"/>
  <c r="H820" i="7"/>
  <c r="I820" i="7" s="1"/>
  <c r="H821" i="7"/>
  <c r="I821" i="7" s="1"/>
  <c r="H822" i="7"/>
  <c r="I822" i="7" s="1"/>
  <c r="H823" i="7"/>
  <c r="I823" i="7" s="1"/>
  <c r="H824" i="7"/>
  <c r="I824" i="7" s="1"/>
  <c r="H825" i="7"/>
  <c r="I825" i="7" s="1"/>
  <c r="H826" i="7"/>
  <c r="I826" i="7" s="1"/>
  <c r="H827" i="7"/>
  <c r="I827" i="7" s="1"/>
  <c r="H828" i="7"/>
  <c r="H829" i="7"/>
  <c r="I829" i="7" s="1"/>
  <c r="H830" i="7"/>
  <c r="I830" i="7" s="1"/>
  <c r="H831" i="7"/>
  <c r="I831" i="7" s="1"/>
  <c r="H832" i="7"/>
  <c r="I832" i="7" s="1"/>
  <c r="H833" i="7"/>
  <c r="I833" i="7" s="1"/>
  <c r="H834" i="7"/>
  <c r="I834" i="7" s="1"/>
  <c r="H835" i="7"/>
  <c r="I835" i="7" s="1"/>
  <c r="H836" i="7"/>
  <c r="I836" i="7" s="1"/>
  <c r="H837" i="7"/>
  <c r="I837" i="7" s="1"/>
  <c r="H838" i="7"/>
  <c r="I838" i="7" s="1"/>
  <c r="H839" i="7"/>
  <c r="I839" i="7" s="1"/>
  <c r="H840" i="7"/>
  <c r="I840" i="7" s="1"/>
  <c r="H841" i="7"/>
  <c r="I841" i="7" s="1"/>
  <c r="H842" i="7"/>
  <c r="I842" i="7" s="1"/>
  <c r="H843" i="7"/>
  <c r="I843" i="7" s="1"/>
  <c r="H844" i="7"/>
  <c r="I844" i="7" s="1"/>
  <c r="H845" i="7"/>
  <c r="I845" i="7" s="1"/>
  <c r="H846" i="7"/>
  <c r="I846" i="7" s="1"/>
  <c r="H847" i="7"/>
  <c r="I847" i="7" s="1"/>
  <c r="H848" i="7"/>
  <c r="I848" i="7" s="1"/>
  <c r="H849" i="7"/>
  <c r="I849" i="7" s="1"/>
  <c r="H850" i="7"/>
  <c r="I850" i="7" s="1"/>
  <c r="H851" i="7"/>
  <c r="I851" i="7" s="1"/>
  <c r="H852" i="7"/>
  <c r="I852" i="7" s="1"/>
  <c r="H853" i="7"/>
  <c r="I853" i="7" s="1"/>
  <c r="H854" i="7"/>
  <c r="I854" i="7" s="1"/>
  <c r="H855" i="7"/>
  <c r="I855" i="7" s="1"/>
  <c r="H856" i="7"/>
  <c r="I856" i="7" s="1"/>
  <c r="H857" i="7"/>
  <c r="I857" i="7" s="1"/>
  <c r="H858" i="7"/>
  <c r="I858" i="7" s="1"/>
  <c r="H859" i="7"/>
  <c r="H860" i="7"/>
  <c r="I860" i="7" s="1"/>
  <c r="H861" i="7"/>
  <c r="I861" i="7" s="1"/>
  <c r="H862" i="7"/>
  <c r="I862" i="7" s="1"/>
  <c r="H863" i="7"/>
  <c r="I863" i="7" s="1"/>
  <c r="H864" i="7"/>
  <c r="I864" i="7" s="1"/>
  <c r="H865" i="7"/>
  <c r="I865" i="7" s="1"/>
  <c r="H866" i="7"/>
  <c r="I866" i="7" s="1"/>
  <c r="H867" i="7"/>
  <c r="I867" i="7" s="1"/>
  <c r="H868" i="7"/>
  <c r="I868" i="7" s="1"/>
  <c r="H869" i="7"/>
  <c r="I869" i="7" s="1"/>
  <c r="H870" i="7"/>
  <c r="I870" i="7" s="1"/>
  <c r="H871" i="7"/>
  <c r="I871" i="7" s="1"/>
  <c r="H872" i="7"/>
  <c r="I872" i="7" s="1"/>
  <c r="H873" i="7"/>
  <c r="I873" i="7" s="1"/>
  <c r="H874" i="7"/>
  <c r="I874" i="7" s="1"/>
  <c r="H875" i="7"/>
  <c r="I875" i="7" s="1"/>
  <c r="H876" i="7"/>
  <c r="I876" i="7" s="1"/>
  <c r="H877" i="7"/>
  <c r="I877" i="7" s="1"/>
  <c r="H878" i="7"/>
  <c r="I878" i="7" s="1"/>
  <c r="H879" i="7"/>
  <c r="I879" i="7" s="1"/>
  <c r="H880" i="7"/>
  <c r="I880" i="7" s="1"/>
  <c r="H881" i="7"/>
  <c r="I881" i="7" s="1"/>
  <c r="H882" i="7"/>
  <c r="I882" i="7" s="1"/>
  <c r="H883" i="7"/>
  <c r="I883" i="7" s="1"/>
  <c r="H884" i="7"/>
  <c r="I884" i="7" s="1"/>
  <c r="H885" i="7"/>
  <c r="I885" i="7" s="1"/>
  <c r="H886" i="7"/>
  <c r="I886" i="7" s="1"/>
  <c r="H887" i="7"/>
  <c r="I887" i="7" s="1"/>
  <c r="H888" i="7"/>
  <c r="I888" i="7" s="1"/>
  <c r="H889" i="7"/>
  <c r="I889" i="7" s="1"/>
  <c r="H890" i="7"/>
  <c r="I890" i="7" s="1"/>
  <c r="H891" i="7"/>
  <c r="I891" i="7" s="1"/>
  <c r="H892" i="7"/>
  <c r="I892" i="7" s="1"/>
  <c r="H893" i="7"/>
  <c r="I893" i="7" s="1"/>
  <c r="H894" i="7"/>
  <c r="I894" i="7" s="1"/>
  <c r="H895" i="7"/>
  <c r="I895" i="7" s="1"/>
  <c r="H896" i="7"/>
  <c r="I896" i="7" s="1"/>
  <c r="H897" i="7"/>
  <c r="I897" i="7" s="1"/>
  <c r="H898" i="7"/>
  <c r="I898" i="7" s="1"/>
  <c r="H899" i="7"/>
  <c r="I899" i="7" s="1"/>
  <c r="H900" i="7"/>
  <c r="I900" i="7" s="1"/>
  <c r="H901" i="7"/>
  <c r="I901" i="7" s="1"/>
  <c r="H902" i="7"/>
  <c r="I902" i="7" s="1"/>
  <c r="H903" i="7"/>
  <c r="I903" i="7" s="1"/>
  <c r="H904" i="7"/>
  <c r="H905" i="7"/>
  <c r="I905" i="7" s="1"/>
  <c r="H906" i="7"/>
  <c r="H907" i="7"/>
  <c r="I907" i="7" s="1"/>
  <c r="H908" i="7"/>
  <c r="I908" i="7" s="1"/>
  <c r="H909" i="7"/>
  <c r="H910" i="7"/>
  <c r="I910" i="7" s="1"/>
  <c r="H911" i="7"/>
  <c r="I911" i="7" s="1"/>
  <c r="H912" i="7"/>
  <c r="H913" i="7"/>
  <c r="H914" i="7"/>
  <c r="H915" i="7"/>
  <c r="H916" i="7"/>
  <c r="I916" i="7" s="1"/>
  <c r="H917" i="7"/>
  <c r="H918" i="7"/>
  <c r="H919" i="7"/>
  <c r="I919" i="7" s="1"/>
  <c r="H920" i="7"/>
  <c r="I920" i="7" s="1"/>
  <c r="H921" i="7"/>
  <c r="H922" i="7"/>
  <c r="I922" i="7" s="1"/>
  <c r="H923" i="7"/>
  <c r="I923" i="7" s="1"/>
  <c r="H924" i="7"/>
  <c r="I924" i="7" s="1"/>
  <c r="H925" i="7"/>
  <c r="I925" i="7" s="1"/>
  <c r="H926" i="7"/>
  <c r="I926" i="7" s="1"/>
  <c r="H927" i="7"/>
  <c r="I927" i="7" s="1"/>
  <c r="H928" i="7"/>
  <c r="I928" i="7" s="1"/>
  <c r="H929" i="7"/>
  <c r="I929" i="7" s="1"/>
  <c r="H930" i="7"/>
  <c r="I930" i="7" s="1"/>
  <c r="H931" i="7"/>
  <c r="I931" i="7" s="1"/>
  <c r="H932" i="7"/>
  <c r="I932" i="7" s="1"/>
  <c r="H933" i="7"/>
  <c r="I933" i="7" s="1"/>
  <c r="H934" i="7"/>
  <c r="I934" i="7" s="1"/>
  <c r="H935" i="7"/>
  <c r="I935" i="7" s="1"/>
  <c r="H936" i="7"/>
  <c r="I936" i="7" s="1"/>
  <c r="H937" i="7"/>
  <c r="I937" i="7" s="1"/>
  <c r="H938" i="7"/>
  <c r="I938" i="7" s="1"/>
  <c r="H939" i="7"/>
  <c r="I939" i="7" s="1"/>
  <c r="H940" i="7"/>
  <c r="I940" i="7" s="1"/>
  <c r="H941" i="7"/>
  <c r="I941" i="7" s="1"/>
  <c r="H942" i="7"/>
  <c r="H943" i="7"/>
  <c r="I943" i="7" s="1"/>
  <c r="H944" i="7"/>
  <c r="H945" i="7"/>
  <c r="I945" i="7" s="1"/>
  <c r="H946" i="7"/>
  <c r="H947" i="7"/>
  <c r="H948" i="7"/>
  <c r="I948" i="7" s="1"/>
  <c r="H949" i="7"/>
  <c r="I949" i="7" s="1"/>
  <c r="H950" i="7"/>
  <c r="H951" i="7"/>
  <c r="H952" i="7"/>
  <c r="H953" i="7"/>
  <c r="I953" i="7" s="1"/>
  <c r="H954" i="7"/>
  <c r="H955" i="7"/>
  <c r="I955" i="7" s="1"/>
  <c r="H956" i="7"/>
  <c r="H957" i="7"/>
  <c r="H958" i="7"/>
  <c r="H959" i="7"/>
  <c r="I959" i="7" s="1"/>
  <c r="H960" i="7"/>
  <c r="H961" i="7"/>
  <c r="H962" i="7"/>
  <c r="H963" i="7"/>
  <c r="I963" i="7" s="1"/>
  <c r="H964" i="7"/>
  <c r="H965" i="7"/>
  <c r="H966" i="7"/>
  <c r="I966" i="7" s="1"/>
  <c r="H967" i="7"/>
  <c r="H968" i="7"/>
  <c r="I968" i="7" s="1"/>
  <c r="H969" i="7"/>
  <c r="I969" i="7" s="1"/>
  <c r="H970" i="7"/>
  <c r="H971" i="7"/>
  <c r="H972" i="7"/>
  <c r="I972" i="7" s="1"/>
  <c r="H973" i="7"/>
  <c r="I973" i="7" s="1"/>
  <c r="H974" i="7"/>
  <c r="H975" i="7"/>
  <c r="H976" i="7"/>
  <c r="I976" i="7" s="1"/>
  <c r="H977" i="7"/>
  <c r="H978" i="7"/>
  <c r="I978" i="7" s="1"/>
  <c r="H979" i="7"/>
  <c r="I979" i="7" s="1"/>
  <c r="H980" i="7"/>
  <c r="H981" i="7"/>
  <c r="H982" i="7"/>
  <c r="I982" i="7" s="1"/>
  <c r="H983" i="7"/>
  <c r="I983" i="7" s="1"/>
  <c r="H984" i="7"/>
  <c r="I984" i="7" s="1"/>
  <c r="H985" i="7"/>
  <c r="I985" i="7" s="1"/>
  <c r="H986" i="7"/>
  <c r="I986" i="7" s="1"/>
  <c r="H987" i="7"/>
  <c r="I987" i="7" s="1"/>
  <c r="H988" i="7"/>
  <c r="I988" i="7" s="1"/>
  <c r="H989" i="7"/>
  <c r="I989" i="7" s="1"/>
  <c r="H990" i="7"/>
  <c r="I990" i="7" s="1"/>
  <c r="H991" i="7"/>
  <c r="I991" i="7" s="1"/>
  <c r="H992" i="7"/>
  <c r="H993" i="7"/>
  <c r="H994" i="7"/>
  <c r="I994" i="7" s="1"/>
  <c r="H995" i="7"/>
  <c r="I995" i="7" s="1"/>
  <c r="H996" i="7"/>
  <c r="I996" i="7" s="1"/>
  <c r="H997" i="7"/>
  <c r="I997" i="7" s="1"/>
  <c r="H998" i="7"/>
  <c r="I998" i="7" s="1"/>
  <c r="H999" i="7"/>
  <c r="I999" i="7" s="1"/>
  <c r="H1000" i="7"/>
  <c r="I1000" i="7" s="1"/>
  <c r="H1001" i="7"/>
  <c r="I1001" i="7" s="1"/>
  <c r="H1002" i="7"/>
  <c r="H1003" i="7"/>
  <c r="H1004" i="7"/>
  <c r="H1005" i="7"/>
  <c r="H1006" i="7"/>
  <c r="H1007" i="7"/>
  <c r="H1008" i="7"/>
  <c r="I1008" i="7" s="1"/>
  <c r="H1009" i="7"/>
  <c r="I1009" i="7" s="1"/>
  <c r="H1010" i="7"/>
  <c r="I1010" i="7" s="1"/>
  <c r="H1011" i="7"/>
  <c r="I1011" i="7" s="1"/>
  <c r="H1012" i="7"/>
  <c r="H1013" i="7"/>
  <c r="I1013" i="7" s="1"/>
  <c r="H1014" i="7"/>
  <c r="H1015" i="7"/>
  <c r="H1016" i="7"/>
  <c r="H1017" i="7"/>
  <c r="H1018" i="7"/>
  <c r="I1018" i="7" s="1"/>
  <c r="H1019" i="7"/>
  <c r="I1019" i="7" s="1"/>
  <c r="H1020" i="7"/>
  <c r="H1021" i="7"/>
  <c r="H1022" i="7"/>
  <c r="H1023" i="7"/>
  <c r="I1023" i="7" s="1"/>
  <c r="H1024" i="7"/>
  <c r="H1025" i="7"/>
  <c r="H1026" i="7"/>
  <c r="H1027" i="7"/>
  <c r="H1028" i="7"/>
  <c r="H1029" i="7"/>
  <c r="H1030" i="7"/>
  <c r="H1031" i="7"/>
  <c r="H1032" i="7"/>
  <c r="H1033" i="7"/>
  <c r="I1033" i="7" s="1"/>
  <c r="H1034" i="7"/>
  <c r="H1035" i="7"/>
  <c r="H1036" i="7"/>
  <c r="H1037" i="7"/>
  <c r="H1038" i="7"/>
  <c r="H1039" i="7"/>
  <c r="H1040" i="7"/>
  <c r="H1041" i="7"/>
  <c r="H1042" i="7"/>
  <c r="I1042" i="7" s="1"/>
  <c r="H1043" i="7"/>
  <c r="I1043" i="7" s="1"/>
  <c r="H1044" i="7"/>
  <c r="H1045" i="7"/>
  <c r="I1045" i="7" s="1"/>
  <c r="H1046" i="7"/>
  <c r="I1046" i="7" s="1"/>
  <c r="H1047" i="7"/>
  <c r="H1048" i="7"/>
  <c r="H1049" i="7"/>
  <c r="H1050" i="7"/>
  <c r="H1051" i="7"/>
  <c r="I1051" i="7" s="1"/>
  <c r="H1052" i="7"/>
  <c r="I1052" i="7" s="1"/>
  <c r="H1053" i="7"/>
  <c r="H1054" i="7"/>
  <c r="H1055" i="7"/>
  <c r="I1055" i="7" s="1"/>
  <c r="H1056" i="7"/>
  <c r="I1056" i="7" s="1"/>
  <c r="H1057" i="7"/>
  <c r="H1058" i="7"/>
  <c r="H1059" i="7"/>
  <c r="H1060" i="7"/>
  <c r="H1061" i="7"/>
  <c r="I1061" i="7" s="1"/>
  <c r="F1083" i="10" l="1"/>
  <c r="H1086" i="7"/>
  <c r="I1086" i="7" s="1"/>
  <c r="L910" i="10"/>
  <c r="L706" i="10"/>
  <c r="L346" i="10"/>
  <c r="L792" i="10"/>
  <c r="L216" i="10"/>
  <c r="L160" i="10"/>
  <c r="L54" i="10"/>
  <c r="L308" i="10"/>
  <c r="L212" i="10"/>
  <c r="L897" i="10"/>
  <c r="L363" i="10"/>
  <c r="L592" i="10"/>
  <c r="L1063" i="10"/>
  <c r="L955" i="10"/>
  <c r="L546" i="10"/>
  <c r="K160" i="10"/>
  <c r="L1022" i="10"/>
  <c r="L38" i="10"/>
  <c r="L973" i="10"/>
  <c r="L733" i="10"/>
  <c r="L1077" i="10"/>
  <c r="L1075" i="10"/>
  <c r="K726" i="10"/>
  <c r="L1076" i="10"/>
  <c r="L1081" i="10"/>
  <c r="K592" i="10"/>
  <c r="L1080" i="10"/>
  <c r="L726" i="10"/>
  <c r="L1079" i="10"/>
  <c r="K1079" i="10"/>
  <c r="L1078" i="10"/>
  <c r="K1082" i="10"/>
  <c r="K1077" i="10"/>
  <c r="L1074" i="10"/>
  <c r="L1073" i="10"/>
  <c r="L1083" i="10"/>
  <c r="K1083" i="10"/>
  <c r="L1082" i="10"/>
  <c r="K1074" i="10"/>
  <c r="K1073" i="10"/>
  <c r="J1084" i="10"/>
  <c r="K1081" i="10"/>
  <c r="K1080" i="10"/>
  <c r="K1078" i="10"/>
  <c r="K1076" i="10"/>
  <c r="K1075" i="10"/>
  <c r="I1084" i="10"/>
  <c r="K373" i="10"/>
  <c r="K557" i="10"/>
  <c r="K280" i="10"/>
  <c r="K273" i="10"/>
  <c r="L120" i="10"/>
  <c r="L557" i="10"/>
  <c r="L273" i="10"/>
  <c r="K937" i="10"/>
  <c r="K264" i="10"/>
  <c r="K700" i="10"/>
  <c r="K79" i="10"/>
  <c r="K96" i="10"/>
  <c r="K132" i="10"/>
  <c r="K108" i="10"/>
  <c r="K91" i="10"/>
  <c r="K74" i="10"/>
  <c r="K156" i="10"/>
  <c r="K23" i="10"/>
  <c r="K11" i="10"/>
  <c r="K228" i="10"/>
  <c r="K172" i="10"/>
  <c r="K189" i="10"/>
  <c r="L115" i="10"/>
  <c r="L52" i="10"/>
  <c r="L196" i="10"/>
  <c r="L184" i="10"/>
  <c r="L40" i="10"/>
  <c r="L201" i="10"/>
  <c r="L35" i="10"/>
  <c r="K995" i="10"/>
  <c r="K252" i="10"/>
  <c r="K237" i="10"/>
  <c r="K28" i="10"/>
  <c r="K862" i="10"/>
  <c r="K174" i="10"/>
  <c r="K93" i="10"/>
  <c r="L81" i="10"/>
  <c r="L76" i="10"/>
  <c r="L64" i="10"/>
  <c r="K37" i="10"/>
  <c r="K25" i="10"/>
  <c r="L433" i="10"/>
  <c r="L421" i="10"/>
  <c r="L397" i="10"/>
  <c r="L329" i="10"/>
  <c r="K231" i="10"/>
  <c r="K214" i="10"/>
  <c r="K204" i="10"/>
  <c r="K163" i="10"/>
  <c r="K147" i="10"/>
  <c r="K135" i="10"/>
  <c r="K111" i="10"/>
  <c r="L278" i="10"/>
  <c r="L265" i="10"/>
  <c r="K168" i="10"/>
  <c r="K19" i="10"/>
  <c r="K7" i="10"/>
  <c r="L605" i="10"/>
  <c r="K453" i="10"/>
  <c r="K405" i="10"/>
  <c r="K381" i="10"/>
  <c r="K371" i="10"/>
  <c r="L354" i="10"/>
  <c r="K907" i="10"/>
  <c r="K912" i="10"/>
  <c r="K691" i="10"/>
  <c r="K679" i="10"/>
  <c r="L224" i="10"/>
  <c r="K41" i="10"/>
  <c r="K1021" i="10"/>
  <c r="K946" i="10"/>
  <c r="L674" i="10"/>
  <c r="L690" i="10"/>
  <c r="K275" i="10"/>
  <c r="K243" i="10"/>
  <c r="K1004" i="10"/>
  <c r="K784" i="10"/>
  <c r="L568" i="10"/>
  <c r="L989" i="10"/>
  <c r="L938" i="10"/>
  <c r="L1064" i="10"/>
  <c r="L1047" i="10"/>
  <c r="L943" i="10"/>
  <c r="K411" i="10"/>
  <c r="K360" i="10"/>
  <c r="K331" i="10"/>
  <c r="K69" i="10"/>
  <c r="K57" i="10"/>
  <c r="K279" i="10"/>
  <c r="L469" i="10"/>
  <c r="L370" i="10"/>
  <c r="L353" i="10"/>
  <c r="L312" i="10"/>
  <c r="L249" i="10"/>
  <c r="K829" i="10"/>
  <c r="K595" i="10"/>
  <c r="L673" i="10"/>
  <c r="K908" i="10"/>
  <c r="K474" i="10"/>
  <c r="L581" i="10"/>
  <c r="L569" i="10"/>
  <c r="L505" i="10"/>
  <c r="L430" i="10"/>
  <c r="L394" i="10"/>
  <c r="L382" i="10"/>
  <c r="L355" i="10"/>
  <c r="K991" i="10"/>
  <c r="K662" i="10"/>
  <c r="K445" i="10"/>
  <c r="K913" i="10"/>
  <c r="K773" i="10"/>
  <c r="K728" i="10"/>
  <c r="L862" i="10"/>
  <c r="L850" i="10"/>
  <c r="K251" i="10"/>
  <c r="K678" i="10"/>
  <c r="K641" i="10"/>
  <c r="K629" i="10"/>
  <c r="K457" i="10"/>
  <c r="L712" i="10"/>
  <c r="K166" i="10"/>
  <c r="K150" i="10"/>
  <c r="K138" i="10"/>
  <c r="K126" i="10"/>
  <c r="K102" i="10"/>
  <c r="K85" i="10"/>
  <c r="K68" i="10"/>
  <c r="K29" i="10"/>
  <c r="K17" i="10"/>
  <c r="K5" i="10"/>
  <c r="K841" i="10"/>
  <c r="K771" i="10"/>
  <c r="K964" i="10"/>
  <c r="K607" i="10"/>
  <c r="K459" i="10"/>
  <c r="L809" i="10"/>
  <c r="K1060" i="10"/>
  <c r="K1036" i="10"/>
  <c r="K1024" i="10"/>
  <c r="K1002" i="10"/>
  <c r="L990" i="10"/>
  <c r="L978" i="10"/>
  <c r="K944" i="10"/>
  <c r="L939" i="10"/>
  <c r="L816" i="10"/>
  <c r="L811" i="10"/>
  <c r="K799" i="10"/>
  <c r="K689" i="10"/>
  <c r="L640" i="10"/>
  <c r="L616" i="10"/>
  <c r="L583" i="10"/>
  <c r="L571" i="10"/>
  <c r="L548" i="10"/>
  <c r="K543" i="10"/>
  <c r="L519" i="10"/>
  <c r="K507" i="10"/>
  <c r="L456" i="10"/>
  <c r="K432" i="10"/>
  <c r="K408" i="10"/>
  <c r="L357" i="10"/>
  <c r="K328" i="10"/>
  <c r="K316" i="10"/>
  <c r="L1072" i="10"/>
  <c r="L1043" i="10"/>
  <c r="L1014" i="10"/>
  <c r="L883" i="10"/>
  <c r="L765" i="10"/>
  <c r="L611" i="10"/>
  <c r="L566" i="10"/>
  <c r="L352" i="10"/>
  <c r="K270" i="10"/>
  <c r="K99" i="10"/>
  <c r="K94" i="10"/>
  <c r="L26" i="10"/>
  <c r="K540" i="10"/>
  <c r="K1052" i="10"/>
  <c r="K1011" i="10"/>
  <c r="K1006" i="10"/>
  <c r="L982" i="10"/>
  <c r="L880" i="10"/>
  <c r="K868" i="10"/>
  <c r="L856" i="10"/>
  <c r="L844" i="10"/>
  <c r="K832" i="10"/>
  <c r="L820" i="10"/>
  <c r="L762" i="10"/>
  <c r="L720" i="10"/>
  <c r="K708" i="10"/>
  <c r="L681" i="10"/>
  <c r="K632" i="10"/>
  <c r="K598" i="10"/>
  <c r="L575" i="10"/>
  <c r="K563" i="10"/>
  <c r="K552" i="10"/>
  <c r="L535" i="10"/>
  <c r="K523" i="10"/>
  <c r="L499" i="10"/>
  <c r="K448" i="10"/>
  <c r="K436" i="10"/>
  <c r="L424" i="10"/>
  <c r="K412" i="10"/>
  <c r="K400" i="10"/>
  <c r="K376" i="10"/>
  <c r="K361" i="10"/>
  <c r="K344" i="10"/>
  <c r="K332" i="10"/>
  <c r="K320" i="10"/>
  <c r="K303" i="10"/>
  <c r="K286" i="10"/>
  <c r="L757" i="10"/>
  <c r="L676" i="10"/>
  <c r="L656" i="10"/>
  <c r="K610" i="10"/>
  <c r="K554" i="10"/>
  <c r="L494" i="10"/>
  <c r="L293" i="10"/>
  <c r="L867" i="10"/>
  <c r="L819" i="10"/>
  <c r="L664" i="10"/>
  <c r="L619" i="10"/>
  <c r="K454" i="10"/>
  <c r="K442" i="10"/>
  <c r="K418" i="10"/>
  <c r="K406" i="10"/>
  <c r="K326" i="10"/>
  <c r="K276" i="10"/>
  <c r="L1049" i="10"/>
  <c r="L1068" i="10"/>
  <c r="L1051" i="10"/>
  <c r="L1027" i="10"/>
  <c r="L1005" i="10"/>
  <c r="L981" i="10"/>
  <c r="L947" i="10"/>
  <c r="L879" i="10"/>
  <c r="L802" i="10"/>
  <c r="L785" i="10"/>
  <c r="L692" i="10"/>
  <c r="L464" i="10"/>
  <c r="L447" i="10"/>
  <c r="L319" i="10"/>
  <c r="L1046" i="10"/>
  <c r="L1034" i="10"/>
  <c r="L1017" i="10"/>
  <c r="L1000" i="10"/>
  <c r="L971" i="10"/>
  <c r="K954" i="10"/>
  <c r="K886" i="10"/>
  <c r="K826" i="10"/>
  <c r="K814" i="10"/>
  <c r="K714" i="10"/>
  <c r="K558" i="10"/>
  <c r="L1041" i="10"/>
  <c r="K1029" i="10"/>
  <c r="K1012" i="10"/>
  <c r="L949" i="10"/>
  <c r="K927" i="10"/>
  <c r="K915" i="10"/>
  <c r="L881" i="10"/>
  <c r="K857" i="10"/>
  <c r="L821" i="10"/>
  <c r="L787" i="10"/>
  <c r="K735" i="10"/>
  <c r="K721" i="10"/>
  <c r="L709" i="10"/>
  <c r="L704" i="10"/>
  <c r="L682" i="10"/>
  <c r="K524" i="10"/>
  <c r="L512" i="10"/>
  <c r="L476" i="10"/>
  <c r="L362" i="10"/>
  <c r="L350" i="10"/>
  <c r="L345" i="10"/>
  <c r="K321" i="10"/>
  <c r="K235" i="10"/>
  <c r="K151" i="10"/>
  <c r="K139" i="10"/>
  <c r="K127" i="10"/>
  <c r="K103" i="10"/>
  <c r="L254" i="10"/>
  <c r="L218" i="10"/>
  <c r="K1009" i="10"/>
  <c r="K997" i="10"/>
  <c r="K900" i="10"/>
  <c r="K806" i="10"/>
  <c r="K789" i="10"/>
  <c r="K701" i="10"/>
  <c r="K635" i="10"/>
  <c r="K600" i="10"/>
  <c r="K590" i="10"/>
  <c r="K578" i="10"/>
  <c r="K490" i="10"/>
  <c r="K439" i="10"/>
  <c r="K403" i="10"/>
  <c r="K391" i="10"/>
  <c r="K379" i="10"/>
  <c r="K323" i="10"/>
  <c r="K311" i="10"/>
  <c r="K306" i="10"/>
  <c r="K261" i="10"/>
  <c r="L237" i="10"/>
  <c r="K225" i="10"/>
  <c r="K210" i="10"/>
  <c r="K181" i="10"/>
  <c r="K169" i="10"/>
  <c r="K129" i="10"/>
  <c r="K117" i="10"/>
  <c r="K88" i="10"/>
  <c r="K59" i="10"/>
  <c r="K32" i="10"/>
  <c r="K20" i="10"/>
  <c r="K8" i="10"/>
  <c r="L596" i="10"/>
  <c r="K585" i="10"/>
  <c r="L533" i="10"/>
  <c r="K485" i="10"/>
  <c r="K473" i="10"/>
  <c r="L359" i="10"/>
  <c r="L342" i="10"/>
  <c r="L296" i="10"/>
  <c r="K232" i="10"/>
  <c r="K193" i="10"/>
  <c r="K148" i="10"/>
  <c r="L124" i="10"/>
  <c r="L112" i="10"/>
  <c r="K100" i="10"/>
  <c r="K66" i="10"/>
  <c r="K49" i="10"/>
  <c r="L1050" i="10"/>
  <c r="L992" i="10"/>
  <c r="L941" i="10"/>
  <c r="L890" i="10"/>
  <c r="L830" i="10"/>
  <c r="L1057" i="10"/>
  <c r="K1045" i="10"/>
  <c r="L1033" i="10"/>
  <c r="K987" i="10"/>
  <c r="K919" i="10"/>
  <c r="K873" i="10"/>
  <c r="K837" i="10"/>
  <c r="L825" i="10"/>
  <c r="K808" i="10"/>
  <c r="K779" i="10"/>
  <c r="K767" i="10"/>
  <c r="L750" i="10"/>
  <c r="L686" i="10"/>
  <c r="K649" i="10"/>
  <c r="K637" i="10"/>
  <c r="L625" i="10"/>
  <c r="L441" i="10"/>
  <c r="L337" i="10"/>
  <c r="L227" i="10"/>
  <c r="K183" i="10"/>
  <c r="K171" i="10"/>
  <c r="K78" i="10"/>
  <c r="L73" i="10"/>
  <c r="K44" i="10"/>
  <c r="K22" i="10"/>
  <c r="K10" i="10"/>
  <c r="L246" i="10"/>
  <c r="L234" i="10"/>
  <c r="L207" i="10"/>
  <c r="L114" i="10"/>
  <c r="K921" i="10"/>
  <c r="K887" i="10"/>
  <c r="K875" i="10"/>
  <c r="K827" i="10"/>
  <c r="K781" i="10"/>
  <c r="K752" i="10"/>
  <c r="K627" i="10"/>
  <c r="K482" i="10"/>
  <c r="L356" i="10"/>
  <c r="K283" i="10"/>
  <c r="L202" i="10"/>
  <c r="L190" i="10"/>
  <c r="K157" i="10"/>
  <c r="K145" i="10"/>
  <c r="K133" i="10"/>
  <c r="K121" i="10"/>
  <c r="L109" i="10"/>
  <c r="K97" i="10"/>
  <c r="K75" i="10"/>
  <c r="K1071" i="10"/>
  <c r="K1042" i="10"/>
  <c r="K1030" i="10"/>
  <c r="L1008" i="10"/>
  <c r="K984" i="10"/>
  <c r="K967" i="10"/>
  <c r="K928" i="10"/>
  <c r="L858" i="10"/>
  <c r="L822" i="10"/>
  <c r="K793" i="10"/>
  <c r="K788" i="10"/>
  <c r="L776" i="10"/>
  <c r="L747" i="10"/>
  <c r="L731" i="10"/>
  <c r="L695" i="10"/>
  <c r="L646" i="10"/>
  <c r="L622" i="10"/>
  <c r="L610" i="10"/>
  <c r="L577" i="10"/>
  <c r="K565" i="10"/>
  <c r="K450" i="10"/>
  <c r="L390" i="10"/>
  <c r="L368" i="10"/>
  <c r="K334" i="10"/>
  <c r="K305" i="10"/>
  <c r="K260" i="10"/>
  <c r="K236" i="10"/>
  <c r="K972" i="10"/>
  <c r="L1061" i="10"/>
  <c r="L1025" i="10"/>
  <c r="L911" i="10"/>
  <c r="L889" i="10"/>
  <c r="K82" i="10"/>
  <c r="L77" i="10"/>
  <c r="K65" i="10"/>
  <c r="K14" i="10"/>
  <c r="K2" i="10"/>
  <c r="L1037" i="10"/>
  <c r="L1020" i="10"/>
  <c r="L979" i="10"/>
  <c r="L853" i="10"/>
  <c r="L817" i="10"/>
  <c r="L1056" i="10"/>
  <c r="K1044" i="10"/>
  <c r="K1015" i="10"/>
  <c r="K998" i="10"/>
  <c r="K986" i="10"/>
  <c r="K957" i="10"/>
  <c r="L952" i="10"/>
  <c r="K930" i="10"/>
  <c r="L884" i="10"/>
  <c r="K824" i="10"/>
  <c r="K819" i="10"/>
  <c r="K754" i="10"/>
  <c r="L749" i="10"/>
  <c r="K697" i="10"/>
  <c r="K669" i="10"/>
  <c r="K648" i="10"/>
  <c r="K612" i="10"/>
  <c r="L567" i="10"/>
  <c r="L527" i="10"/>
  <c r="K336" i="10"/>
  <c r="K324" i="10"/>
  <c r="K290" i="10"/>
  <c r="K267" i="10"/>
  <c r="K262" i="10"/>
  <c r="K238" i="10"/>
  <c r="K211" i="10"/>
  <c r="K199" i="10"/>
  <c r="K187" i="10"/>
  <c r="K154" i="10"/>
  <c r="K142" i="10"/>
  <c r="K130" i="10"/>
  <c r="L118" i="10"/>
  <c r="K106" i="10"/>
  <c r="K43" i="10"/>
  <c r="K1018" i="10"/>
  <c r="K1001" i="10"/>
  <c r="L1039" i="10"/>
  <c r="K257" i="10"/>
  <c r="L221" i="10"/>
  <c r="K84" i="10"/>
  <c r="L67" i="10"/>
  <c r="K55" i="10"/>
  <c r="K50" i="10"/>
  <c r="L4" i="10"/>
  <c r="L997" i="10"/>
  <c r="K852" i="10"/>
  <c r="K1062" i="10"/>
  <c r="K985" i="10"/>
  <c r="K741" i="10"/>
  <c r="K686" i="10"/>
  <c r="K856" i="10"/>
  <c r="L70" i="10"/>
  <c r="L976" i="10"/>
  <c r="K889" i="10"/>
  <c r="L436" i="10"/>
  <c r="L510" i="10"/>
  <c r="L457" i="10"/>
  <c r="L445" i="10"/>
  <c r="K510" i="10"/>
  <c r="L264" i="10"/>
  <c r="L193" i="10"/>
  <c r="K38" i="10"/>
  <c r="K616" i="10"/>
  <c r="K1048" i="10"/>
  <c r="K775" i="10"/>
  <c r="K763" i="10"/>
  <c r="L637" i="10"/>
  <c r="K846" i="10"/>
  <c r="K495" i="10"/>
  <c r="K370" i="10"/>
  <c r="K1070" i="10"/>
  <c r="K893" i="10"/>
  <c r="K836" i="10"/>
  <c r="L324" i="10"/>
  <c r="L248" i="10"/>
  <c r="K982" i="10"/>
  <c r="K951" i="10"/>
  <c r="L267" i="10"/>
  <c r="K248" i="10"/>
  <c r="K224" i="10"/>
  <c r="K120" i="10"/>
  <c r="K201" i="10"/>
  <c r="K923" i="10"/>
  <c r="K850" i="10"/>
  <c r="L560" i="10"/>
  <c r="K352" i="10"/>
  <c r="L225" i="10"/>
  <c r="K213" i="10"/>
  <c r="L210" i="10"/>
  <c r="L208" i="10"/>
  <c r="L326" i="10"/>
  <c r="K208" i="10"/>
  <c r="L138" i="10"/>
  <c r="K112" i="10"/>
  <c r="L93" i="10"/>
  <c r="K52" i="10"/>
  <c r="L732" i="10"/>
  <c r="K1061" i="10"/>
  <c r="L1012" i="10"/>
  <c r="L913" i="10"/>
  <c r="K762" i="10"/>
  <c r="L650" i="10"/>
  <c r="L643" i="10"/>
  <c r="K534" i="10"/>
  <c r="K426" i="10"/>
  <c r="L28" i="10"/>
  <c r="L133" i="10"/>
  <c r="L612" i="10"/>
  <c r="L432" i="10"/>
  <c r="L365" i="10"/>
  <c r="L614" i="10"/>
  <c r="K519" i="10"/>
  <c r="K114" i="10"/>
  <c r="K76" i="10"/>
  <c r="K35" i="10"/>
  <c r="K560" i="10"/>
  <c r="L534" i="10"/>
  <c r="L485" i="10"/>
  <c r="K447" i="10"/>
  <c r="K357" i="10"/>
  <c r="K353" i="10"/>
  <c r="K109" i="10"/>
  <c r="L78" i="10"/>
  <c r="L965" i="10"/>
  <c r="L376" i="10"/>
  <c r="L1018" i="10"/>
  <c r="L587" i="10"/>
  <c r="K522" i="10"/>
  <c r="K499" i="10"/>
  <c r="K216" i="10"/>
  <c r="K153" i="10"/>
  <c r="L153" i="10"/>
  <c r="K737" i="10"/>
  <c r="L737" i="10"/>
  <c r="K184" i="10"/>
  <c r="K451" i="10"/>
  <c r="L205" i="10"/>
  <c r="K205" i="10"/>
  <c r="L563" i="10"/>
  <c r="K844" i="10"/>
  <c r="L536" i="10"/>
  <c r="L393" i="10"/>
  <c r="L1065" i="10"/>
  <c r="K943" i="10"/>
  <c r="K933" i="10"/>
  <c r="L919" i="10"/>
  <c r="L803" i="10"/>
  <c r="L768" i="10"/>
  <c r="L606" i="10"/>
  <c r="L565" i="10"/>
  <c r="K536" i="10"/>
  <c r="K493" i="10"/>
  <c r="L199" i="10"/>
  <c r="L178" i="10"/>
  <c r="L240" i="10"/>
  <c r="K895" i="10"/>
  <c r="K653" i="10"/>
  <c r="K575" i="10"/>
  <c r="L451" i="10"/>
  <c r="L491" i="10"/>
  <c r="K491" i="10"/>
  <c r="L427" i="10"/>
  <c r="K427" i="10"/>
  <c r="K192" i="10"/>
  <c r="L192" i="10"/>
  <c r="K409" i="10"/>
  <c r="L409" i="10"/>
  <c r="K973" i="10"/>
  <c r="L832" i="10"/>
  <c r="L752" i="10"/>
  <c r="K665" i="10"/>
  <c r="L665" i="10"/>
  <c r="L711" i="10"/>
  <c r="K711" i="10"/>
  <c r="L991" i="10"/>
  <c r="L826" i="10"/>
  <c r="K783" i="10"/>
  <c r="L741" i="10"/>
  <c r="K634" i="10"/>
  <c r="K605" i="10"/>
  <c r="K589" i="10"/>
  <c r="L415" i="10"/>
  <c r="K415" i="10"/>
  <c r="K731" i="10"/>
  <c r="K1068" i="10"/>
  <c r="K1039" i="10"/>
  <c r="K884" i="10"/>
  <c r="L756" i="10"/>
  <c r="L252" i="10"/>
  <c r="L641" i="10"/>
  <c r="K1033" i="10"/>
  <c r="L846" i="10"/>
  <c r="K756" i="10"/>
  <c r="K692" i="10"/>
  <c r="K298" i="10"/>
  <c r="L298" i="10"/>
  <c r="L470" i="10"/>
  <c r="K470" i="10"/>
  <c r="L661" i="10"/>
  <c r="L477" i="10"/>
  <c r="K396" i="10"/>
  <c r="L396" i="10"/>
  <c r="L835" i="10"/>
  <c r="K1047" i="10"/>
  <c r="K823" i="10"/>
  <c r="K817" i="10"/>
  <c r="K770" i="10"/>
  <c r="L770" i="10"/>
  <c r="L479" i="10"/>
  <c r="K362" i="10"/>
  <c r="L186" i="10"/>
  <c r="K186" i="10"/>
  <c r="L47" i="10"/>
  <c r="L165" i="10"/>
  <c r="K165" i="10"/>
  <c r="K1003" i="10"/>
  <c r="L865" i="10"/>
  <c r="K659" i="10"/>
  <c r="K657" i="10"/>
  <c r="K587" i="10"/>
  <c r="L507" i="10"/>
  <c r="L495" i="10"/>
  <c r="L489" i="10"/>
  <c r="K487" i="10"/>
  <c r="K190" i="10"/>
  <c r="K865" i="10"/>
  <c r="K820" i="10"/>
  <c r="K729" i="10"/>
  <c r="K727" i="10"/>
  <c r="L697" i="10"/>
  <c r="K571" i="10"/>
  <c r="K136" i="10"/>
  <c r="L136" i="10"/>
  <c r="L1009" i="10"/>
  <c r="K976" i="10"/>
  <c r="L962" i="10"/>
  <c r="L886" i="10"/>
  <c r="L774" i="10"/>
  <c r="K471" i="10"/>
  <c r="K430" i="10"/>
  <c r="K255" i="10"/>
  <c r="L255" i="10"/>
  <c r="K178" i="10"/>
  <c r="K70" i="10"/>
  <c r="K952" i="10"/>
  <c r="K950" i="10"/>
  <c r="L946" i="10"/>
  <c r="K936" i="10"/>
  <c r="K932" i="10"/>
  <c r="K924" i="10"/>
  <c r="K847" i="10"/>
  <c r="K780" i="10"/>
  <c r="K774" i="10"/>
  <c r="L222" i="10"/>
  <c r="K222" i="10"/>
  <c r="K207" i="10"/>
  <c r="K347" i="10"/>
  <c r="L347" i="10"/>
  <c r="K61" i="10"/>
  <c r="L61" i="10"/>
  <c r="L91" i="10"/>
  <c r="K40" i="10"/>
  <c r="L22" i="10"/>
  <c r="L558" i="10"/>
  <c r="K486" i="10"/>
  <c r="L97" i="10"/>
  <c r="K674" i="10"/>
  <c r="L341" i="10"/>
  <c r="L339" i="10"/>
  <c r="L333" i="10"/>
  <c r="K310" i="10"/>
  <c r="L302" i="10"/>
  <c r="L294" i="10"/>
  <c r="K218" i="10"/>
  <c r="K212" i="10"/>
  <c r="K175" i="10"/>
  <c r="K67" i="10"/>
  <c r="K63" i="10"/>
  <c r="L53" i="10"/>
  <c r="L1021" i="10"/>
  <c r="L391" i="10"/>
  <c r="L106" i="10"/>
  <c r="L779" i="10"/>
  <c r="L150" i="10"/>
  <c r="L43" i="10"/>
  <c r="L872" i="10"/>
  <c r="L868" i="10"/>
  <c r="K822" i="10"/>
  <c r="L683" i="10"/>
  <c r="L600" i="10"/>
  <c r="L590" i="10"/>
  <c r="L586" i="10"/>
  <c r="L412" i="10"/>
  <c r="L379" i="10"/>
  <c r="L258" i="10"/>
  <c r="L148" i="10"/>
  <c r="L129" i="10"/>
  <c r="L102" i="10"/>
  <c r="L1048" i="10"/>
  <c r="L1044" i="10"/>
  <c r="L988" i="10"/>
  <c r="L984" i="10"/>
  <c r="K939" i="10"/>
  <c r="L933" i="10"/>
  <c r="L895" i="10"/>
  <c r="L893" i="10"/>
  <c r="K876" i="10"/>
  <c r="K872" i="10"/>
  <c r="L771" i="10"/>
  <c r="L735" i="10"/>
  <c r="L698" i="10"/>
  <c r="L624" i="10"/>
  <c r="L429" i="10"/>
  <c r="K258" i="10"/>
  <c r="K227" i="10"/>
  <c r="L171" i="10"/>
  <c r="L121" i="10"/>
  <c r="L117" i="10"/>
  <c r="K4" i="10"/>
  <c r="K682" i="10"/>
  <c r="K341" i="10"/>
  <c r="L280" i="10"/>
  <c r="K26" i="10"/>
  <c r="L746" i="10"/>
  <c r="L742" i="10"/>
  <c r="L714" i="10"/>
  <c r="L669" i="10"/>
  <c r="L578" i="10"/>
  <c r="L572" i="10"/>
  <c r="L498" i="10"/>
  <c r="L286" i="10"/>
  <c r="L37" i="10"/>
  <c r="L1053" i="10"/>
  <c r="K1057" i="10"/>
  <c r="K1055" i="10"/>
  <c r="K1053" i="10"/>
  <c r="K1038" i="10"/>
  <c r="L936" i="10"/>
  <c r="K853" i="10"/>
  <c r="L847" i="10"/>
  <c r="K670" i="10"/>
  <c r="K504" i="10"/>
  <c r="K498" i="10"/>
  <c r="L373" i="10"/>
  <c r="K350" i="10"/>
  <c r="L257" i="10"/>
  <c r="L204" i="10"/>
  <c r="L166" i="10"/>
  <c r="K64" i="10"/>
  <c r="L14" i="10"/>
  <c r="L8" i="10"/>
  <c r="L1045" i="10"/>
  <c r="L1030" i="10"/>
  <c r="L875" i="10"/>
  <c r="L957" i="10"/>
  <c r="L912" i="10"/>
  <c r="K910" i="10"/>
  <c r="L902" i="10"/>
  <c r="L729" i="10"/>
  <c r="L708" i="10"/>
  <c r="K683" i="10"/>
  <c r="K681" i="10"/>
  <c r="L545" i="10"/>
  <c r="L439" i="10"/>
  <c r="L426" i="10"/>
  <c r="K367" i="10"/>
  <c r="K346" i="10"/>
  <c r="L311" i="10"/>
  <c r="K246" i="10"/>
  <c r="K240" i="10"/>
  <c r="K221" i="10"/>
  <c r="K202" i="10"/>
  <c r="L189" i="10"/>
  <c r="L187" i="10"/>
  <c r="K115" i="10"/>
  <c r="L96" i="10"/>
  <c r="K81" i="10"/>
  <c r="K77" i="10"/>
  <c r="K58" i="10"/>
  <c r="L44" i="10"/>
  <c r="L1015" i="10"/>
  <c r="L1062" i="10"/>
  <c r="L1060" i="10"/>
  <c r="K1028" i="10"/>
  <c r="K1026" i="10"/>
  <c r="L1024" i="10"/>
  <c r="K1022" i="10"/>
  <c r="K1000" i="10"/>
  <c r="K990" i="10"/>
  <c r="K955" i="10"/>
  <c r="K896" i="10"/>
  <c r="K858" i="10"/>
  <c r="K835" i="10"/>
  <c r="K825" i="10"/>
  <c r="L798" i="10"/>
  <c r="L796" i="10"/>
  <c r="L677" i="10"/>
  <c r="L607" i="10"/>
  <c r="L561" i="10"/>
  <c r="L543" i="10"/>
  <c r="L537" i="10"/>
  <c r="L531" i="10"/>
  <c r="L418" i="10"/>
  <c r="L403" i="10"/>
  <c r="K355" i="10"/>
  <c r="L275" i="10"/>
  <c r="L219" i="10"/>
  <c r="K196" i="10"/>
  <c r="L145" i="10"/>
  <c r="L111" i="10"/>
  <c r="L23" i="10"/>
  <c r="K796" i="10"/>
  <c r="L780" i="10"/>
  <c r="K759" i="10"/>
  <c r="K757" i="10"/>
  <c r="L717" i="10"/>
  <c r="K677" i="10"/>
  <c r="K673" i="10"/>
  <c r="L659" i="10"/>
  <c r="L632" i="10"/>
  <c r="K611" i="10"/>
  <c r="K561" i="10"/>
  <c r="K539" i="10"/>
  <c r="K537" i="10"/>
  <c r="K533" i="10"/>
  <c r="K531" i="10"/>
  <c r="K529" i="10"/>
  <c r="K525" i="10"/>
  <c r="L515" i="10"/>
  <c r="L513" i="10"/>
  <c r="L450" i="10"/>
  <c r="L448" i="10"/>
  <c r="K234" i="10"/>
  <c r="K219" i="10"/>
  <c r="L213" i="10"/>
  <c r="K198" i="10"/>
  <c r="L175" i="10"/>
  <c r="L154" i="10"/>
  <c r="K124" i="10"/>
  <c r="K118" i="10"/>
  <c r="K73" i="10"/>
  <c r="L17" i="10"/>
  <c r="L935" i="10"/>
  <c r="K935" i="10"/>
  <c r="K724" i="10"/>
  <c r="L724" i="10"/>
  <c r="K722" i="10"/>
  <c r="L722" i="10"/>
  <c r="K620" i="10"/>
  <c r="L620" i="10"/>
  <c r="K516" i="10"/>
  <c r="K318" i="10"/>
  <c r="L318" i="10"/>
  <c r="K905" i="10"/>
  <c r="K813" i="10"/>
  <c r="K716" i="10"/>
  <c r="K601" i="10"/>
  <c r="L601" i="10"/>
  <c r="K518" i="10"/>
  <c r="L518" i="10"/>
  <c r="L1054" i="10"/>
  <c r="K948" i="10"/>
  <c r="L929" i="10"/>
  <c r="K916" i="10"/>
  <c r="L908" i="10"/>
  <c r="L901" i="10"/>
  <c r="K899" i="10"/>
  <c r="K897" i="10"/>
  <c r="L860" i="10"/>
  <c r="K860" i="10"/>
  <c r="L807" i="10"/>
  <c r="K801" i="10"/>
  <c r="K776" i="10"/>
  <c r="L701" i="10"/>
  <c r="K656" i="10"/>
  <c r="L629" i="10"/>
  <c r="L555" i="10"/>
  <c r="K555" i="10"/>
  <c r="K553" i="10"/>
  <c r="L400" i="10"/>
  <c r="K1067" i="10"/>
  <c r="K1050" i="10"/>
  <c r="L1040" i="10"/>
  <c r="K1020" i="10"/>
  <c r="L1004" i="10"/>
  <c r="L987" i="10"/>
  <c r="K978" i="10"/>
  <c r="K925" i="10"/>
  <c r="L921" i="10"/>
  <c r="L871" i="10"/>
  <c r="K849" i="10"/>
  <c r="K821" i="10"/>
  <c r="L814" i="10"/>
  <c r="L799" i="10"/>
  <c r="K797" i="10"/>
  <c r="L789" i="10"/>
  <c r="L760" i="10"/>
  <c r="K760" i="10"/>
  <c r="K732" i="10"/>
  <c r="K695" i="10"/>
  <c r="K646" i="10"/>
  <c r="K644" i="10"/>
  <c r="K580" i="10"/>
  <c r="L580" i="10"/>
  <c r="K1065" i="10"/>
  <c r="K1059" i="10"/>
  <c r="L1052" i="10"/>
  <c r="L1036" i="10"/>
  <c r="L1031" i="10"/>
  <c r="K1031" i="10"/>
  <c r="L1002" i="10"/>
  <c r="L980" i="10"/>
  <c r="K963" i="10"/>
  <c r="K959" i="10"/>
  <c r="L944" i="10"/>
  <c r="L923" i="10"/>
  <c r="L878" i="10"/>
  <c r="L837" i="10"/>
  <c r="L728" i="10"/>
  <c r="L691" i="10"/>
  <c r="K671" i="10"/>
  <c r="L671" i="10"/>
  <c r="K572" i="10"/>
  <c r="L541" i="10"/>
  <c r="K541" i="10"/>
  <c r="K460" i="10"/>
  <c r="L460" i="10"/>
  <c r="K327" i="10"/>
  <c r="L327" i="10"/>
  <c r="K949" i="10"/>
  <c r="L595" i="10"/>
  <c r="L591" i="10"/>
  <c r="K591" i="10"/>
  <c r="K583" i="10"/>
  <c r="K466" i="10"/>
  <c r="L466" i="10"/>
  <c r="K390" i="10"/>
  <c r="K359" i="10"/>
  <c r="K282" i="10"/>
  <c r="L282" i="10"/>
  <c r="K1027" i="10"/>
  <c r="K934" i="10"/>
  <c r="L930" i="10"/>
  <c r="K880" i="10"/>
  <c r="K878" i="10"/>
  <c r="L859" i="10"/>
  <c r="L839" i="10"/>
  <c r="K839" i="10"/>
  <c r="K664" i="10"/>
  <c r="L638" i="10"/>
  <c r="K638" i="10"/>
  <c r="K597" i="10"/>
  <c r="L589" i="10"/>
  <c r="K566" i="10"/>
  <c r="L552" i="10"/>
  <c r="K424" i="10"/>
  <c r="K315" i="10"/>
  <c r="L315" i="10"/>
  <c r="K313" i="10"/>
  <c r="L1070" i="10"/>
  <c r="K1025" i="10"/>
  <c r="K994" i="10"/>
  <c r="K859" i="10"/>
  <c r="L852" i="10"/>
  <c r="L783" i="10"/>
  <c r="L767" i="10"/>
  <c r="K765" i="10"/>
  <c r="K748" i="10"/>
  <c r="K746" i="10"/>
  <c r="K744" i="10"/>
  <c r="K742" i="10"/>
  <c r="K719" i="10"/>
  <c r="L687" i="10"/>
  <c r="K687" i="10"/>
  <c r="L678" i="10"/>
  <c r="K676" i="10"/>
  <c r="K604" i="10"/>
  <c r="L604" i="10"/>
  <c r="K602" i="10"/>
  <c r="L602" i="10"/>
  <c r="K546" i="10"/>
  <c r="K521" i="10"/>
  <c r="L521" i="10"/>
  <c r="L655" i="10"/>
  <c r="K655" i="10"/>
  <c r="L651" i="10"/>
  <c r="K651" i="10"/>
  <c r="K388" i="10"/>
  <c r="L388" i="10"/>
  <c r="L907" i="10"/>
  <c r="L870" i="10"/>
  <c r="L848" i="10"/>
  <c r="L829" i="10"/>
  <c r="K777" i="10"/>
  <c r="L755" i="10"/>
  <c r="K755" i="10"/>
  <c r="K753" i="10"/>
  <c r="K736" i="10"/>
  <c r="L736" i="10"/>
  <c r="K709" i="10"/>
  <c r="L696" i="10"/>
  <c r="K696" i="10"/>
  <c r="L679" i="10"/>
  <c r="K645" i="10"/>
  <c r="K643" i="10"/>
  <c r="K622" i="10"/>
  <c r="L550" i="10"/>
  <c r="K550" i="10"/>
  <c r="L524" i="10"/>
  <c r="K489" i="10"/>
  <c r="K330" i="10"/>
  <c r="L330" i="10"/>
  <c r="K804" i="10"/>
  <c r="L804" i="10"/>
  <c r="K1041" i="10"/>
  <c r="K970" i="10"/>
  <c r="L926" i="10"/>
  <c r="K926" i="10"/>
  <c r="L1058" i="10"/>
  <c r="K1058" i="10"/>
  <c r="L1042" i="10"/>
  <c r="K1032" i="10"/>
  <c r="L964" i="10"/>
  <c r="L960" i="10"/>
  <c r="L954" i="10"/>
  <c r="L905" i="10"/>
  <c r="L838" i="10"/>
  <c r="L786" i="10"/>
  <c r="K749" i="10"/>
  <c r="L672" i="10"/>
  <c r="K630" i="10"/>
  <c r="L630" i="10"/>
  <c r="K609" i="10"/>
  <c r="L1071" i="10"/>
  <c r="K968" i="10"/>
  <c r="L968" i="10"/>
  <c r="K1054" i="10"/>
  <c r="K1051" i="10"/>
  <c r="K1014" i="10"/>
  <c r="K979" i="10"/>
  <c r="L918" i="10"/>
  <c r="L916" i="10"/>
  <c r="K901" i="10"/>
  <c r="K881" i="10"/>
  <c r="K879" i="10"/>
  <c r="L813" i="10"/>
  <c r="K786" i="10"/>
  <c r="L773" i="10"/>
  <c r="L716" i="10"/>
  <c r="L301" i="10"/>
  <c r="K301" i="10"/>
  <c r="K254" i="10"/>
  <c r="L660" i="10"/>
  <c r="K660" i="10"/>
  <c r="L573" i="10"/>
  <c r="K573" i="10"/>
  <c r="K547" i="10"/>
  <c r="L547" i="10"/>
  <c r="K505" i="10"/>
  <c r="K488" i="10"/>
  <c r="L482" i="10"/>
  <c r="K465" i="10"/>
  <c r="L463" i="10"/>
  <c r="K433" i="10"/>
  <c r="K414" i="10"/>
  <c r="L408" i="10"/>
  <c r="K397" i="10"/>
  <c r="K394" i="10"/>
  <c r="K385" i="10"/>
  <c r="L385" i="10"/>
  <c r="K358" i="10"/>
  <c r="L358" i="10"/>
  <c r="K349" i="10"/>
  <c r="K338" i="10"/>
  <c r="L323" i="10"/>
  <c r="L287" i="10"/>
  <c r="L283" i="10"/>
  <c r="K758" i="10"/>
  <c r="K745" i="10"/>
  <c r="K733" i="10"/>
  <c r="L689" i="10"/>
  <c r="L684" i="10"/>
  <c r="L680" i="10"/>
  <c r="K636" i="10"/>
  <c r="L1038" i="10"/>
  <c r="K1017" i="10"/>
  <c r="K1010" i="10"/>
  <c r="K1008" i="10"/>
  <c r="L1006" i="10"/>
  <c r="K988" i="10"/>
  <c r="K981" i="10"/>
  <c r="L974" i="10"/>
  <c r="L951" i="10"/>
  <c r="K931" i="10"/>
  <c r="K929" i="10"/>
  <c r="L927" i="10"/>
  <c r="K894" i="10"/>
  <c r="L892" i="10"/>
  <c r="K890" i="10"/>
  <c r="L876" i="10"/>
  <c r="L841" i="10"/>
  <c r="L823" i="10"/>
  <c r="K792" i="10"/>
  <c r="L777" i="10"/>
  <c r="L754" i="10"/>
  <c r="K704" i="10"/>
  <c r="K680" i="10"/>
  <c r="K661" i="10"/>
  <c r="L658" i="10"/>
  <c r="K619" i="10"/>
  <c r="K617" i="10"/>
  <c r="K569" i="10"/>
  <c r="K567" i="10"/>
  <c r="K528" i="10"/>
  <c r="L528" i="10"/>
  <c r="K526" i="10"/>
  <c r="L501" i="10"/>
  <c r="K421" i="10"/>
  <c r="K312" i="10"/>
  <c r="L259" i="10"/>
  <c r="K259" i="10"/>
  <c r="K480" i="10"/>
  <c r="K444" i="10"/>
  <c r="K268" i="10"/>
  <c r="L268" i="10"/>
  <c r="L539" i="10"/>
  <c r="K535" i="10"/>
  <c r="L516" i="10"/>
  <c r="L474" i="10"/>
  <c r="L442" i="10"/>
  <c r="L375" i="10"/>
  <c r="L292" i="10"/>
  <c r="L290" i="10"/>
  <c r="L251" i="10"/>
  <c r="K1023" i="10"/>
  <c r="K980" i="10"/>
  <c r="L975" i="10"/>
  <c r="K956" i="10"/>
  <c r="L932" i="10"/>
  <c r="L891" i="10"/>
  <c r="L866" i="10"/>
  <c r="K855" i="10"/>
  <c r="K768" i="10"/>
  <c r="K740" i="10"/>
  <c r="K707" i="10"/>
  <c r="L705" i="10"/>
  <c r="K690" i="10"/>
  <c r="L657" i="10"/>
  <c r="K483" i="10"/>
  <c r="K429" i="10"/>
  <c r="K393" i="10"/>
  <c r="K382" i="10"/>
  <c r="L344" i="10"/>
  <c r="K333" i="10"/>
  <c r="L540" i="10"/>
  <c r="L492" i="10"/>
  <c r="L483" i="10"/>
  <c r="K378" i="10"/>
  <c r="L378" i="10"/>
  <c r="K309" i="10"/>
  <c r="L309" i="10"/>
  <c r="L305" i="10"/>
  <c r="K265" i="10"/>
  <c r="L1066" i="10"/>
  <c r="L1055" i="10"/>
  <c r="K1040" i="10"/>
  <c r="K1035" i="10"/>
  <c r="L1028" i="10"/>
  <c r="L1026" i="10"/>
  <c r="L1003" i="10"/>
  <c r="L994" i="10"/>
  <c r="L985" i="10"/>
  <c r="L924" i="10"/>
  <c r="L887" i="10"/>
  <c r="K785" i="10"/>
  <c r="L778" i="10"/>
  <c r="K778" i="10"/>
  <c r="L745" i="10"/>
  <c r="K725" i="10"/>
  <c r="L721" i="10"/>
  <c r="K712" i="10"/>
  <c r="K684" i="10"/>
  <c r="L645" i="10"/>
  <c r="K640" i="10"/>
  <c r="K581" i="10"/>
  <c r="K568" i="10"/>
  <c r="K500" i="10"/>
  <c r="K492" i="10"/>
  <c r="L465" i="10"/>
  <c r="L414" i="10"/>
  <c r="K372" i="10"/>
  <c r="L349" i="10"/>
  <c r="K329" i="10"/>
  <c r="K278" i="10"/>
  <c r="K249" i="10"/>
  <c r="L231" i="10"/>
  <c r="L183" i="10"/>
  <c r="L174" i="10"/>
  <c r="L169" i="10"/>
  <c r="L157" i="10"/>
  <c r="L142" i="10"/>
  <c r="L132" i="10"/>
  <c r="L127" i="10"/>
  <c r="L100" i="10"/>
  <c r="L635" i="10"/>
  <c r="L628" i="10"/>
  <c r="K606" i="10"/>
  <c r="K596" i="10"/>
  <c r="L588" i="10"/>
  <c r="L584" i="10"/>
  <c r="L570" i="10"/>
  <c r="K545" i="10"/>
  <c r="L523" i="10"/>
  <c r="K469" i="10"/>
  <c r="L454" i="10"/>
  <c r="L411" i="10"/>
  <c r="L406" i="10"/>
  <c r="K342" i="10"/>
  <c r="K308" i="10"/>
  <c r="L297" i="10"/>
  <c r="K293" i="10"/>
  <c r="K284" i="10"/>
  <c r="K281" i="10"/>
  <c r="L260" i="10"/>
  <c r="L243" i="10"/>
  <c r="K144" i="10"/>
  <c r="L88" i="10"/>
  <c r="K71" i="10"/>
  <c r="K62" i="10"/>
  <c r="L58" i="10"/>
  <c r="K53" i="10"/>
  <c r="K922" i="10"/>
  <c r="L904" i="10"/>
  <c r="K902" i="10"/>
  <c r="L896" i="10"/>
  <c r="L840" i="10"/>
  <c r="K838" i="10"/>
  <c r="K831" i="10"/>
  <c r="L793" i="10"/>
  <c r="L791" i="10"/>
  <c r="L775" i="10"/>
  <c r="L763" i="10"/>
  <c r="L759" i="10"/>
  <c r="K750" i="10"/>
  <c r="K717" i="10"/>
  <c r="L715" i="10"/>
  <c r="K706" i="10"/>
  <c r="K698" i="10"/>
  <c r="L653" i="10"/>
  <c r="K624" i="10"/>
  <c r="K615" i="10"/>
  <c r="K584" i="10"/>
  <c r="K577" i="10"/>
  <c r="L504" i="10"/>
  <c r="L480" i="10"/>
  <c r="L444" i="10"/>
  <c r="L336" i="10"/>
  <c r="L291" i="10"/>
  <c r="L181" i="10"/>
  <c r="L172" i="10"/>
  <c r="L147" i="10"/>
  <c r="L144" i="10"/>
  <c r="L135" i="10"/>
  <c r="L130" i="10"/>
  <c r="L103" i="10"/>
  <c r="L84" i="10"/>
  <c r="L79" i="10"/>
  <c r="L49" i="10"/>
  <c r="L7" i="10"/>
  <c r="L2" i="10"/>
  <c r="K435" i="10"/>
  <c r="K399" i="10"/>
  <c r="K375" i="10"/>
  <c r="K345" i="10"/>
  <c r="K304" i="10"/>
  <c r="K302" i="10"/>
  <c r="K289" i="10"/>
  <c r="K287" i="10"/>
  <c r="L82" i="10"/>
  <c r="K56" i="10"/>
  <c r="K54" i="10"/>
  <c r="L29" i="10"/>
  <c r="L19" i="10"/>
  <c r="L10" i="10"/>
  <c r="L5" i="10"/>
  <c r="L522" i="10"/>
  <c r="K515" i="10"/>
  <c r="K513" i="10"/>
  <c r="L509" i="10"/>
  <c r="L487" i="10"/>
  <c r="K463" i="10"/>
  <c r="L360" i="10"/>
  <c r="L211" i="10"/>
  <c r="L198" i="10"/>
  <c r="L261" i="10"/>
  <c r="K239" i="10"/>
  <c r="L50" i="10"/>
  <c r="K47" i="10"/>
  <c r="L232" i="10"/>
  <c r="L168" i="10"/>
  <c r="L163" i="10"/>
  <c r="L156" i="10"/>
  <c r="L151" i="10"/>
  <c r="L139" i="10"/>
  <c r="L99" i="10"/>
  <c r="L94" i="10"/>
  <c r="L85" i="10"/>
  <c r="L55" i="10"/>
  <c r="L41" i="10"/>
  <c r="L25" i="10"/>
  <c r="L20" i="10"/>
  <c r="L654" i="10"/>
  <c r="K614" i="10"/>
  <c r="L598" i="10"/>
  <c r="L585" i="10"/>
  <c r="L576" i="10"/>
  <c r="L525" i="10"/>
  <c r="K501" i="10"/>
  <c r="L488" i="10"/>
  <c r="L486" i="10"/>
  <c r="K479" i="10"/>
  <c r="K477" i="10"/>
  <c r="L471" i="10"/>
  <c r="K417" i="10"/>
  <c r="K365" i="10"/>
  <c r="K363" i="10"/>
  <c r="K356" i="10"/>
  <c r="K339" i="10"/>
  <c r="L321" i="10"/>
  <c r="K314" i="10"/>
  <c r="K292" i="10"/>
  <c r="L228" i="10"/>
  <c r="L32" i="10"/>
  <c r="L579" i="10"/>
  <c r="K579" i="10"/>
  <c r="K462" i="10"/>
  <c r="L462" i="10"/>
  <c r="L11" i="10"/>
  <c r="K556" i="10"/>
  <c r="L556" i="10"/>
  <c r="K861" i="10"/>
  <c r="L861" i="10"/>
  <c r="K843" i="10"/>
  <c r="L843" i="10"/>
  <c r="K966" i="10"/>
  <c r="L966" i="10"/>
  <c r="L948" i="10"/>
  <c r="L914" i="10"/>
  <c r="K914" i="10"/>
  <c r="K898" i="10"/>
  <c r="L898" i="10"/>
  <c r="K782" i="10"/>
  <c r="L782" i="10"/>
  <c r="K734" i="10"/>
  <c r="L734" i="10"/>
  <c r="L675" i="10"/>
  <c r="K675" i="10"/>
  <c r="L670" i="10"/>
  <c r="K639" i="10"/>
  <c r="L639" i="10"/>
  <c r="L634" i="10"/>
  <c r="L582" i="10"/>
  <c r="K582" i="10"/>
  <c r="L554" i="10"/>
  <c r="L467" i="10"/>
  <c r="K467" i="10"/>
  <c r="K317" i="10"/>
  <c r="L317" i="10"/>
  <c r="L882" i="10"/>
  <c r="K882" i="10"/>
  <c r="L772" i="10"/>
  <c r="K772" i="10"/>
  <c r="L1007" i="10"/>
  <c r="K1007" i="10"/>
  <c r="L953" i="10"/>
  <c r="K953" i="10"/>
  <c r="K864" i="10"/>
  <c r="L864" i="10"/>
  <c r="L818" i="10"/>
  <c r="K818" i="10"/>
  <c r="K800" i="10"/>
  <c r="L800" i="10"/>
  <c r="K738" i="10"/>
  <c r="L738" i="10"/>
  <c r="K713" i="10"/>
  <c r="L713" i="10"/>
  <c r="K623" i="10"/>
  <c r="L623" i="10"/>
  <c r="L597" i="10"/>
  <c r="K530" i="10"/>
  <c r="L530" i="10"/>
  <c r="L877" i="10"/>
  <c r="K877" i="10"/>
  <c r="K710" i="10"/>
  <c r="L710" i="10"/>
  <c r="K999" i="10"/>
  <c r="L999" i="10"/>
  <c r="L993" i="10"/>
  <c r="K993" i="10"/>
  <c r="L967" i="10"/>
  <c r="L917" i="10"/>
  <c r="K917" i="10"/>
  <c r="L915" i="10"/>
  <c r="L885" i="10"/>
  <c r="K885" i="10"/>
  <c r="K828" i="10"/>
  <c r="L828" i="10"/>
  <c r="K811" i="10"/>
  <c r="K730" i="10"/>
  <c r="K621" i="10"/>
  <c r="L621" i="10"/>
  <c r="L562" i="10"/>
  <c r="K562" i="10"/>
  <c r="K364" i="10"/>
  <c r="L364" i="10"/>
  <c r="K1016" i="10"/>
  <c r="L1016" i="10"/>
  <c r="K795" i="10"/>
  <c r="L795" i="10"/>
  <c r="K618" i="10"/>
  <c r="L618" i="10"/>
  <c r="K1019" i="10"/>
  <c r="L1019" i="10"/>
  <c r="L1059" i="10"/>
  <c r="K1056" i="10"/>
  <c r="K1034" i="10"/>
  <c r="L1023" i="10"/>
  <c r="L972" i="10"/>
  <c r="K969" i="10"/>
  <c r="L969" i="10"/>
  <c r="K958" i="10"/>
  <c r="L958" i="10"/>
  <c r="L956" i="10"/>
  <c r="K942" i="10"/>
  <c r="L942" i="10"/>
  <c r="L869" i="10"/>
  <c r="K869" i="10"/>
  <c r="K718" i="10"/>
  <c r="L718" i="10"/>
  <c r="K663" i="10"/>
  <c r="L663" i="10"/>
  <c r="K642" i="10"/>
  <c r="L642" i="10"/>
  <c r="L478" i="10"/>
  <c r="K478" i="10"/>
  <c r="L815" i="10"/>
  <c r="K815" i="10"/>
  <c r="K751" i="10"/>
  <c r="L751" i="10"/>
  <c r="L693" i="10"/>
  <c r="K693" i="10"/>
  <c r="K652" i="10"/>
  <c r="L652" i="10"/>
  <c r="L983" i="10"/>
  <c r="K983" i="10"/>
  <c r="K1064" i="10"/>
  <c r="K1037" i="10"/>
  <c r="K1005" i="10"/>
  <c r="K989" i="10"/>
  <c r="L940" i="10"/>
  <c r="K940" i="10"/>
  <c r="K903" i="10"/>
  <c r="L903" i="10"/>
  <c r="K883" i="10"/>
  <c r="L833" i="10"/>
  <c r="K833" i="10"/>
  <c r="L831" i="10"/>
  <c r="K816" i="10"/>
  <c r="L761" i="10"/>
  <c r="K761" i="10"/>
  <c r="K743" i="10"/>
  <c r="L743" i="10"/>
  <c r="K694" i="10"/>
  <c r="L423" i="10"/>
  <c r="K423" i="10"/>
  <c r="K909" i="10"/>
  <c r="L909" i="10"/>
  <c r="K834" i="10"/>
  <c r="L1029" i="10"/>
  <c r="L970" i="10"/>
  <c r="L920" i="10"/>
  <c r="K920" i="10"/>
  <c r="L851" i="10"/>
  <c r="K851" i="10"/>
  <c r="L849" i="10"/>
  <c r="K805" i="10"/>
  <c r="L805" i="10"/>
  <c r="K685" i="10"/>
  <c r="L685" i="10"/>
  <c r="L647" i="10"/>
  <c r="K647" i="10"/>
  <c r="K626" i="10"/>
  <c r="L626" i="10"/>
  <c r="K608" i="10"/>
  <c r="L608" i="10"/>
  <c r="K603" i="10"/>
  <c r="L603" i="10"/>
  <c r="L564" i="10"/>
  <c r="K564" i="10"/>
  <c r="K392" i="10"/>
  <c r="L392" i="10"/>
  <c r="K870" i="10"/>
  <c r="L790" i="10"/>
  <c r="K790" i="10"/>
  <c r="L788" i="10"/>
  <c r="K1013" i="10"/>
  <c r="L1013" i="10"/>
  <c r="L1011" i="10"/>
  <c r="K996" i="10"/>
  <c r="K975" i="10"/>
  <c r="K945" i="10"/>
  <c r="L945" i="10"/>
  <c r="K938" i="10"/>
  <c r="K906" i="10"/>
  <c r="L906" i="10"/>
  <c r="K904" i="10"/>
  <c r="L854" i="10"/>
  <c r="K854" i="10"/>
  <c r="L808" i="10"/>
  <c r="K764" i="10"/>
  <c r="L764" i="10"/>
  <c r="L744" i="10"/>
  <c r="K739" i="10"/>
  <c r="L739" i="10"/>
  <c r="K668" i="10"/>
  <c r="L668" i="10"/>
  <c r="K666" i="10"/>
  <c r="L666" i="10"/>
  <c r="L593" i="10"/>
  <c r="K593" i="10"/>
  <c r="K574" i="10"/>
  <c r="L574" i="10"/>
  <c r="L551" i="10"/>
  <c r="K551" i="10"/>
  <c r="K438" i="10"/>
  <c r="L438" i="10"/>
  <c r="K431" i="10"/>
  <c r="L431" i="10"/>
  <c r="K1069" i="10"/>
  <c r="L1069" i="10"/>
  <c r="L1067" i="10"/>
  <c r="K1043" i="10"/>
  <c r="L1032" i="10"/>
  <c r="K992" i="10"/>
  <c r="L977" i="10"/>
  <c r="K977" i="10"/>
  <c r="L959" i="10"/>
  <c r="K891" i="10"/>
  <c r="K874" i="10"/>
  <c r="L874" i="10"/>
  <c r="K723" i="10"/>
  <c r="L723" i="10"/>
  <c r="K703" i="10"/>
  <c r="L703" i="10"/>
  <c r="K542" i="10"/>
  <c r="L542" i="10"/>
  <c r="K1046" i="10"/>
  <c r="L1035" i="10"/>
  <c r="K1072" i="10"/>
  <c r="K1049" i="10"/>
  <c r="K961" i="10"/>
  <c r="L961" i="10"/>
  <c r="K918" i="10"/>
  <c r="K810" i="10"/>
  <c r="L810" i="10"/>
  <c r="L769" i="10"/>
  <c r="K769" i="10"/>
  <c r="L688" i="10"/>
  <c r="K688" i="10"/>
  <c r="K631" i="10"/>
  <c r="L631" i="10"/>
  <c r="K613" i="10"/>
  <c r="L613" i="10"/>
  <c r="L594" i="10"/>
  <c r="K594" i="10"/>
  <c r="K549" i="10"/>
  <c r="L549" i="10"/>
  <c r="K3" i="10"/>
  <c r="L3" i="10"/>
  <c r="K242" i="10"/>
  <c r="L242" i="10"/>
  <c r="L520" i="10"/>
  <c r="K497" i="10"/>
  <c r="L497" i="10"/>
  <c r="K441" i="10"/>
  <c r="L387" i="10"/>
  <c r="L340" i="10"/>
  <c r="K340" i="10"/>
  <c r="L277" i="10"/>
  <c r="K277" i="10"/>
  <c r="L986" i="10"/>
  <c r="L899" i="10"/>
  <c r="L888" i="10"/>
  <c r="K888" i="10"/>
  <c r="K867" i="10"/>
  <c r="L855" i="10"/>
  <c r="L806" i="10"/>
  <c r="K798" i="10"/>
  <c r="K791" i="10"/>
  <c r="K747" i="10"/>
  <c r="L727" i="10"/>
  <c r="L719" i="10"/>
  <c r="K650" i="10"/>
  <c r="L648" i="10"/>
  <c r="L627" i="10"/>
  <c r="L609" i="10"/>
  <c r="K588" i="10"/>
  <c r="K570" i="10"/>
  <c r="K506" i="10"/>
  <c r="L506" i="10"/>
  <c r="L472" i="10"/>
  <c r="K472" i="10"/>
  <c r="K456" i="10"/>
  <c r="K434" i="10"/>
  <c r="L434" i="10"/>
  <c r="K402" i="10"/>
  <c r="L402" i="10"/>
  <c r="K395" i="10"/>
  <c r="L395" i="10"/>
  <c r="L338" i="10"/>
  <c r="K295" i="10"/>
  <c r="L295" i="10"/>
  <c r="K46" i="10"/>
  <c r="L46" i="10"/>
  <c r="K39" i="10"/>
  <c r="L39" i="10"/>
  <c r="L699" i="10"/>
  <c r="K699" i="10"/>
  <c r="L511" i="10"/>
  <c r="K511" i="10"/>
  <c r="L481" i="10"/>
  <c r="K481" i="10"/>
  <c r="K446" i="10"/>
  <c r="L446" i="10"/>
  <c r="L369" i="10"/>
  <c r="K369" i="10"/>
  <c r="L502" i="10"/>
  <c r="K502" i="10"/>
  <c r="K468" i="10"/>
  <c r="L468" i="10"/>
  <c r="L348" i="10"/>
  <c r="K348" i="10"/>
  <c r="L343" i="10"/>
  <c r="K343" i="10"/>
  <c r="L322" i="10"/>
  <c r="K322" i="10"/>
  <c r="L250" i="10"/>
  <c r="K250" i="10"/>
  <c r="K245" i="10"/>
  <c r="L245" i="10"/>
  <c r="L995" i="10"/>
  <c r="L694" i="10"/>
  <c r="K667" i="10"/>
  <c r="L667" i="10"/>
  <c r="K658" i="10"/>
  <c r="L538" i="10"/>
  <c r="K538" i="10"/>
  <c r="K449" i="10"/>
  <c r="L449" i="10"/>
  <c r="K410" i="10"/>
  <c r="L410" i="10"/>
  <c r="L367" i="10"/>
  <c r="L320" i="10"/>
  <c r="K300" i="10"/>
  <c r="L300" i="10"/>
  <c r="K105" i="10"/>
  <c r="L105" i="10"/>
  <c r="K95" i="10"/>
  <c r="L95" i="10"/>
  <c r="L526" i="10"/>
  <c r="L998" i="10"/>
  <c r="L996" i="10"/>
  <c r="K965" i="10"/>
  <c r="L963" i="10"/>
  <c r="K960" i="10"/>
  <c r="K941" i="10"/>
  <c r="L934" i="10"/>
  <c r="L931" i="10"/>
  <c r="L928" i="10"/>
  <c r="L925" i="10"/>
  <c r="L922" i="10"/>
  <c r="L900" i="10"/>
  <c r="L894" i="10"/>
  <c r="K892" i="10"/>
  <c r="K871" i="10"/>
  <c r="K866" i="10"/>
  <c r="K840" i="10"/>
  <c r="L824" i="10"/>
  <c r="L797" i="10"/>
  <c r="L781" i="10"/>
  <c r="L758" i="10"/>
  <c r="L753" i="10"/>
  <c r="L740" i="10"/>
  <c r="L725" i="10"/>
  <c r="L707" i="10"/>
  <c r="K702" i="10"/>
  <c r="L702" i="10"/>
  <c r="L700" i="10"/>
  <c r="L649" i="10"/>
  <c r="L617" i="10"/>
  <c r="L615" i="10"/>
  <c r="K576" i="10"/>
  <c r="L553" i="10"/>
  <c r="K512" i="10"/>
  <c r="K509" i="10"/>
  <c r="L484" i="10"/>
  <c r="K484" i="10"/>
  <c r="K464" i="10"/>
  <c r="L405" i="10"/>
  <c r="K374" i="10"/>
  <c r="L374" i="10"/>
  <c r="L253" i="10"/>
  <c r="K253" i="10"/>
  <c r="K962" i="10"/>
  <c r="L842" i="10"/>
  <c r="K842" i="10"/>
  <c r="L1010" i="10"/>
  <c r="L1001" i="10"/>
  <c r="K974" i="10"/>
  <c r="K947" i="10"/>
  <c r="K911" i="10"/>
  <c r="L863" i="10"/>
  <c r="K863" i="10"/>
  <c r="K848" i="10"/>
  <c r="L845" i="10"/>
  <c r="K845" i="10"/>
  <c r="K830" i="10"/>
  <c r="K807" i="10"/>
  <c r="K802" i="10"/>
  <c r="K794" i="10"/>
  <c r="L794" i="10"/>
  <c r="K787" i="10"/>
  <c r="L748" i="10"/>
  <c r="K720" i="10"/>
  <c r="K715" i="10"/>
  <c r="K705" i="10"/>
  <c r="K672" i="10"/>
  <c r="L662" i="10"/>
  <c r="K654" i="10"/>
  <c r="L644" i="10"/>
  <c r="L636" i="10"/>
  <c r="K628" i="10"/>
  <c r="K527" i="10"/>
  <c r="L514" i="10"/>
  <c r="K514" i="10"/>
  <c r="L496" i="10"/>
  <c r="K496" i="10"/>
  <c r="K452" i="10"/>
  <c r="L452" i="10"/>
  <c r="K420" i="10"/>
  <c r="L420" i="10"/>
  <c r="K413" i="10"/>
  <c r="L413" i="10"/>
  <c r="L372" i="10"/>
  <c r="K354" i="10"/>
  <c r="L351" i="10"/>
  <c r="K351" i="10"/>
  <c r="L325" i="10"/>
  <c r="K325" i="10"/>
  <c r="K285" i="10"/>
  <c r="L285" i="10"/>
  <c r="K263" i="10"/>
  <c r="L263" i="10"/>
  <c r="K167" i="10"/>
  <c r="L167" i="10"/>
  <c r="K162" i="10"/>
  <c r="L162" i="10"/>
  <c r="L834" i="10"/>
  <c r="L801" i="10"/>
  <c r="L730" i="10"/>
  <c r="K1063" i="10"/>
  <c r="K971" i="10"/>
  <c r="L937" i="10"/>
  <c r="L827" i="10"/>
  <c r="L784" i="10"/>
  <c r="K633" i="10"/>
  <c r="L633" i="10"/>
  <c r="K625" i="10"/>
  <c r="K586" i="10"/>
  <c r="K548" i="10"/>
  <c r="L459" i="10"/>
  <c r="K307" i="10"/>
  <c r="L307" i="10"/>
  <c r="L256" i="10"/>
  <c r="K256" i="10"/>
  <c r="K812" i="10"/>
  <c r="L812" i="10"/>
  <c r="L766" i="10"/>
  <c r="K766" i="10"/>
  <c r="K384" i="10"/>
  <c r="L384" i="10"/>
  <c r="K377" i="10"/>
  <c r="L377" i="10"/>
  <c r="K335" i="10"/>
  <c r="L335" i="10"/>
  <c r="K1066" i="10"/>
  <c r="K599" i="10"/>
  <c r="L599" i="10"/>
  <c r="L559" i="10"/>
  <c r="K559" i="10"/>
  <c r="L544" i="10"/>
  <c r="K544" i="10"/>
  <c r="L532" i="10"/>
  <c r="K532" i="10"/>
  <c r="K520" i="10"/>
  <c r="L517" i="10"/>
  <c r="K517" i="10"/>
  <c r="K503" i="10"/>
  <c r="K494" i="10"/>
  <c r="K476" i="10"/>
  <c r="K428" i="10"/>
  <c r="L428" i="10"/>
  <c r="K387" i="10"/>
  <c r="K272" i="10"/>
  <c r="L272" i="10"/>
  <c r="K220" i="10"/>
  <c r="L220" i="10"/>
  <c r="K230" i="10"/>
  <c r="L230" i="10"/>
  <c r="K177" i="10"/>
  <c r="L177" i="10"/>
  <c r="K13" i="10"/>
  <c r="L13" i="10"/>
  <c r="K170" i="10"/>
  <c r="L170" i="10"/>
  <c r="L60" i="10"/>
  <c r="K60" i="10"/>
  <c r="K51" i="10"/>
  <c r="L51" i="10"/>
  <c r="K6" i="10"/>
  <c r="L6" i="10"/>
  <c r="K266" i="10"/>
  <c r="L266" i="10"/>
  <c r="K123" i="10"/>
  <c r="L123" i="10"/>
  <c r="K113" i="10"/>
  <c r="L113" i="10"/>
  <c r="L328" i="10"/>
  <c r="L310" i="10"/>
  <c r="K288" i="10"/>
  <c r="L288" i="10"/>
  <c r="K233" i="10"/>
  <c r="L233" i="10"/>
  <c r="L108" i="10"/>
  <c r="K416" i="10"/>
  <c r="L416" i="10"/>
  <c r="K398" i="10"/>
  <c r="L398" i="10"/>
  <c r="K380" i="10"/>
  <c r="L380" i="10"/>
  <c r="K269" i="10"/>
  <c r="L269" i="10"/>
  <c r="K185" i="10"/>
  <c r="L185" i="10"/>
  <c r="K180" i="10"/>
  <c r="L180" i="10"/>
  <c r="L72" i="10"/>
  <c r="K72" i="10"/>
  <c r="K21" i="10"/>
  <c r="L21" i="10"/>
  <c r="K16" i="10"/>
  <c r="L16" i="10"/>
  <c r="L361" i="10"/>
  <c r="L331" i="10"/>
  <c r="L313" i="10"/>
  <c r="K296" i="10"/>
  <c r="L289" i="10"/>
  <c r="L284" i="10"/>
  <c r="L241" i="10"/>
  <c r="K241" i="10"/>
  <c r="L239" i="10"/>
  <c r="K195" i="10"/>
  <c r="L195" i="10"/>
  <c r="K141" i="10"/>
  <c r="L141" i="10"/>
  <c r="K131" i="10"/>
  <c r="L131" i="10"/>
  <c r="K31" i="10"/>
  <c r="L31" i="10"/>
  <c r="L950" i="10"/>
  <c r="L873" i="10"/>
  <c r="L857" i="10"/>
  <c r="K809" i="10"/>
  <c r="L503" i="10"/>
  <c r="L475" i="10"/>
  <c r="K475" i="10"/>
  <c r="L473" i="10"/>
  <c r="K455" i="10"/>
  <c r="L455" i="10"/>
  <c r="L453" i="10"/>
  <c r="K437" i="10"/>
  <c r="L437" i="10"/>
  <c r="L435" i="10"/>
  <c r="K419" i="10"/>
  <c r="L419" i="10"/>
  <c r="L417" i="10"/>
  <c r="K401" i="10"/>
  <c r="L401" i="10"/>
  <c r="L399" i="10"/>
  <c r="K383" i="10"/>
  <c r="L383" i="10"/>
  <c r="L381" i="10"/>
  <c r="K337" i="10"/>
  <c r="L332" i="10"/>
  <c r="K319" i="10"/>
  <c r="L314" i="10"/>
  <c r="L306" i="10"/>
  <c r="L304" i="10"/>
  <c r="K291" i="10"/>
  <c r="K271" i="10"/>
  <c r="L271" i="10"/>
  <c r="L270" i="10"/>
  <c r="L126" i="10"/>
  <c r="K87" i="10"/>
  <c r="L87" i="10"/>
  <c r="K24" i="10"/>
  <c r="L24" i="10"/>
  <c r="L508" i="10"/>
  <c r="K508" i="10"/>
  <c r="L500" i="10"/>
  <c r="L490" i="10"/>
  <c r="L334" i="10"/>
  <c r="L316" i="10"/>
  <c r="K299" i="10"/>
  <c r="L299" i="10"/>
  <c r="L244" i="10"/>
  <c r="K244" i="10"/>
  <c r="L236" i="10"/>
  <c r="K80" i="10"/>
  <c r="L80" i="10"/>
  <c r="K458" i="10"/>
  <c r="L458" i="10"/>
  <c r="K440" i="10"/>
  <c r="L440" i="10"/>
  <c r="K422" i="10"/>
  <c r="L422" i="10"/>
  <c r="K404" i="10"/>
  <c r="L404" i="10"/>
  <c r="K386" i="10"/>
  <c r="L386" i="10"/>
  <c r="K366" i="10"/>
  <c r="L366" i="10"/>
  <c r="K294" i="10"/>
  <c r="K203" i="10"/>
  <c r="L203" i="10"/>
  <c r="K159" i="10"/>
  <c r="L159" i="10"/>
  <c r="K149" i="10"/>
  <c r="L149" i="10"/>
  <c r="L247" i="10"/>
  <c r="K247" i="10"/>
  <c r="K34" i="10"/>
  <c r="L34" i="10"/>
  <c r="K461" i="10"/>
  <c r="L461" i="10"/>
  <c r="K443" i="10"/>
  <c r="L443" i="10"/>
  <c r="K425" i="10"/>
  <c r="L425" i="10"/>
  <c r="K407" i="10"/>
  <c r="L407" i="10"/>
  <c r="K389" i="10"/>
  <c r="L389" i="10"/>
  <c r="K297" i="10"/>
  <c r="L215" i="10"/>
  <c r="K215" i="10"/>
  <c r="K90" i="10"/>
  <c r="L90" i="10"/>
  <c r="K223" i="10"/>
  <c r="L223" i="10"/>
  <c r="K206" i="10"/>
  <c r="L206" i="10"/>
  <c r="K188" i="10"/>
  <c r="L188" i="10"/>
  <c r="K152" i="10"/>
  <c r="L152" i="10"/>
  <c r="K134" i="10"/>
  <c r="L134" i="10"/>
  <c r="K116" i="10"/>
  <c r="L116" i="10"/>
  <c r="K98" i="10"/>
  <c r="L98" i="10"/>
  <c r="L75" i="10"/>
  <c r="L63" i="10"/>
  <c r="K173" i="10"/>
  <c r="L173" i="10"/>
  <c r="K83" i="10"/>
  <c r="L83" i="10"/>
  <c r="K27" i="10"/>
  <c r="L27" i="10"/>
  <c r="K9" i="10"/>
  <c r="L9" i="10"/>
  <c r="K226" i="10"/>
  <c r="L226" i="10"/>
  <c r="K209" i="10"/>
  <c r="L209" i="10"/>
  <c r="K191" i="10"/>
  <c r="L191" i="10"/>
  <c r="K155" i="10"/>
  <c r="L155" i="10"/>
  <c r="K137" i="10"/>
  <c r="L137" i="10"/>
  <c r="K119" i="10"/>
  <c r="L119" i="10"/>
  <c r="K101" i="10"/>
  <c r="L101" i="10"/>
  <c r="K42" i="10"/>
  <c r="L42" i="10"/>
  <c r="K176" i="10"/>
  <c r="L176" i="10"/>
  <c r="K86" i="10"/>
  <c r="L86" i="10"/>
  <c r="L66" i="10"/>
  <c r="K30" i="10"/>
  <c r="L30" i="10"/>
  <c r="K12" i="10"/>
  <c r="L12" i="10"/>
  <c r="L836" i="10"/>
  <c r="K803" i="10"/>
  <c r="L529" i="10"/>
  <c r="L493" i="10"/>
  <c r="L371" i="10"/>
  <c r="L303" i="10"/>
  <c r="L281" i="10"/>
  <c r="K274" i="10"/>
  <c r="L274" i="10"/>
  <c r="L262" i="10"/>
  <c r="K229" i="10"/>
  <c r="L229" i="10"/>
  <c r="K194" i="10"/>
  <c r="L194" i="10"/>
  <c r="K158" i="10"/>
  <c r="L158" i="10"/>
  <c r="K140" i="10"/>
  <c r="L140" i="10"/>
  <c r="K122" i="10"/>
  <c r="L122" i="10"/>
  <c r="K104" i="10"/>
  <c r="L104" i="10"/>
  <c r="K179" i="10"/>
  <c r="L179" i="10"/>
  <c r="K161" i="10"/>
  <c r="L161" i="10"/>
  <c r="K89" i="10"/>
  <c r="L89" i="10"/>
  <c r="K45" i="10"/>
  <c r="L45" i="10"/>
  <c r="K33" i="10"/>
  <c r="L33" i="10"/>
  <c r="K15" i="10"/>
  <c r="L15" i="10"/>
  <c r="K368" i="10"/>
  <c r="L276" i="10"/>
  <c r="K197" i="10"/>
  <c r="L197" i="10"/>
  <c r="K143" i="10"/>
  <c r="L143" i="10"/>
  <c r="K125" i="10"/>
  <c r="L125" i="10"/>
  <c r="K107" i="10"/>
  <c r="L107" i="10"/>
  <c r="L69" i="10"/>
  <c r="L57" i="10"/>
  <c r="L279" i="10"/>
  <c r="L235" i="10"/>
  <c r="K182" i="10"/>
  <c r="L182" i="10"/>
  <c r="K164" i="10"/>
  <c r="L164" i="10"/>
  <c r="K92" i="10"/>
  <c r="L92" i="10"/>
  <c r="K36" i="10"/>
  <c r="L36" i="10"/>
  <c r="K18" i="10"/>
  <c r="L18" i="10"/>
  <c r="L238" i="10"/>
  <c r="K217" i="10"/>
  <c r="L217" i="10"/>
  <c r="K200" i="10"/>
  <c r="L200" i="10"/>
  <c r="K146" i="10"/>
  <c r="L146" i="10"/>
  <c r="K128" i="10"/>
  <c r="L128" i="10"/>
  <c r="K110" i="10"/>
  <c r="L110" i="10"/>
  <c r="K48" i="10"/>
  <c r="L48" i="10"/>
  <c r="L214" i="10"/>
  <c r="L74" i="10"/>
  <c r="L71" i="10"/>
  <c r="L68" i="10"/>
  <c r="L65" i="10"/>
  <c r="L62" i="10"/>
  <c r="L59" i="10"/>
  <c r="L56" i="10"/>
  <c r="L1084" i="10" l="1"/>
  <c r="H1084" i="10"/>
</calcChain>
</file>

<file path=xl/sharedStrings.xml><?xml version="1.0" encoding="utf-8"?>
<sst xmlns="http://schemas.openxmlformats.org/spreadsheetml/2006/main" count="17501" uniqueCount="2391">
  <si>
    <t>Household ID</t>
  </si>
  <si>
    <t>Household Name</t>
  </si>
  <si>
    <t>Officer Name</t>
  </si>
  <si>
    <t>Officer Code</t>
  </si>
  <si>
    <t>Prior Year-end Deposit Balance</t>
  </si>
  <si>
    <t>Current Month-end Deposit Balance</t>
  </si>
  <si>
    <t>Prior Month-end Deposit Balance</t>
  </si>
  <si>
    <t>Current Balance - Deposit</t>
  </si>
  <si>
    <t>1</t>
  </si>
  <si>
    <t>MODERN BOOKKEEPING HOUSEHOLD</t>
  </si>
  <si>
    <t>615</t>
  </si>
  <si>
    <t>Mark Morrison</t>
  </si>
  <si>
    <t>10</t>
  </si>
  <si>
    <t>MARK CHERRY HOUSEHOLD</t>
  </si>
  <si>
    <t>618</t>
  </si>
  <si>
    <t>Brad Kirkland</t>
  </si>
  <si>
    <t>100</t>
  </si>
  <si>
    <t>Glenn A Bianchini Household</t>
  </si>
  <si>
    <t>251</t>
  </si>
  <si>
    <t>Julie Jones</t>
  </si>
  <si>
    <t>1000</t>
  </si>
  <si>
    <t>FUEL CELL ESA WCSU LLC HOUSEHOLD</t>
  </si>
  <si>
    <t>675</t>
  </si>
  <si>
    <t>Mark Matheson</t>
  </si>
  <si>
    <t>1001</t>
  </si>
  <si>
    <t>CENTRACORE LLC HOUSEHOLD</t>
  </si>
  <si>
    <t>1002</t>
  </si>
  <si>
    <t>CONSTABLE REAL ESTATE LLC HOUSEHOLD</t>
  </si>
  <si>
    <t>459</t>
  </si>
  <si>
    <t>Marlon Attiq</t>
  </si>
  <si>
    <t>1003</t>
  </si>
  <si>
    <t>ELISECO INC &amp; NOVID LLC HOUSEHOLD</t>
  </si>
  <si>
    <t>130</t>
  </si>
  <si>
    <t>Cary Listerman</t>
  </si>
  <si>
    <t>1007</t>
  </si>
  <si>
    <t>KING CARPENTRY LLC HOUSEHOLD</t>
  </si>
  <si>
    <t>1008</t>
  </si>
  <si>
    <t>INTERVENTIONAL PAIN CENTER PLLC HOUSEHOLD</t>
  </si>
  <si>
    <t>1009</t>
  </si>
  <si>
    <t>INSPIRED CONCEPTS LLC HOUSEHOLD</t>
  </si>
  <si>
    <t>453</t>
  </si>
  <si>
    <t>Joshua Copen</t>
  </si>
  <si>
    <t>101</t>
  </si>
  <si>
    <t>Goodrich United Methodist Church Household</t>
  </si>
  <si>
    <t>139</t>
  </si>
  <si>
    <t>Steve Tondreau</t>
  </si>
  <si>
    <t>1010</t>
  </si>
  <si>
    <t>THE GLAESER DAWES CORPORATION HOUSEHOLD</t>
  </si>
  <si>
    <t>1012</t>
  </si>
  <si>
    <t>TIMOTHY P ISRAEL HOUSEHOLD</t>
  </si>
  <si>
    <t>162</t>
  </si>
  <si>
    <t>Beth Arnold</t>
  </si>
  <si>
    <t>1013</t>
  </si>
  <si>
    <t>JEREMY B STURZA HOUSEHOLD</t>
  </si>
  <si>
    <t>1014</t>
  </si>
  <si>
    <t>DAVID M ROSE HOUSEHOLD</t>
  </si>
  <si>
    <t>271</t>
  </si>
  <si>
    <t>Adrienne Flintoft</t>
  </si>
  <si>
    <t>1015</t>
  </si>
  <si>
    <t>MARK GESUALE HOUSEHOLD</t>
  </si>
  <si>
    <t>1016</t>
  </si>
  <si>
    <t>SAMUEL D SWEET PLC HOUSEHOLD</t>
  </si>
  <si>
    <t>1017</t>
  </si>
  <si>
    <t>RICHARD A BLASUTIG HOUSEHOLD</t>
  </si>
  <si>
    <t>1018</t>
  </si>
  <si>
    <t>DIANNE C KMIOTEK HOUSEHOLD</t>
  </si>
  <si>
    <t>475</t>
  </si>
  <si>
    <t>Nicole Curtiss</t>
  </si>
  <si>
    <t>1020</t>
  </si>
  <si>
    <t>CYPRESS RIDGE CONSULTING GROUP LLC HOUSEHOLD</t>
  </si>
  <si>
    <t>1024</t>
  </si>
  <si>
    <t>LEON D HIEBER JR HOUSEHOLD</t>
  </si>
  <si>
    <t>460</t>
  </si>
  <si>
    <t>Vladislav Peck</t>
  </si>
  <si>
    <t>103</t>
  </si>
  <si>
    <t>FRIENDS OF THE CLARKSTON INDEPENDENCE HOUSEHOLD</t>
  </si>
  <si>
    <t>151</t>
  </si>
  <si>
    <t>Jennifer Sherby</t>
  </si>
  <si>
    <t>1030</t>
  </si>
  <si>
    <t>STUDENT ADVOCACY CENTER OF MICHIGAN INC HOUSEHOLD</t>
  </si>
  <si>
    <t>1032</t>
  </si>
  <si>
    <t>MICHELE SHAUGHNESSY HOUSEHOLD</t>
  </si>
  <si>
    <t>1034</t>
  </si>
  <si>
    <t>EICHNER REALTY INC HOUSEHOLD</t>
  </si>
  <si>
    <t>1035</t>
  </si>
  <si>
    <t>TMT MANAGEMENT INC HOUSEHOLD</t>
  </si>
  <si>
    <t>1037</t>
  </si>
  <si>
    <t>SUNSHINE FOODS AND WINE LLC HOUSEHOLD</t>
  </si>
  <si>
    <t>1039</t>
  </si>
  <si>
    <t>TEKSOFT SYSTEMS INC HOUSEHOLD</t>
  </si>
  <si>
    <t>104</t>
  </si>
  <si>
    <t>Independence Dental PC Household</t>
  </si>
  <si>
    <t>1040</t>
  </si>
  <si>
    <t>SANDBEAR EXPRESS INC HOUSEHOLD</t>
  </si>
  <si>
    <t>1043</t>
  </si>
  <si>
    <t>CSV RESTAURANTS LLC HOUSEHOLD</t>
  </si>
  <si>
    <t>1044</t>
  </si>
  <si>
    <t>STRATEGIC SERVICES GROUP INC HOUSEHOLD</t>
  </si>
  <si>
    <t>1045</t>
  </si>
  <si>
    <t>PAINT CREEK MGMT LLC HOUSEHOLD</t>
  </si>
  <si>
    <t>640</t>
  </si>
  <si>
    <t>Thomas Merrill</t>
  </si>
  <si>
    <t>1046</t>
  </si>
  <si>
    <t>MORTGAGE RESOURCE PLUS, INC HOUSEHOLD</t>
  </si>
  <si>
    <t>1047</t>
  </si>
  <si>
    <t>LOVE INC OF NORTH OAKLAND COUNTY HOUSEHOLD</t>
  </si>
  <si>
    <t>105</t>
  </si>
  <si>
    <t>CONSOLIDATED MEDICAL BILLING LLC HOUSEHOLD</t>
  </si>
  <si>
    <t>467</t>
  </si>
  <si>
    <t>Taylor Spicer</t>
  </si>
  <si>
    <t>1050</t>
  </si>
  <si>
    <t>MICHIGAN STRATEGIC FUND HOUSEHOLD</t>
  </si>
  <si>
    <t>1052</t>
  </si>
  <si>
    <t>MRA PROPERTIES LLC HOUSEHOLD</t>
  </si>
  <si>
    <t>1053</t>
  </si>
  <si>
    <t>DALE WELSH HOUSEHOLD</t>
  </si>
  <si>
    <t>1054</t>
  </si>
  <si>
    <t>GNS MANAGEMENT LLC HOUSEHOLD</t>
  </si>
  <si>
    <t>1055</t>
  </si>
  <si>
    <t>KEVIN CORBIN HOUSEHOLD</t>
  </si>
  <si>
    <t>708</t>
  </si>
  <si>
    <t>Lisa Goldsworthy</t>
  </si>
  <si>
    <t>1056</t>
  </si>
  <si>
    <t>BURINGTON GOLF CAR RENTALS INC HOUSEHOLD</t>
  </si>
  <si>
    <t>1057</t>
  </si>
  <si>
    <t>GREGORY WECKLE HOUSEHOLD</t>
  </si>
  <si>
    <t>1058</t>
  </si>
  <si>
    <t>DBA GENO &amp; SON PROPERTY MANAGEMENT HOUSEHOLD</t>
  </si>
  <si>
    <t>1059</t>
  </si>
  <si>
    <t>MICROTECH SYSTEMS INC HOUSEHOLD</t>
  </si>
  <si>
    <t>1061</t>
  </si>
  <si>
    <t>EUGENE MEAGHER HOUSEHOLD</t>
  </si>
  <si>
    <t>1062</t>
  </si>
  <si>
    <t>MARK HAGEMEISTER HOUSEHOLD</t>
  </si>
  <si>
    <t>1063</t>
  </si>
  <si>
    <t>TRAVELING TRAINER LLC HOUSEHOLD</t>
  </si>
  <si>
    <t>1065</t>
  </si>
  <si>
    <t>AB INC HOUSEHOLD</t>
  </si>
  <si>
    <t>1066</t>
  </si>
  <si>
    <t>ADE INCORPORATED HOUSEHOLD</t>
  </si>
  <si>
    <t>1067</t>
  </si>
  <si>
    <t>ACCENT ON ART HOUSEHOLD</t>
  </si>
  <si>
    <t>1068</t>
  </si>
  <si>
    <t>ADDISON TOWNSHIP LIBRARY HOUSEHOLD</t>
  </si>
  <si>
    <t>1069</t>
  </si>
  <si>
    <t>AMERICAN LEGION HOUSEHOLD</t>
  </si>
  <si>
    <t>107</t>
  </si>
  <si>
    <t>Jidas Custom Homes Inc Household</t>
  </si>
  <si>
    <t>1070</t>
  </si>
  <si>
    <t>ABSOLUTE GREEN CORPORATION HOUSEHOLD</t>
  </si>
  <si>
    <t>1071</t>
  </si>
  <si>
    <t>ADVANCE SCRAPING CO HOUSEHOLD</t>
  </si>
  <si>
    <t>1072</t>
  </si>
  <si>
    <t>DENNIS ASHTON HOUSEHOLD</t>
  </si>
  <si>
    <t>1073</t>
  </si>
  <si>
    <t>ADDISON PLUMBING CO HOUSEHOLD</t>
  </si>
  <si>
    <t>1074</t>
  </si>
  <si>
    <t>ALL SPORTS BRANDON BOOSTERS HOUSEHOLD</t>
  </si>
  <si>
    <t>1075</t>
  </si>
  <si>
    <t>ALMONT AREA SENIOR CITIZENS HOUSEHOLD</t>
  </si>
  <si>
    <t>1076</t>
  </si>
  <si>
    <t>ADDISON TWP FIREFIGHTERS ASSOC HOUSEHOLD</t>
  </si>
  <si>
    <t>1077</t>
  </si>
  <si>
    <t>ALMONT DRYDEN LODGE NO 51 HOUSEHOLD</t>
  </si>
  <si>
    <t>1078</t>
  </si>
  <si>
    <t>ADDISON MEADOWS ASSOCIATION HOUSEHOLD</t>
  </si>
  <si>
    <t>1079</t>
  </si>
  <si>
    <t>AARON ENGLER CERTIFIED FARRIER INC HOUSEHOLD</t>
  </si>
  <si>
    <t>108</t>
  </si>
  <si>
    <t>John Hicks Household</t>
  </si>
  <si>
    <t>1080</t>
  </si>
  <si>
    <t>AMELL INC HOUSEHOLD</t>
  </si>
  <si>
    <t>1081</t>
  </si>
  <si>
    <t>GARY AHLBERG HOUSEHOLD</t>
  </si>
  <si>
    <t>1082</t>
  </si>
  <si>
    <t>ALL INDUSTRIES INC HOUSEHOLD</t>
  </si>
  <si>
    <t>1083</t>
  </si>
  <si>
    <t>ALTON GROUP INC HOUSEHOLD</t>
  </si>
  <si>
    <t>1084</t>
  </si>
  <si>
    <t>DAN ZARAGA HOUSEHOLD</t>
  </si>
  <si>
    <t>1085</t>
  </si>
  <si>
    <t>GRAZING LIFE LLC HOUSEHOLD</t>
  </si>
  <si>
    <t>1086</t>
  </si>
  <si>
    <t>MA MANAGEMENT GROUP HOUSEHOLD</t>
  </si>
  <si>
    <t>478</t>
  </si>
  <si>
    <t>Claire Marie Spencer</t>
  </si>
  <si>
    <t>1087</t>
  </si>
  <si>
    <t>VALOR SALON HOUSEHOLD</t>
  </si>
  <si>
    <t>1088</t>
  </si>
  <si>
    <t>HAINES DRAINS HOUSEHOLD</t>
  </si>
  <si>
    <t>1089</t>
  </si>
  <si>
    <t>AMANDA GRAIN COMPANY HOUSEHOLD</t>
  </si>
  <si>
    <t>109</t>
  </si>
  <si>
    <t>Karen Mersino Household</t>
  </si>
  <si>
    <t>1090</t>
  </si>
  <si>
    <t>AQUA HEATING AND COOLING LLC HOUSEHOLD</t>
  </si>
  <si>
    <t>1091</t>
  </si>
  <si>
    <t>A &amp; D PRODUCTS LLC HOUSEHOLD</t>
  </si>
  <si>
    <t>1092</t>
  </si>
  <si>
    <t>A &amp; G INVESTMENT PROPERTIES LTD HOUSEHOLD</t>
  </si>
  <si>
    <t>1093</t>
  </si>
  <si>
    <t>DAVID BLOCKI HOUSEHOLD</t>
  </si>
  <si>
    <t>1095</t>
  </si>
  <si>
    <t>ALLEN DRESSAGE INC HOUSEHOLD</t>
  </si>
  <si>
    <t>1096</t>
  </si>
  <si>
    <t>AURSAM PROPERTY SERVICES LLC HOUSEHOLD</t>
  </si>
  <si>
    <t>1098</t>
  </si>
  <si>
    <t>ALIFETIME OF EVERYTHING LLC HOUSEHOLD</t>
  </si>
  <si>
    <t>11</t>
  </si>
  <si>
    <t>NCG CINEMAS HOUSEHOLD</t>
  </si>
  <si>
    <t>110</t>
  </si>
  <si>
    <t>KC'S DAIRY TWIST HOUSEHOLD</t>
  </si>
  <si>
    <t>653</t>
  </si>
  <si>
    <t>Jack Korth</t>
  </si>
  <si>
    <t>1100</t>
  </si>
  <si>
    <t>ALPHABET CARPENTRY INC HOUSEHOLD</t>
  </si>
  <si>
    <t>1101</t>
  </si>
  <si>
    <t>PAMELA ALEXANDER HOUSEHOLD</t>
  </si>
  <si>
    <t>1102</t>
  </si>
  <si>
    <t>ATLEE MILLER FARRIER SERVICE LLC HOUSEHOLD</t>
  </si>
  <si>
    <t>1103</t>
  </si>
  <si>
    <t>AMERICAN CUTTING LLC HOUSEHOLD</t>
  </si>
  <si>
    <t>1107</t>
  </si>
  <si>
    <t>ACORN INDUSTRIES HOUSEHOLD</t>
  </si>
  <si>
    <t>1108</t>
  </si>
  <si>
    <t>WAYNE SLUITER HOUSEHOLD</t>
  </si>
  <si>
    <t>1109</t>
  </si>
  <si>
    <t>ADVANCED REMODELING &amp; CONSTRUCTION LLC HOUSEHOLD</t>
  </si>
  <si>
    <t>111</t>
  </si>
  <si>
    <t>KENNETH LATSHAW HOUSEHOLD</t>
  </si>
  <si>
    <t>1110</t>
  </si>
  <si>
    <t>NJ GALLAGHER CONTRACTOR LLC HOUSEHOLD</t>
  </si>
  <si>
    <t>1111</t>
  </si>
  <si>
    <t>ROSATI MASON CONTRACTORS LLC HOUSEHOLD</t>
  </si>
  <si>
    <t>1112</t>
  </si>
  <si>
    <t>DENNIS INGLES &amp; SONS EXCAVATING LLC HOUSEHOLD</t>
  </si>
  <si>
    <t>1113</t>
  </si>
  <si>
    <t>JON M GASKELL HOUSEHOLD</t>
  </si>
  <si>
    <t>1114</t>
  </si>
  <si>
    <t>GOODLOE BROTHERS LLC HOUSEHOLD</t>
  </si>
  <si>
    <t>1117</t>
  </si>
  <si>
    <t>GLORIFIED INVESTMENT GROUP LLC HOUSEHOLD</t>
  </si>
  <si>
    <t>1118</t>
  </si>
  <si>
    <t>GOOD HANGS LLC HOUSEHOLD</t>
  </si>
  <si>
    <t>1119</t>
  </si>
  <si>
    <t>GIRLS SCOUTS OF SOUTH EASTERN MI 78024 HOUSEHOLD</t>
  </si>
  <si>
    <t>1121</t>
  </si>
  <si>
    <t>GREAT LAKES HEARING CARE LLC HOUSEHOLD</t>
  </si>
  <si>
    <t>1122</t>
  </si>
  <si>
    <t>1NABCO LLC HOUSEHOLD</t>
  </si>
  <si>
    <t>1123</t>
  </si>
  <si>
    <t>GT MICHIGAN STEEL HOUSEHOLD</t>
  </si>
  <si>
    <t>547</t>
  </si>
  <si>
    <t>Hans Dessureault</t>
  </si>
  <si>
    <t>1124</t>
  </si>
  <si>
    <t>812 N LARCH STREET LLC HOUSEHOLD</t>
  </si>
  <si>
    <t>1125</t>
  </si>
  <si>
    <t>CLARITY 9 HOLDINGS LLC HOUSEHOLD</t>
  </si>
  <si>
    <t>621</t>
  </si>
  <si>
    <t>Daniel McCarthy</t>
  </si>
  <si>
    <t>1126</t>
  </si>
  <si>
    <t>DEER CREEK PROPERTIES LLC HOUSEHOLD</t>
  </si>
  <si>
    <t>1127</t>
  </si>
  <si>
    <t>THOMAS GROUP CONSULTING INC HOUSEHOLD</t>
  </si>
  <si>
    <t>1128</t>
  </si>
  <si>
    <t>EV TEST LLC HOUSEHOLD</t>
  </si>
  <si>
    <t>1129</t>
  </si>
  <si>
    <t>DETROIT 3D MANUFACTURING LLC HOUSEHOLD</t>
  </si>
  <si>
    <t>113</t>
  </si>
  <si>
    <t>L &amp; H PLUMBING CONTRACTORS INC HOUSEHOLD</t>
  </si>
  <si>
    <t>1130</t>
  </si>
  <si>
    <t>DISTINCTIVE DESIGN BY MIKE LLC HOUSEHOLD</t>
  </si>
  <si>
    <t>1131</t>
  </si>
  <si>
    <t>DELTA OPTICAL SUPPLY INC HOUSEHOLD</t>
  </si>
  <si>
    <t>1132</t>
  </si>
  <si>
    <t>DUTY CALLS PLUMBING AND SEWER LLC HOUSEHOLD</t>
  </si>
  <si>
    <t>1133</t>
  </si>
  <si>
    <t>JON HUNTER HOUSEHOLD</t>
  </si>
  <si>
    <t>1134</t>
  </si>
  <si>
    <t>HOLY REDEEMER LUTHERAN CHURCH DRYDEN HOUSEHOLD</t>
  </si>
  <si>
    <t>1135</t>
  </si>
  <si>
    <t>DBA HALLS LOCKSMITH SERVICE HOUSEHOLD</t>
  </si>
  <si>
    <t>1136</t>
  </si>
  <si>
    <t>HERITAGE FLAG AND BANNER HOUSEHOLD</t>
  </si>
  <si>
    <t>1137</t>
  </si>
  <si>
    <t>JIMMY HOLLOWAY HOUSEHOLD</t>
  </si>
  <si>
    <t>1138</t>
  </si>
  <si>
    <t>DBA ANCIENT GALLERY HOUSEHOLD</t>
  </si>
  <si>
    <t>1139</t>
  </si>
  <si>
    <t>HEATHER RIDGE HOMEOWNERS ASSOC HOUSEHOLD</t>
  </si>
  <si>
    <t>1140</t>
  </si>
  <si>
    <t>HELLNER BUILDINGS CO LLC HOUSEHOLD</t>
  </si>
  <si>
    <t>1141</t>
  </si>
  <si>
    <t>HOLLOW CORNERS VETRINARY CLINIC PC HOUSEHOLD</t>
  </si>
  <si>
    <t>1142</t>
  </si>
  <si>
    <t>SHAWN HALFERTY HOUSEHOLD</t>
  </si>
  <si>
    <t>1143</t>
  </si>
  <si>
    <t>DBA E M HEIM CONSTRUCTION HOUSEHOLD</t>
  </si>
  <si>
    <t>1144</t>
  </si>
  <si>
    <t>METROPOLITAN LIFE INS LLC HOUSEHOLD</t>
  </si>
  <si>
    <t>1145</t>
  </si>
  <si>
    <t>ALL WORLD ENTERPRISE LLC HOUSEHOLD</t>
  </si>
  <si>
    <t>1146</t>
  </si>
  <si>
    <t>G J &amp; L AMERICAN GRILL LLC HOUSEHOLD</t>
  </si>
  <si>
    <t>1148</t>
  </si>
  <si>
    <t>JAM MANAGEMENT SERVICES INC HOUSEHOLD</t>
  </si>
  <si>
    <t>1149</t>
  </si>
  <si>
    <t>THE GEORGE A &amp; GLADYS G LYON FAMILY LLC HOUSEHOLD</t>
  </si>
  <si>
    <t>115</t>
  </si>
  <si>
    <t>KNAUF FAMILY ENTERPRISES HOUSEHOLD</t>
  </si>
  <si>
    <t>1150</t>
  </si>
  <si>
    <t>GOLDEN RECYCLERS INC HOUSEHOLD</t>
  </si>
  <si>
    <t>423</t>
  </si>
  <si>
    <t>Kristin Krueger</t>
  </si>
  <si>
    <t>1151</t>
  </si>
  <si>
    <t>AC CONSTRUCTION INC HOUSEHOLD</t>
  </si>
  <si>
    <t>1152</t>
  </si>
  <si>
    <t>TERADYNE INFOTECH INC HOUSEHOLD</t>
  </si>
  <si>
    <t>1153</t>
  </si>
  <si>
    <t>FORWARD WORX LLC HOUSEHOLD</t>
  </si>
  <si>
    <t>1154</t>
  </si>
  <si>
    <t>J &amp; J DECORATIVE CONCRETE INC HOUSEHOLD</t>
  </si>
  <si>
    <t>1155</t>
  </si>
  <si>
    <t>SHAG SALON INC HOUSEHOLD</t>
  </si>
  <si>
    <t>1156</t>
  </si>
  <si>
    <t>MAGNECOR USA INC HOUSEHOLD</t>
  </si>
  <si>
    <t>1157</t>
  </si>
  <si>
    <t>CLARKSTON ASC PARTNERS LLC HOUSEHOLD</t>
  </si>
  <si>
    <t>1158</t>
  </si>
  <si>
    <t>METAMORA COUNTRY CLUB ESTATES ASSOC II HOUSEHOLD</t>
  </si>
  <si>
    <t>1160</t>
  </si>
  <si>
    <t>PAMPALONA COMPANIES INC HOUSEHOLD</t>
  </si>
  <si>
    <t>1161</t>
  </si>
  <si>
    <t>CHRISTOPHER FALANY HOUSEHOLD</t>
  </si>
  <si>
    <t>1162</t>
  </si>
  <si>
    <t>BARRYS LETS RENT IT LTD HOUSEHOLD</t>
  </si>
  <si>
    <t>1164</t>
  </si>
  <si>
    <t>BEANSTALK PROPERTIES SOLUTIONS LLC HOUSEHOLD</t>
  </si>
  <si>
    <t>1165</t>
  </si>
  <si>
    <t>PWE QARANA INC HOUSEHOLD</t>
  </si>
  <si>
    <t>1166</t>
  </si>
  <si>
    <t>PLYMOUTH VILLAGE ASSOC HOUSEHOLD</t>
  </si>
  <si>
    <t>1167</t>
  </si>
  <si>
    <t>VILLAGE AT EAGLE HEIGHTS ASSOC HOUSEHOLD</t>
  </si>
  <si>
    <t>1168</t>
  </si>
  <si>
    <t>SILVER PINES VILLAGE CONDO ASSOC HOUSEHOLD</t>
  </si>
  <si>
    <t>1170</t>
  </si>
  <si>
    <t>MACIOCE ENTERPRISES LLC HOUSEHOLD</t>
  </si>
  <si>
    <t>1172</t>
  </si>
  <si>
    <t>PIONEER CABINETRY INC HOUSEHOLD</t>
  </si>
  <si>
    <t>1174</t>
  </si>
  <si>
    <t>THE NORTH OAKLAND STAFFING AGENCY HOUSEHOLD</t>
  </si>
  <si>
    <t>1175</t>
  </si>
  <si>
    <t>JOSEPH J PELERIN DDS PC HOUSEHOLD</t>
  </si>
  <si>
    <t>1176</t>
  </si>
  <si>
    <t>CJK PAINTING INC HOUSEHOLD</t>
  </si>
  <si>
    <t>1177</t>
  </si>
  <si>
    <t>1001-9 FAIRWAY LANE LLC HOUSEHOLD</t>
  </si>
  <si>
    <t>118</t>
  </si>
  <si>
    <t>M15 FAMILY MEDICAL CENTER PC HOUSEHOLD</t>
  </si>
  <si>
    <t>1180</t>
  </si>
  <si>
    <t>CHARLES P BECKWELL DDS PLC HOUSEHOLD</t>
  </si>
  <si>
    <t>1181</t>
  </si>
  <si>
    <t>METRO PIPING INC HOUSEHOLD</t>
  </si>
  <si>
    <t>1182</t>
  </si>
  <si>
    <t>DIERKER &amp; KAVANAUGH PC HOUSEHOLD</t>
  </si>
  <si>
    <t>1183</t>
  </si>
  <si>
    <t>PATTY &amp; PRESS LLC HOUSEHOLD</t>
  </si>
  <si>
    <t>1184</t>
  </si>
  <si>
    <t>RESGREEN GROUP INTERNATIONAL INC HOUSEHOLD</t>
  </si>
  <si>
    <t>1185</t>
  </si>
  <si>
    <t>TOCCO &amp; MANNINO LANDSCAPING INC HOUSEHOLD</t>
  </si>
  <si>
    <t>119</t>
  </si>
  <si>
    <t>MAPLE RIVER FARMS LLC HOUSEHOLD</t>
  </si>
  <si>
    <t>1191</t>
  </si>
  <si>
    <t>TROBS INC HOUSEHOLD</t>
  </si>
  <si>
    <t>1192</t>
  </si>
  <si>
    <t>GRACE PRESBYTERIAN CHURCH HOUSEHOLD</t>
  </si>
  <si>
    <t>1193</t>
  </si>
  <si>
    <t>SOLEVE HOLDINGS LLC HOUSEHOLD</t>
  </si>
  <si>
    <t>1194</t>
  </si>
  <si>
    <t>ELITE PROCESSING LLC HOUSEHOLD</t>
  </si>
  <si>
    <t>1195</t>
  </si>
  <si>
    <t>MOTOR CITY RENTALS LLC HOUSEHOLD</t>
  </si>
  <si>
    <t>631</t>
  </si>
  <si>
    <t>Jose Morales</t>
  </si>
  <si>
    <t>1197</t>
  </si>
  <si>
    <t>M DAMMAN CO LC HOUSEHOLD</t>
  </si>
  <si>
    <t>1198</t>
  </si>
  <si>
    <t>B &amp; B TOOL INC HOUSEHOLD</t>
  </si>
  <si>
    <t>1199</t>
  </si>
  <si>
    <t>VILLAGE CHURCH OF ORTONVILLE HOUSEHOLD</t>
  </si>
  <si>
    <t>12</t>
  </si>
  <si>
    <t>PROLIME CORPORATION HOUSEHOLD</t>
  </si>
  <si>
    <t>1200</t>
  </si>
  <si>
    <t>MGA LUZ INC HOUSEHOLD</t>
  </si>
  <si>
    <t>1201</t>
  </si>
  <si>
    <t>LAKE ANGELUS SHORES ASSOC HOUSEHOLD</t>
  </si>
  <si>
    <t>1202</t>
  </si>
  <si>
    <t>RG RESOURCE TECHNOLOGIES INC HOUSEHOLD</t>
  </si>
  <si>
    <t>1203</t>
  </si>
  <si>
    <t>MYSTIC COVE ORION HOUSEHOLD</t>
  </si>
  <si>
    <t>1204</t>
  </si>
  <si>
    <t>GLOBAL PROMOTIONS &amp; INCENTIVES LLC HOUSEHOLD</t>
  </si>
  <si>
    <t>681</t>
  </si>
  <si>
    <t>Kori Bezemek-Hogston</t>
  </si>
  <si>
    <t>1205</t>
  </si>
  <si>
    <t>BRAVO TRANSPORTATION LLC HOUSEHOLD</t>
  </si>
  <si>
    <t>1206</t>
  </si>
  <si>
    <t>DBA DH JANITORIAL SERVICE HOUSEHOLD</t>
  </si>
  <si>
    <t>1207</t>
  </si>
  <si>
    <t>BRIAN HAZEN HOUSEHOLD</t>
  </si>
  <si>
    <t>1208</t>
  </si>
  <si>
    <t>HEATHER CREEK HOMEOWNERS ASSOCIATION HOUSEHOLD</t>
  </si>
  <si>
    <t>121</t>
  </si>
  <si>
    <t>MICHAEL DEVRIES HOUSEHOLD</t>
  </si>
  <si>
    <t>1210</t>
  </si>
  <si>
    <t>THE HIDEAWAYS HOUSEHOLD</t>
  </si>
  <si>
    <t>1211</t>
  </si>
  <si>
    <t>HIGH ENERGY FITNESS LLC HOUSEHOLD</t>
  </si>
  <si>
    <t>1213</t>
  </si>
  <si>
    <t>RICKY G HARVARD HOUSEHOLD</t>
  </si>
  <si>
    <t>1214</t>
  </si>
  <si>
    <t>WING SNOB FRANCHISING LLC HOUSEHOLD</t>
  </si>
  <si>
    <t>1215</t>
  </si>
  <si>
    <t>HOSNER STUMP GRINDING LLC HOUSEHOLD</t>
  </si>
  <si>
    <t>1216</t>
  </si>
  <si>
    <t>HOMEGROWN BREWING COMPANY LLC HOUSEHOLD</t>
  </si>
  <si>
    <t>1217</t>
  </si>
  <si>
    <t>HERITAGE WOODCRAFT HOMES LLC HOUSEHOLD</t>
  </si>
  <si>
    <t>1218</t>
  </si>
  <si>
    <t>HIGH RIDGE SAD HOUSEHOLD</t>
  </si>
  <si>
    <t>122</t>
  </si>
  <si>
    <t>MICHIGAN SAND AND GRAVEL COMPANY HOUSEHOLD</t>
  </si>
  <si>
    <t>1220</t>
  </si>
  <si>
    <t>HAWAIIAN SHAVE ICE INC HOUSEHOLD</t>
  </si>
  <si>
    <t>1221</t>
  </si>
  <si>
    <t>HALL FAMILY DAYCARE LLC HOUSEHOLD</t>
  </si>
  <si>
    <t>1223</t>
  </si>
  <si>
    <t>NORTHVIEW EQUIPMENT FINANCE LLC HOUSEHOLD</t>
  </si>
  <si>
    <t>1226</t>
  </si>
  <si>
    <t>LAPEER MAIN HOUSEHOLD</t>
  </si>
  <si>
    <t>1227</t>
  </si>
  <si>
    <t>AUGHTON ENTERPRISES HOUSEHOLD</t>
  </si>
  <si>
    <t>1228</t>
  </si>
  <si>
    <t>NK INTELLIGENT TRANSPORTATION HOUSEHOLD</t>
  </si>
  <si>
    <t>1229</t>
  </si>
  <si>
    <t>RED BARN HOUSEHOLD</t>
  </si>
  <si>
    <t>123</t>
  </si>
  <si>
    <t>MIKE OTTMAN ASPHALT PAVING LLC HOUSEHOLD</t>
  </si>
  <si>
    <t>1230</t>
  </si>
  <si>
    <t>DEK DELIVERY HOUSEHOLD</t>
  </si>
  <si>
    <t>1232</t>
  </si>
  <si>
    <t>AARONS FABRICATION HOUSEHOLD</t>
  </si>
  <si>
    <t>1233</t>
  </si>
  <si>
    <t>ANDYS QUALITY MARKET HOUSEHOLD</t>
  </si>
  <si>
    <t>660</t>
  </si>
  <si>
    <t>Mohamed Arfaoui</t>
  </si>
  <si>
    <t>1234</t>
  </si>
  <si>
    <t>APRIVA LLC HOUSEHOLD</t>
  </si>
  <si>
    <t>751</t>
  </si>
  <si>
    <t>Robyn Barrett</t>
  </si>
  <si>
    <t>1235</t>
  </si>
  <si>
    <t>TROPICAL MANAGEMENT HOLDING HOUSEHOLD</t>
  </si>
  <si>
    <t>620</t>
  </si>
  <si>
    <t>Tracey Brinkman</t>
  </si>
  <si>
    <t>1236</t>
  </si>
  <si>
    <t>WILLOWS EDGE HOUSEHOLD</t>
  </si>
  <si>
    <t>1237</t>
  </si>
  <si>
    <t>CORRY FABRICATION LLC HOUSEHOLD</t>
  </si>
  <si>
    <t>677</t>
  </si>
  <si>
    <t>Steve Tomasello</t>
  </si>
  <si>
    <t>1238</t>
  </si>
  <si>
    <t>CHRISTOPHER CAPITAL MANAGEMENT HOUSEHOLD</t>
  </si>
  <si>
    <t>1239</t>
  </si>
  <si>
    <t>ERC-LED LLC HOUSEHOLD</t>
  </si>
  <si>
    <t>1241</t>
  </si>
  <si>
    <t>CONNEXIONS DATA INC HOUSEHOLD</t>
  </si>
  <si>
    <t>1242</t>
  </si>
  <si>
    <t>IRONSIDE GROUP LLC HOUSEHOLD</t>
  </si>
  <si>
    <t>1245</t>
  </si>
  <si>
    <t>PAUL CULPEPPER HOUSEHOLD</t>
  </si>
  <si>
    <t>1247</t>
  </si>
  <si>
    <t>DMP SIGN CO. LLC HOUSEHOLD</t>
  </si>
  <si>
    <t>1249</t>
  </si>
  <si>
    <t>SERRA PRODUCE CO HOUSEHOLD</t>
  </si>
  <si>
    <t>550</t>
  </si>
  <si>
    <t>Scott McCurdy</t>
  </si>
  <si>
    <t>1253</t>
  </si>
  <si>
    <t>HADER (JIMMY) SHANGO HOUSEHOLD</t>
  </si>
  <si>
    <t>1254</t>
  </si>
  <si>
    <t>AMAR (MARK) SHANGO HOUSEHOLD</t>
  </si>
  <si>
    <t>1256</t>
  </si>
  <si>
    <t>KARAM (CARLOS) SHANGO HOUSEHOLD</t>
  </si>
  <si>
    <t>1257</t>
  </si>
  <si>
    <t>MANDI SHARIF SHANGO HOUSEHOLD</t>
  </si>
  <si>
    <t>1258</t>
  </si>
  <si>
    <t>OM GROUP HOUSEHOLD</t>
  </si>
  <si>
    <t>1259</t>
  </si>
  <si>
    <t>KNIGHTS TENT &amp; PARTY RENTAL LLC HOUSEHOLD</t>
  </si>
  <si>
    <t>126</t>
  </si>
  <si>
    <t>MORRIS VETERINARY SERVICES PC HOUSEHOLD</t>
  </si>
  <si>
    <t>1260</t>
  </si>
  <si>
    <t>SAROKIS CRISPY CHICKEN &amp; PIZZA HOUSEHOLD</t>
  </si>
  <si>
    <t>1261</t>
  </si>
  <si>
    <t>GPTM HOUSEHOLD</t>
  </si>
  <si>
    <t>1262</t>
  </si>
  <si>
    <t>BUCHAREST GRILL HOUSEHOLD</t>
  </si>
  <si>
    <t>1263</t>
  </si>
  <si>
    <t>COHEN HOUSEHOLD</t>
  </si>
  <si>
    <t>1264</t>
  </si>
  <si>
    <t>CUSTOM DECK CREATION LLC HOUSEHOLD</t>
  </si>
  <si>
    <t>1265</t>
  </si>
  <si>
    <t>MICHIGAN DANCE ALLIANCE HOUSEHOLD</t>
  </si>
  <si>
    <t>1266</t>
  </si>
  <si>
    <t>IMBRANDED HOUSEHOLD</t>
  </si>
  <si>
    <t>1267</t>
  </si>
  <si>
    <t>LONDON HOLDINGS LLC HOUSEHOLD</t>
  </si>
  <si>
    <t>1268</t>
  </si>
  <si>
    <t>SIGNS BY CRANNIE HOUSEHOLD</t>
  </si>
  <si>
    <t>1269</t>
  </si>
  <si>
    <t>VFS ENERGY SERVICES LLC HOUSEHOLD</t>
  </si>
  <si>
    <t>127</t>
  </si>
  <si>
    <t>OXFORD ADDISON YOUTH ASSISTANCE HOUSEHOLD</t>
  </si>
  <si>
    <t>1270</t>
  </si>
  <si>
    <t>PREMIER ACADEMY HOUSEHOLD</t>
  </si>
  <si>
    <t>1271</t>
  </si>
  <si>
    <t>REALSTONE SYSTEMS HOUSEHOLD</t>
  </si>
  <si>
    <t>1272</t>
  </si>
  <si>
    <t>LAKEWOOD DETROIT HOUSEHOLD</t>
  </si>
  <si>
    <t>1273</t>
  </si>
  <si>
    <t>SUSAN KOWAL HOUSEHOLD</t>
  </si>
  <si>
    <t>1274</t>
  </si>
  <si>
    <t>A TRAIN CO HOUSEHOLD</t>
  </si>
  <si>
    <t>1275</t>
  </si>
  <si>
    <t>STATE CRUSHING INC HOUSEHOLD</t>
  </si>
  <si>
    <t>1276</t>
  </si>
  <si>
    <t>MID AMERICA LODGING GROUP HOUSEHOLD</t>
  </si>
  <si>
    <t>1278</t>
  </si>
  <si>
    <t>ALLIED EQUIPMENT RENTAL INC HOUSEHOLD</t>
  </si>
  <si>
    <t>458</t>
  </si>
  <si>
    <t>Rachelle King</t>
  </si>
  <si>
    <t>1279</t>
  </si>
  <si>
    <t>OMAR AMMORI HOUSEHOLD</t>
  </si>
  <si>
    <t>1280</t>
  </si>
  <si>
    <t>PROLIFIC ENTERPRISES HOUSEHOLD</t>
  </si>
  <si>
    <t>1281</t>
  </si>
  <si>
    <t>D AND H GAS STATION HOUSEHOLD</t>
  </si>
  <si>
    <t>1282</t>
  </si>
  <si>
    <t>PREMIER HYDRAULICS LLC HOUSEHOLD</t>
  </si>
  <si>
    <t>1283</t>
  </si>
  <si>
    <t>STARS AND HONEY HOUSEHOLD</t>
  </si>
  <si>
    <t>1284</t>
  </si>
  <si>
    <t>TANOURY NAUTS MCKINNEY &amp; DWAIHY PLLC HOUSEHOLD</t>
  </si>
  <si>
    <t>1285</t>
  </si>
  <si>
    <t>STERLING ENGINE HOUSEHOLD</t>
  </si>
  <si>
    <t>1286</t>
  </si>
  <si>
    <t>STEVES PLUMBING AND HEATING LLC HOUSEHOLD</t>
  </si>
  <si>
    <t>1287</t>
  </si>
  <si>
    <t>ALL PRIME VAN BORN LLC HOUSEHOLD</t>
  </si>
  <si>
    <t>1288</t>
  </si>
  <si>
    <t>MOTOR CITY GRANITE LLC HOUSEHOLD</t>
  </si>
  <si>
    <t>1289</t>
  </si>
  <si>
    <t>AK STORE FIXTURES HOUSEHOLD</t>
  </si>
  <si>
    <t>1290</t>
  </si>
  <si>
    <t>GLAMBITIOUS LLC HOUSEHOLD</t>
  </si>
  <si>
    <t>1291</t>
  </si>
  <si>
    <t>HAMLIN COLLISION HOUSEHOLD</t>
  </si>
  <si>
    <t>1292</t>
  </si>
  <si>
    <t>MCLELLAN FINANCIAL MORTGAGE HOUSEHOLD</t>
  </si>
  <si>
    <t>1293</t>
  </si>
  <si>
    <t>SEVEN SUNDAYS COFFEE HOUSEHOLD</t>
  </si>
  <si>
    <t>1294</t>
  </si>
  <si>
    <t>ROCK HARBOR HOUSEHOLD</t>
  </si>
  <si>
    <t>1295</t>
  </si>
  <si>
    <t>DABAJA HOUSEHOLD</t>
  </si>
  <si>
    <t>1296</t>
  </si>
  <si>
    <t>UNION LAKE &amp; COMMERCE SAROKIS HOUSEHOLD</t>
  </si>
  <si>
    <t>1297</t>
  </si>
  <si>
    <t>BLUE LINE CO SARL HOUSEHOLD</t>
  </si>
  <si>
    <t>1298</t>
  </si>
  <si>
    <t>ROBINETTE SPEED SHOP LLC HOUSEHOLD</t>
  </si>
  <si>
    <t>1299</t>
  </si>
  <si>
    <t>ATESIAN PROPERTIES HOUSEHOLD</t>
  </si>
  <si>
    <t>13</t>
  </si>
  <si>
    <t>SECURE PLANNING HOUSEHOLD</t>
  </si>
  <si>
    <t>NORTH OAKS COMMUNITY CHURCH HOUSEHOLD</t>
  </si>
  <si>
    <t>1300</t>
  </si>
  <si>
    <t>MOTOR CITY SPINDLE HOUSEHOLD</t>
  </si>
  <si>
    <t>1301</t>
  </si>
  <si>
    <t>IGWT 13 LLC HOUSEHOLD</t>
  </si>
  <si>
    <t>1302</t>
  </si>
  <si>
    <t>HEART RHYTHM CLINIC OF MICHIGAN HOUSEHOLD</t>
  </si>
  <si>
    <t>1304</t>
  </si>
  <si>
    <t>423 MAIN PROPERTY LLC HOUSEHOLD</t>
  </si>
  <si>
    <t>1305</t>
  </si>
  <si>
    <t>CHARLES KNOLL HOUSEHOLD</t>
  </si>
  <si>
    <t>1306</t>
  </si>
  <si>
    <t>CTS TECHNICAL SERVICES INC HOUSEHOLD</t>
  </si>
  <si>
    <t>682</t>
  </si>
  <si>
    <t>Matthew Bacich</t>
  </si>
  <si>
    <t>1307</t>
  </si>
  <si>
    <t>JEMSTEEL SALES LLC HOUSEHOLD</t>
  </si>
  <si>
    <t>1308</t>
  </si>
  <si>
    <t>DRYDEN EXCAVATING HOUSEHOLD</t>
  </si>
  <si>
    <t>270</t>
  </si>
  <si>
    <t>Mary Cucinella</t>
  </si>
  <si>
    <t>1309</t>
  </si>
  <si>
    <t>JDB BOMMARITO INC HOUSEHOLD</t>
  </si>
  <si>
    <t>1310</t>
  </si>
  <si>
    <t>MULTI-FORM PLASTICS INC HOUSEHOLD</t>
  </si>
  <si>
    <t>1311</t>
  </si>
  <si>
    <t>9000 LEWISBURG HIGHWAY LLC HOUSEHOLD</t>
  </si>
  <si>
    <t>1312</t>
  </si>
  <si>
    <t>THE NEW BEGINING LLC HOUSEHOLD</t>
  </si>
  <si>
    <t>1313</t>
  </si>
  <si>
    <t>TURNAROUND MANAGEMENT ASSOCIATION HOUSEHOLD</t>
  </si>
  <si>
    <t>1314</t>
  </si>
  <si>
    <t>BEL RETAIL LLC HOUSEHOLD</t>
  </si>
  <si>
    <t>484</t>
  </si>
  <si>
    <t>Mark Diebel</t>
  </si>
  <si>
    <t>1316</t>
  </si>
  <si>
    <t>FLAMINGO ENTERPRISE LLC HOUSEHOLD</t>
  </si>
  <si>
    <t>1317</t>
  </si>
  <si>
    <t>SWETECH MEDICAL CENTER PC HOUSEHOLD</t>
  </si>
  <si>
    <t>1318</t>
  </si>
  <si>
    <t>VISTAS OF OAKLAND ASSOCIATION HOUSEHOLD</t>
  </si>
  <si>
    <t>1319</t>
  </si>
  <si>
    <t>BEYOND THE LABEL PLC HOUSEHOLD</t>
  </si>
  <si>
    <t>132</t>
  </si>
  <si>
    <t>ORION CONCRETE COMPANY HOUSEHOLD</t>
  </si>
  <si>
    <t>1320</t>
  </si>
  <si>
    <t>EQUITY WEST MICHIGAN LLC HOUSEHOLD</t>
  </si>
  <si>
    <t>1321</t>
  </si>
  <si>
    <t>J &amp; S DRYWALL LLC HOUSEHOLD</t>
  </si>
  <si>
    <t>133</t>
  </si>
  <si>
    <t>ORTONVILLE CEMETERY ASSOCIATION LLC HOUSEHOLD</t>
  </si>
  <si>
    <t>134</t>
  </si>
  <si>
    <t>OXFORD LAND COMPANY LLC HOUSEHOLD</t>
  </si>
  <si>
    <t>135</t>
  </si>
  <si>
    <t>OXFORD OAKS CONDOMINIUM ASSOCIATION HOUSEHOLD</t>
  </si>
  <si>
    <t>114</t>
  </si>
  <si>
    <t>Nickee Wirth</t>
  </si>
  <si>
    <t>136</t>
  </si>
  <si>
    <t>OXFORD REAL PROPERTIES LLC HOUSEHOLD</t>
  </si>
  <si>
    <t>137</t>
  </si>
  <si>
    <t>JULIE NASH FLANDERS HOUSEHOLD</t>
  </si>
  <si>
    <t>138</t>
  </si>
  <si>
    <t>QUALITYMAX LLC HOUSEHOLD</t>
  </si>
  <si>
    <t>14</t>
  </si>
  <si>
    <t>KINETIC SYSTEMS HOUSEHOLD</t>
  </si>
  <si>
    <t>140</t>
  </si>
  <si>
    <t>Red Knapps Inc Household</t>
  </si>
  <si>
    <t>141</t>
  </si>
  <si>
    <t>MPD WELDING INCORPORATED HOUSEHOLD</t>
  </si>
  <si>
    <t>142</t>
  </si>
  <si>
    <t>JUSTIN EVANS HOUSEHOLD</t>
  </si>
  <si>
    <t>143</t>
  </si>
  <si>
    <t>Redwood Household</t>
  </si>
  <si>
    <t>144</t>
  </si>
  <si>
    <t>L A DANCE INC HOUSEHOLD</t>
  </si>
  <si>
    <t>146</t>
  </si>
  <si>
    <t>Richard Card Household</t>
  </si>
  <si>
    <t>147</t>
  </si>
  <si>
    <t>Rochester Hills Stables Household</t>
  </si>
  <si>
    <t>148</t>
  </si>
  <si>
    <t>Rockworks LLC Household</t>
  </si>
  <si>
    <t>150</t>
  </si>
  <si>
    <t>PURE LANDSCAPE &amp; BRICK DESIGN HOUSEHOLD</t>
  </si>
  <si>
    <t>Sanan Shamoun Household</t>
  </si>
  <si>
    <t>152</t>
  </si>
  <si>
    <t>WU GOLDEN DRAGON RESTAURANT HOUSEHOLD</t>
  </si>
  <si>
    <t>153</t>
  </si>
  <si>
    <t>Schumacher Electric Inc Household</t>
  </si>
  <si>
    <t>156</t>
  </si>
  <si>
    <t>Smile Keepers PC Household</t>
  </si>
  <si>
    <t>16</t>
  </si>
  <si>
    <t>CREATIVE CUSTOM CONSTRUCTION LLC HOUSEHOLD</t>
  </si>
  <si>
    <t>161</t>
  </si>
  <si>
    <t>Sullivan Law Office LLC Household</t>
  </si>
  <si>
    <t>T &amp; T Tooling Household</t>
  </si>
  <si>
    <t>163</t>
  </si>
  <si>
    <t>TDM Household</t>
  </si>
  <si>
    <t>165</t>
  </si>
  <si>
    <t>Thomas Raymond Pytel Household</t>
  </si>
  <si>
    <t>166</t>
  </si>
  <si>
    <t>Titus Industries Inc Household</t>
  </si>
  <si>
    <t>167</t>
  </si>
  <si>
    <t>Treeside Psychological Clinic PC Household</t>
  </si>
  <si>
    <t>169</t>
  </si>
  <si>
    <t>Unity Church of Lake Orion Household</t>
  </si>
  <si>
    <t>17</t>
  </si>
  <si>
    <t>DIAMOND PRESS REPAIR INC HOUSEHOLD</t>
  </si>
  <si>
    <t>170</t>
  </si>
  <si>
    <t>VALLEY TENT RENTAL SERVICES INC HOUSEHOLD</t>
  </si>
  <si>
    <t>171</t>
  </si>
  <si>
    <t>Waterford Church of Christ Household</t>
  </si>
  <si>
    <t>172</t>
  </si>
  <si>
    <t>Williams Art Glass Studios Household</t>
  </si>
  <si>
    <t>174</t>
  </si>
  <si>
    <t>David Weckle Household</t>
  </si>
  <si>
    <t>175</t>
  </si>
  <si>
    <t>Dreadland Games LLC Household</t>
  </si>
  <si>
    <t>176</t>
  </si>
  <si>
    <t>PRENTICE PARTNERS HOUSEHOLD</t>
  </si>
  <si>
    <t>177</t>
  </si>
  <si>
    <t>Abbo-Thomas Investments LLC Household</t>
  </si>
  <si>
    <t>178</t>
  </si>
  <si>
    <t>STEVES OXFORD AUTOMOTIVE HOUSEHOLD</t>
  </si>
  <si>
    <t>179</t>
  </si>
  <si>
    <t>ABC ENTERPRISE INC HOUSEHOLD</t>
  </si>
  <si>
    <t>18</t>
  </si>
  <si>
    <t>ADDISON TOWNSHIP HOUSEHOLD</t>
  </si>
  <si>
    <t>180</t>
  </si>
  <si>
    <t>WOODWARD FIT CLUB LLC HOUSEHOLD</t>
  </si>
  <si>
    <t>181</t>
  </si>
  <si>
    <t>SHERMAN PUBLICATIONS HOUSEHOLD</t>
  </si>
  <si>
    <t>182</t>
  </si>
  <si>
    <t>RICHARD C BOLTEN DDS PC HOUSEHOLD</t>
  </si>
  <si>
    <t>183</t>
  </si>
  <si>
    <t>BR SOLUTIONS LLC HOUSEHOLD</t>
  </si>
  <si>
    <t>185</t>
  </si>
  <si>
    <t>Asad Malik Household</t>
  </si>
  <si>
    <t>186</t>
  </si>
  <si>
    <t>BAYLIS ANIMAL HOSPITAL PLLC HOUSEHOLD</t>
  </si>
  <si>
    <t>187</t>
  </si>
  <si>
    <t>BRANDON TOWNSHIP HOUSEHOLD</t>
  </si>
  <si>
    <t>189</t>
  </si>
  <si>
    <t>BASKETBALL AMERICA INC HOUSEHOLD</t>
  </si>
  <si>
    <t>19</t>
  </si>
  <si>
    <t>MATTHEW W HETTLE MD PLLC HOUSEHOLD</t>
  </si>
  <si>
    <t>190</t>
  </si>
  <si>
    <t>Cornflower Properties LLC Household</t>
  </si>
  <si>
    <t>191</t>
  </si>
  <si>
    <t>Crossroads for Youth Household</t>
  </si>
  <si>
    <t>192</t>
  </si>
  <si>
    <t>Dusty's Collision Household</t>
  </si>
  <si>
    <t>193</t>
  </si>
  <si>
    <t>GREEN STREET GROUP LLC HOUSEHOLD</t>
  </si>
  <si>
    <t>195</t>
  </si>
  <si>
    <t>2 SOUTH BRUNCH HOUSE LLC HOUSEHOLD</t>
  </si>
  <si>
    <t>196</t>
  </si>
  <si>
    <t>2911 HUMMER LLC HOUSEHOLD</t>
  </si>
  <si>
    <t>198</t>
  </si>
  <si>
    <t>Hartt Properties LLC Household</t>
  </si>
  <si>
    <t>199</t>
  </si>
  <si>
    <t>Heimdoll Holdings Inc Household</t>
  </si>
  <si>
    <t>2</t>
  </si>
  <si>
    <t>DCC Development Corporation Household</t>
  </si>
  <si>
    <t>20</t>
  </si>
  <si>
    <t>UPLAND HILLS FARMS HOUSEHOLD</t>
  </si>
  <si>
    <t>200</t>
  </si>
  <si>
    <t>544 STUDIO LLC HOUSEHOLD</t>
  </si>
  <si>
    <t>201</t>
  </si>
  <si>
    <t>Indianwood Golf &amp; Country Club Inc Household</t>
  </si>
  <si>
    <t>202</t>
  </si>
  <si>
    <t>RED OAK ENTERPRISES HOUSEHOLD</t>
  </si>
  <si>
    <t>203</t>
  </si>
  <si>
    <t>Joseph Saigh Household</t>
  </si>
  <si>
    <t>204</t>
  </si>
  <si>
    <t>PYRAMID INTERIORS INC HOUSEHOLD</t>
  </si>
  <si>
    <t>205</t>
  </si>
  <si>
    <t>MARK B PICHE HOUSEHOLD</t>
  </si>
  <si>
    <t>206</t>
  </si>
  <si>
    <t>1ST CLASS APPLIANCE INC HOUSEHOLD</t>
  </si>
  <si>
    <t>207</t>
  </si>
  <si>
    <t>Lajari Properties LLC Household</t>
  </si>
  <si>
    <t>208</t>
  </si>
  <si>
    <t>NASH COMMERCIAL PROPERTIES LLC HOUSEHOLD</t>
  </si>
  <si>
    <t>209</t>
  </si>
  <si>
    <t>LANE AUTO AUCTION LLC HOUSEHOLD</t>
  </si>
  <si>
    <t>21</t>
  </si>
  <si>
    <t>GREGORY J GOSSICK DDS PC HOUSEHOLD</t>
  </si>
  <si>
    <t>211</t>
  </si>
  <si>
    <t>Frankie Roye Household</t>
  </si>
  <si>
    <t>213</t>
  </si>
  <si>
    <t>Shamrock Automotive Household</t>
  </si>
  <si>
    <t>214</t>
  </si>
  <si>
    <t>SOTA TECHNOLOGY INC HOUSEHOLD</t>
  </si>
  <si>
    <t>216</t>
  </si>
  <si>
    <t>FIRST BAPTIST CHURCH OF OXFORD HOUSEHOLD</t>
  </si>
  <si>
    <t>217</t>
  </si>
  <si>
    <t>OXFORD COMMUNITY SCHOOLS HOUSEHOLD</t>
  </si>
  <si>
    <t>218</t>
  </si>
  <si>
    <t>VILLAGE OF DRYDEN HOUSEHOLD</t>
  </si>
  <si>
    <t>22</t>
  </si>
  <si>
    <t>ORION-OXF MOTHER &amp; UNBORN BABY CARE HOUSEHOLD</t>
  </si>
  <si>
    <t>220</t>
  </si>
  <si>
    <t>Wills Family Chiropractic Inc Household</t>
  </si>
  <si>
    <t>221</t>
  </si>
  <si>
    <t>Windemere East Apartments LLC Household</t>
  </si>
  <si>
    <t>222</t>
  </si>
  <si>
    <t>VAUGHN CUSTOM SPORTS HOUSEHOLD</t>
  </si>
  <si>
    <t>223</t>
  </si>
  <si>
    <t>VILLAGE OF LAKE ORION HOUSEHOLD</t>
  </si>
  <si>
    <t>224</t>
  </si>
  <si>
    <t>VILLAGE OF OXFORD HOUSEHOLD</t>
  </si>
  <si>
    <t>225</t>
  </si>
  <si>
    <t>WOJOS GREENHOUSES &amp; FARM INC HOUSEHOLD</t>
  </si>
  <si>
    <t>227</t>
  </si>
  <si>
    <t>VICTORIAS DELIGHTS INC HOUSEHOLD</t>
  </si>
  <si>
    <t>228</t>
  </si>
  <si>
    <t>ZANDER COLLOIDS LC HOUSEHOLD</t>
  </si>
  <si>
    <t>229</t>
  </si>
  <si>
    <t>BETHANY PENTECOST TABERNACLE HOUSEHOLD</t>
  </si>
  <si>
    <t>23</t>
  </si>
  <si>
    <t>CDS Holding Company LLC Household</t>
  </si>
  <si>
    <t>230</t>
  </si>
  <si>
    <t>CHARTER TOWNSHIP OF SPRINGFIELD HOUSEHOLD</t>
  </si>
  <si>
    <t>231</t>
  </si>
  <si>
    <t>COLOMBIERE CENTER HOUSEHOLD</t>
  </si>
  <si>
    <t>232</t>
  </si>
  <si>
    <t>Palo Alto Household</t>
  </si>
  <si>
    <t>233</t>
  </si>
  <si>
    <t>RKD REAL ESTATE LLC HOUSEHOLD</t>
  </si>
  <si>
    <t>234</t>
  </si>
  <si>
    <t>DAVISON BFE LLC DBA SUSANS HALLMARK HOUSEHOLD</t>
  </si>
  <si>
    <t>235</t>
  </si>
  <si>
    <t>ELVIN BROTHERS INC HOUSEHOLD</t>
  </si>
  <si>
    <t>236</t>
  </si>
  <si>
    <t>COMEAU EQUIPMENT HOUSEHOLD</t>
  </si>
  <si>
    <t>237</t>
  </si>
  <si>
    <t>GREAT LAKES ELITE GYMNASTICS INC HOUSEHOLD</t>
  </si>
  <si>
    <t>239</t>
  </si>
  <si>
    <t>Hosler Mechanical Inc Household</t>
  </si>
  <si>
    <t>240</t>
  </si>
  <si>
    <t>JOHN P BLAKE DDS PC HOUSEHOLD</t>
  </si>
  <si>
    <t>241</t>
  </si>
  <si>
    <t>DRAYTON PLAINS DAIRY QUEEN INC HOUSEHOLD</t>
  </si>
  <si>
    <t>242</t>
  </si>
  <si>
    <t>DAVES ELECTRIC SERVICES INC HOUSEHOLD</t>
  </si>
  <si>
    <t>243</t>
  </si>
  <si>
    <t>JEFFREY W DOUGLAS DBA IDEAL CARPENTRY HOUSEHOLD</t>
  </si>
  <si>
    <t>245</t>
  </si>
  <si>
    <t>THE FIRST BAPTIST CHURCH OF LAKE ORION HOUSEHOLD</t>
  </si>
  <si>
    <t>246</t>
  </si>
  <si>
    <t>OXFORD WILDCAT BOOSTER CLUB HOUSEHOLD</t>
  </si>
  <si>
    <t>247</t>
  </si>
  <si>
    <t>RIVAL INSULATION LLC HOUSEHOLD</t>
  </si>
  <si>
    <t>248</t>
  </si>
  <si>
    <t>ROAD MAINTENANCE CORP HOUSEHOLD</t>
  </si>
  <si>
    <t>249</t>
  </si>
  <si>
    <t>Safe N Simple LLC Household</t>
  </si>
  <si>
    <t>25</t>
  </si>
  <si>
    <t>CENTURY TRUCKING HOUSEHOLD</t>
  </si>
  <si>
    <t>250</t>
  </si>
  <si>
    <t>BEDROCK EXPRESS LTD HOUSEHOLD</t>
  </si>
  <si>
    <t>AUTHORITY CUSTOMWEAR HOUSEHOLD</t>
  </si>
  <si>
    <t>252</t>
  </si>
  <si>
    <t>BRENDA M ORLANDO CPA PC HOUSEHOLD</t>
  </si>
  <si>
    <t>254</t>
  </si>
  <si>
    <t>ASHCOM TECHNOLOGIES INC HOUSEHOLD</t>
  </si>
  <si>
    <t>255</t>
  </si>
  <si>
    <t>CONLEY MANUFACTURING INC HOUSEHOLD</t>
  </si>
  <si>
    <t>256</t>
  </si>
  <si>
    <t>CITY STEEL INC HOUSEHOLD</t>
  </si>
  <si>
    <t>257</t>
  </si>
  <si>
    <t>Dianne &amp; Craig Lemieux Household</t>
  </si>
  <si>
    <t>258</t>
  </si>
  <si>
    <t>CHRISTINE H STEPHENS PLLC HOUSEHOLD</t>
  </si>
  <si>
    <t>259</t>
  </si>
  <si>
    <t>Family Pet Practice Household</t>
  </si>
  <si>
    <t>260</t>
  </si>
  <si>
    <t>FLEX DEX INC HOUSEHOLD</t>
  </si>
  <si>
    <t>261</t>
  </si>
  <si>
    <t>CLARKSTON AREA CHAMBER OF COMMERCE HOUSEHOLD</t>
  </si>
  <si>
    <t>263</t>
  </si>
  <si>
    <t>Hydro Depot Household</t>
  </si>
  <si>
    <t>264</t>
  </si>
  <si>
    <t>MANCUSO FLORISTS INC HOUSEHOLD</t>
  </si>
  <si>
    <t>265</t>
  </si>
  <si>
    <t>OXFORD UNITED METHODIST CHURCH HOUSEHOLD</t>
  </si>
  <si>
    <t>266</t>
  </si>
  <si>
    <t>OAKLAND ELECTRIC INC HOUSEHOLD</t>
  </si>
  <si>
    <t>267</t>
  </si>
  <si>
    <t>RGP Inc Household</t>
  </si>
  <si>
    <t>268</t>
  </si>
  <si>
    <t>R &amp; R EARTHMOVERS INC HOUSEHOLD</t>
  </si>
  <si>
    <t>269</t>
  </si>
  <si>
    <t>R B AND SONS INC HOUSEHOLD</t>
  </si>
  <si>
    <t>27</t>
  </si>
  <si>
    <t>CLARKSTON AUTO WASH HOUSEHOLD</t>
  </si>
  <si>
    <t>PRAIN TOOLING INC HOUSEHOLD</t>
  </si>
  <si>
    <t>OXFORD TOWNSHIP HOUSEHOLD</t>
  </si>
  <si>
    <t>272</t>
  </si>
  <si>
    <t>PMH SALES INC HOUSEHOLD</t>
  </si>
  <si>
    <t>273</t>
  </si>
  <si>
    <t>S&amp;R Equipment Rentals LLC Household</t>
  </si>
  <si>
    <t>274</t>
  </si>
  <si>
    <t>STARR INVESTMENTS LLC HOUSEHOLD</t>
  </si>
  <si>
    <t>275</t>
  </si>
  <si>
    <t>Sobh Properties LLC Household</t>
  </si>
  <si>
    <t>276</t>
  </si>
  <si>
    <t>SUMAN FAMILY ENTERPRISES HOUSEHOLD</t>
  </si>
  <si>
    <t>277</t>
  </si>
  <si>
    <t>OXFORD LABORATORIES INC HOUSEHOLD</t>
  </si>
  <si>
    <t>278</t>
  </si>
  <si>
    <t>GERALD E JENKINS DBA TURNTECH INDUSTRIES HOUSEHOLD</t>
  </si>
  <si>
    <t>279</t>
  </si>
  <si>
    <t>T M Shea Products Inc Household</t>
  </si>
  <si>
    <t>28</t>
  </si>
  <si>
    <t>COLLIER LANES HOUSEHOLD</t>
  </si>
  <si>
    <t>280</t>
  </si>
  <si>
    <t>VILLAGE OF LEONARD HOUSEHOLD</t>
  </si>
  <si>
    <t>281</t>
  </si>
  <si>
    <t>BARKHAM FAMILY ENTERPRISES HOUSEHOLD</t>
  </si>
  <si>
    <t>282</t>
  </si>
  <si>
    <t>Beacon Park Finishing Household</t>
  </si>
  <si>
    <t>283</t>
  </si>
  <si>
    <t>OLD OAK VENTURES INC HOUSEHOLD</t>
  </si>
  <si>
    <t>284</t>
  </si>
  <si>
    <t>BRADLEY SCHICK DBA STACO RESOURCES LLC HOUSEHOLD</t>
  </si>
  <si>
    <t>285</t>
  </si>
  <si>
    <t>Bint Jebail Cultural Center Household</t>
  </si>
  <si>
    <t>286</t>
  </si>
  <si>
    <t>Bradford Academy Household</t>
  </si>
  <si>
    <t>287</t>
  </si>
  <si>
    <t>CMG Partners PC Household</t>
  </si>
  <si>
    <t>288</t>
  </si>
  <si>
    <t>Davis and Davis Household</t>
  </si>
  <si>
    <t>289</t>
  </si>
  <si>
    <t>DENISE J SEIFFERLEIN DBA D'AVIGNON HOUSEHOLD</t>
  </si>
  <si>
    <t>29</t>
  </si>
  <si>
    <t>PINE KNOB VILLAGE ASSOC HOUSEHOLD</t>
  </si>
  <si>
    <t>290</t>
  </si>
  <si>
    <t>CHRISTINE M SAAD DDS PC HOUSEHOLD</t>
  </si>
  <si>
    <t>293</t>
  </si>
  <si>
    <t>JASON HAMAMA HOUSEHOLD</t>
  </si>
  <si>
    <t>294</t>
  </si>
  <si>
    <t>J E DIXON INC HOUSEHOLD</t>
  </si>
  <si>
    <t>295</t>
  </si>
  <si>
    <t>KINGSBURY SCHOOL INC HOUSEHOLD</t>
  </si>
  <si>
    <t>296</t>
  </si>
  <si>
    <t>ORION NEIGHBORHOOD TELEVISION CORP HOUSEHOLD</t>
  </si>
  <si>
    <t>297</t>
  </si>
  <si>
    <t>PLYMOUTH EDUCATIONAL CTR CHARTER SCH HOUSEHOLD</t>
  </si>
  <si>
    <t>298</t>
  </si>
  <si>
    <t>ALI K NASSER - JOHN AND FORD INVESTMENTS HOUSEHOLD</t>
  </si>
  <si>
    <t>3</t>
  </si>
  <si>
    <t>North Oakland Dental Group Household</t>
  </si>
  <si>
    <t>30</t>
  </si>
  <si>
    <t>CLARKSTON AREA YOUTH ASSIST COMMITTEE HOUSEHOLD</t>
  </si>
  <si>
    <t>301</t>
  </si>
  <si>
    <t>Smidi Real Estate LLC Household</t>
  </si>
  <si>
    <t>302</t>
  </si>
  <si>
    <t>ORION WAR MEMORIAL INC HOUSEHOLD</t>
  </si>
  <si>
    <t>304</t>
  </si>
  <si>
    <t>J S RENTALS LLC HOUSEHOLD</t>
  </si>
  <si>
    <t>306</t>
  </si>
  <si>
    <t>PALETTE BUILDERS INC HOUSEHOLD</t>
  </si>
  <si>
    <t>309</t>
  </si>
  <si>
    <t>VILLAGE OF ORTONVILLE HOUSEHOLD</t>
  </si>
  <si>
    <t>31</t>
  </si>
  <si>
    <t>E 8 S PROPERTIES LLC HOUSEHOLD</t>
  </si>
  <si>
    <t>310</t>
  </si>
  <si>
    <t>Ashh Inc DBA Ooze -Household</t>
  </si>
  <si>
    <t>311</t>
  </si>
  <si>
    <t>Bradley Thompson Tool Household</t>
  </si>
  <si>
    <t>312</t>
  </si>
  <si>
    <t>CONGREGATION OF THE SERVANTS HOUSEHOLD</t>
  </si>
  <si>
    <t>313</t>
  </si>
  <si>
    <t>Lighthouse Electrical Service Household</t>
  </si>
  <si>
    <t>314</t>
  </si>
  <si>
    <t>Dallas International LLC Household</t>
  </si>
  <si>
    <t>652</t>
  </si>
  <si>
    <t>Bryan Ford</t>
  </si>
  <si>
    <t>315</t>
  </si>
  <si>
    <t>DCT Aviation LLC Household</t>
  </si>
  <si>
    <t>316</t>
  </si>
  <si>
    <t>PROTECTOR WINDOW &amp; DOOR INC HOUSEHOLD</t>
  </si>
  <si>
    <t>319</t>
  </si>
  <si>
    <t>JUST A FOLLY FARM HOUSEHOLD</t>
  </si>
  <si>
    <t>32</t>
  </si>
  <si>
    <t>Foxwoode Group LLC Household</t>
  </si>
  <si>
    <t>320</t>
  </si>
  <si>
    <t>INSTANT MAINTENANCE INC HOUSEHOLD</t>
  </si>
  <si>
    <t>323</t>
  </si>
  <si>
    <t>MERRIFIELD MACHINERY SOLUTIONS INC HOUSEHOLD</t>
  </si>
  <si>
    <t>324</t>
  </si>
  <si>
    <t>KARENS OXFORD FROSTY BOY LLC HOUSEHOLD</t>
  </si>
  <si>
    <t>325</t>
  </si>
  <si>
    <t>KOLANO &amp; SAHA ENGINEERS INC HOUSEHOLD</t>
  </si>
  <si>
    <t>327</t>
  </si>
  <si>
    <t>MELMAR INDUSTRIAL PARK HOUSEHOLD</t>
  </si>
  <si>
    <t>328</t>
  </si>
  <si>
    <t>MADELINE TURNER DO PC HOUSEHOLD</t>
  </si>
  <si>
    <t>329</t>
  </si>
  <si>
    <t>GOLDEN MEADOWS PHOTOGRAPHY HOUSEHOLD</t>
  </si>
  <si>
    <t>33</t>
  </si>
  <si>
    <t>Haytham Beshi Household</t>
  </si>
  <si>
    <t>331</t>
  </si>
  <si>
    <t>MRM Construction LLC Household</t>
  </si>
  <si>
    <t>332</t>
  </si>
  <si>
    <t>MUNK &amp; ASSOCIATES ORTHODONTICS PLLC HOUSEHOLD</t>
  </si>
  <si>
    <t>333</t>
  </si>
  <si>
    <t>M &amp; L INVESTORS LLC HOUSEHOLD</t>
  </si>
  <si>
    <t>334</t>
  </si>
  <si>
    <t>MATADOR FARM LLC HOUSEHOLD</t>
  </si>
  <si>
    <t>335</t>
  </si>
  <si>
    <t>Northern Plastics Inc Household</t>
  </si>
  <si>
    <t>336</t>
  </si>
  <si>
    <t>ON THE MARK LASER LLC HOUSEHOLD</t>
  </si>
  <si>
    <t>337</t>
  </si>
  <si>
    <t>PLH PROPERTIES LLC HOUSEHOLD</t>
  </si>
  <si>
    <t>34</t>
  </si>
  <si>
    <t>HD Sealcoating Household</t>
  </si>
  <si>
    <t>341</t>
  </si>
  <si>
    <t>Roseys Romper Room Inc Household</t>
  </si>
  <si>
    <t>342</t>
  </si>
  <si>
    <t>REINA CORPORATION HOUSEHOLD</t>
  </si>
  <si>
    <t>343</t>
  </si>
  <si>
    <t>SKALNEK FORD INC HOUSEHOLD</t>
  </si>
  <si>
    <t>345</t>
  </si>
  <si>
    <t>PATTI ENGINEERING INC HOUSEHOLD</t>
  </si>
  <si>
    <t>346</t>
  </si>
  <si>
    <t>ORION CHURCH OF CHRIST HOUSEHOLD</t>
  </si>
  <si>
    <t>347</t>
  </si>
  <si>
    <t>PKSA CLARKSTON LLC HOUSEHOLD</t>
  </si>
  <si>
    <t>348</t>
  </si>
  <si>
    <t>SUPERIOR DESIGNS INC HOUSEHOLD</t>
  </si>
  <si>
    <t>349</t>
  </si>
  <si>
    <t>SMOKERS OUTLET / WILD BILLS HOUSEHOLD</t>
  </si>
  <si>
    <t>35</t>
  </si>
  <si>
    <t>TOM EDWARDS HEATING &amp; COOLING INC HOUSEHOLD</t>
  </si>
  <si>
    <t>350</t>
  </si>
  <si>
    <t>ST CLARE &amp; IMLAY PROPERTIES LLC HOUSEHOLD</t>
  </si>
  <si>
    <t>351</t>
  </si>
  <si>
    <t>ORION ART CENTER HOUSEHOLD</t>
  </si>
  <si>
    <t>352</t>
  </si>
  <si>
    <t>ORION OXFORD DANCE ARTS LLC HOUSEHOLD</t>
  </si>
  <si>
    <t>353</t>
  </si>
  <si>
    <t>GENERAL FEDERATION OF WOMENS CLUBS HOUSEHOLD</t>
  </si>
  <si>
    <t>354</t>
  </si>
  <si>
    <t>EDWARD ROONEY DBA ROONEY CONSTRUCTION HOUSEHOLD</t>
  </si>
  <si>
    <t>355</t>
  </si>
  <si>
    <t>KNIGHTS OF COLUMBUS HOUSEHOLD</t>
  </si>
  <si>
    <t>356</t>
  </si>
  <si>
    <t>GOLLING LEVY AVIATION INC HOUSEHOLD</t>
  </si>
  <si>
    <t>357</t>
  </si>
  <si>
    <t>J &amp; D ELECTRIC INC HOUSEHOLD</t>
  </si>
  <si>
    <t>358</t>
  </si>
  <si>
    <t>CHIRILLO &amp; RASMUSSEN REAL ESTATE LLC HOUSEHOLD</t>
  </si>
  <si>
    <t>359</t>
  </si>
  <si>
    <t>KRAJENKE COMPUTER SERVICE LLC HOUSEHOLD</t>
  </si>
  <si>
    <t>36</t>
  </si>
  <si>
    <t>SQUARE LAKE CEMETERY ASSOC HOUSEHOLD</t>
  </si>
  <si>
    <t>360</t>
  </si>
  <si>
    <t>ST CORNELIUS CATHOLIC CHURCH HOUSEHOLD</t>
  </si>
  <si>
    <t>361</t>
  </si>
  <si>
    <t>SUBURBAN TOOL HOUSEHOLD</t>
  </si>
  <si>
    <t>362</t>
  </si>
  <si>
    <t>ST JOHNS EPISCOPAL CHURCH HOUSEHOLD</t>
  </si>
  <si>
    <t>363</t>
  </si>
  <si>
    <t>THOMPSON FAMILY FOUNDATION HOUSEHOLD</t>
  </si>
  <si>
    <t>364</t>
  </si>
  <si>
    <t>TENAGLIA CONSTRUCTION HOUSEHOLD</t>
  </si>
  <si>
    <t>365</t>
  </si>
  <si>
    <t>TUSON ELECTRIC INC HOUSEHOLD</t>
  </si>
  <si>
    <t>366</t>
  </si>
  <si>
    <t>THON GLOBAL SALES INC HOUSEHOLD</t>
  </si>
  <si>
    <t>367</t>
  </si>
  <si>
    <t>The Productivity Team LLC Household</t>
  </si>
  <si>
    <t>368</t>
  </si>
  <si>
    <t>DRYDEN COMMUNITY SCHOOLS HOUSEHOLD</t>
  </si>
  <si>
    <t>369</t>
  </si>
  <si>
    <t>OXFORD PUBLIC LIBRARY HOUSEHOLD</t>
  </si>
  <si>
    <t>370</t>
  </si>
  <si>
    <t>VENUS INVESTMENTS INC HOUSEHOLD</t>
  </si>
  <si>
    <t>371</t>
  </si>
  <si>
    <t>WEIR FABRICATION LLC HOUSEHOLD</t>
  </si>
  <si>
    <t>372</t>
  </si>
  <si>
    <t>SISTERS OF MOUNT THABOR HOUSEHOLD</t>
  </si>
  <si>
    <t>373</t>
  </si>
  <si>
    <t>CARBIDE TOOLING SUPPLY CO HOUSEHOLD</t>
  </si>
  <si>
    <t>374</t>
  </si>
  <si>
    <t>CLEARWATER CAMPGROUND HOUSEHOLD</t>
  </si>
  <si>
    <t>375</t>
  </si>
  <si>
    <t>VIKTOR PALJUSAJ HOUSEHOLD</t>
  </si>
  <si>
    <t>376</t>
  </si>
  <si>
    <t>WILLIAM RZADKOWOLSKI &amp; ENTERPRISES HOUSEHOLD</t>
  </si>
  <si>
    <t>379</t>
  </si>
  <si>
    <t>EQUITY SOLUTIONS HOUSEHOLD</t>
  </si>
  <si>
    <t>38</t>
  </si>
  <si>
    <t>JDJ Oak LLC Household</t>
  </si>
  <si>
    <t>380</t>
  </si>
  <si>
    <t>KHI COIL PROCESSING INC HOUSEHOLD</t>
  </si>
  <si>
    <t>381</t>
  </si>
  <si>
    <t>ADRIAN REAL ESTATE HOLDING HOUSEHOLD</t>
  </si>
  <si>
    <t>382</t>
  </si>
  <si>
    <t>LUCKYS NATURAL FOODS LLC HOUSEHOLD</t>
  </si>
  <si>
    <t>383</t>
  </si>
  <si>
    <t>Anglin Civil LLC Household</t>
  </si>
  <si>
    <t>384</t>
  </si>
  <si>
    <t>Platinum Processing Services Household</t>
  </si>
  <si>
    <t>386</t>
  </si>
  <si>
    <t>BARD INC HOUSEHOLD</t>
  </si>
  <si>
    <t>387</t>
  </si>
  <si>
    <t>BENEDICTINES OF DETROIT INC HOUSEHOLD</t>
  </si>
  <si>
    <t>388</t>
  </si>
  <si>
    <t>BUCCELLATO HOUSEHOLD</t>
  </si>
  <si>
    <t>389</t>
  </si>
  <si>
    <t>COURT STREET HOLDING LLC HOUSEHOLD</t>
  </si>
  <si>
    <t>39</t>
  </si>
  <si>
    <t>ISLAND POINT BUILDING CO INC HOUSEHOLD</t>
  </si>
  <si>
    <t>390</t>
  </si>
  <si>
    <t>COUNTRY HOME CREATIONS INC HOUSEHOLD</t>
  </si>
  <si>
    <t>391</t>
  </si>
  <si>
    <t>CROSSROADS BIBLE CHURCH HOUSEHOLD</t>
  </si>
  <si>
    <t>392</t>
  </si>
  <si>
    <t>LAURA L SIMONS ATTN AT LAW HOUSEHOLD</t>
  </si>
  <si>
    <t>393</t>
  </si>
  <si>
    <t>DRYDEN TOWNSHIP HOUSEHOLD</t>
  </si>
  <si>
    <t>394</t>
  </si>
  <si>
    <t>DALE &amp; NINA INS AGENCY INC HOUSEHOLD</t>
  </si>
  <si>
    <t>395</t>
  </si>
  <si>
    <t>D &amp; EC LTD HOUSEHOLD</t>
  </si>
  <si>
    <t>396</t>
  </si>
  <si>
    <t>Go Blue Ventures LLC Household</t>
  </si>
  <si>
    <t>397</t>
  </si>
  <si>
    <t>DBA HAWKINS CREATIVE TILE HOUSEHOLD</t>
  </si>
  <si>
    <t>398</t>
  </si>
  <si>
    <t>CERT RESTORATION DRYCLEANING NETWORK LLC HOUSEHOLD</t>
  </si>
  <si>
    <t>399</t>
  </si>
  <si>
    <t>BYERS WRECKER SERVICE INC HOUSEHOLD</t>
  </si>
  <si>
    <t>4</t>
  </si>
  <si>
    <t>ACTION PAINTING RESTORATIONS LLC HOUSEHOLD</t>
  </si>
  <si>
    <t>40</t>
  </si>
  <si>
    <t>KENNEDY SURVEYING INC HOUSEHOLD</t>
  </si>
  <si>
    <t>400</t>
  </si>
  <si>
    <t>GREGORY KAER &amp; ENTERPRISES HOUSEHOLD</t>
  </si>
  <si>
    <t>401</t>
  </si>
  <si>
    <t>EAST RIVER ORGANIC FARM LLC HOUSEHOLD</t>
  </si>
  <si>
    <t>402</t>
  </si>
  <si>
    <t>EAGLEQUEST HOUSEHOLD</t>
  </si>
  <si>
    <t>404</t>
  </si>
  <si>
    <t>EVALUATION &amp; PERFORMANCE SOLUTIONS INC HOUSEHOLD</t>
  </si>
  <si>
    <t>405</t>
  </si>
  <si>
    <t>E AND T TRANSPORT HOUSEHOLD</t>
  </si>
  <si>
    <t>407</t>
  </si>
  <si>
    <t>FALCON LAWN SPRINKLER INC HOUSEHOLD</t>
  </si>
  <si>
    <t>408</t>
  </si>
  <si>
    <t>Ethos Human Performance Household</t>
  </si>
  <si>
    <t>409</t>
  </si>
  <si>
    <t>FOREST GREEN LAWN SERVICES HOUSEHOLD</t>
  </si>
  <si>
    <t>41</t>
  </si>
  <si>
    <t>Kenneth Galazin Household</t>
  </si>
  <si>
    <t>411</t>
  </si>
  <si>
    <t>FADI BAZZI &amp; ENTERPRISES HOUSEHOLD</t>
  </si>
  <si>
    <t>412</t>
  </si>
  <si>
    <t>EMTERRA ENVIRONMENTAL USA CORP HOUSEHOLD</t>
  </si>
  <si>
    <t>413</t>
  </si>
  <si>
    <t>DIVERGENCE ENTERTAINMENT LLC HOUSEHOLD</t>
  </si>
  <si>
    <t>414</t>
  </si>
  <si>
    <t>FAMILY TREE LANDSCAPE LLC HOUSEHOLD</t>
  </si>
  <si>
    <t>415</t>
  </si>
  <si>
    <t>FLEMING WELL DRILLING HOUSEHOLD</t>
  </si>
  <si>
    <t>416</t>
  </si>
  <si>
    <t>DAVISON &amp; MAIN ST FAMILY RESTAURANTS INC HOUSEHOLD</t>
  </si>
  <si>
    <t>417</t>
  </si>
  <si>
    <t>DAFOES LLC HOUSEHOLD</t>
  </si>
  <si>
    <t>418</t>
  </si>
  <si>
    <t>JTD Enterprises Inc Household</t>
  </si>
  <si>
    <t>419</t>
  </si>
  <si>
    <t>KANTO GJOLAJ DBA KENS CONEY ISLAND HOUSEHOLD</t>
  </si>
  <si>
    <t>42</t>
  </si>
  <si>
    <t>PREMIER AQUARIA INC HOUSEHOLD</t>
  </si>
  <si>
    <t>420</t>
  </si>
  <si>
    <t>KINGSBURY COUNTRY DAY SCHOOL HOUSEHOLD</t>
  </si>
  <si>
    <t>421</t>
  </si>
  <si>
    <t>MOTOR CITY PAWN BROKERS INC HOUSEHOLD</t>
  </si>
  <si>
    <t>422</t>
  </si>
  <si>
    <t>DIRECT AUTOMATION INC HOUSEHOLD</t>
  </si>
  <si>
    <t>JEFFREY G HARRELL BUILDER HOUSEHOLD</t>
  </si>
  <si>
    <t>424</t>
  </si>
  <si>
    <t>LAKE ORION LUMBER COMPANY HOUSEHOLD</t>
  </si>
  <si>
    <t>425</t>
  </si>
  <si>
    <t>ST JOSEPH CHURCH HOUSEHOLD</t>
  </si>
  <si>
    <t>426</t>
  </si>
  <si>
    <t>Paul Dudgeon Household</t>
  </si>
  <si>
    <t>427</t>
  </si>
  <si>
    <t>NORTH OAKLAND TRANSPORTATION AUTHORITY HOUSEHOLD</t>
  </si>
  <si>
    <t>428</t>
  </si>
  <si>
    <t>PROFESSIONAL BUSINESS COACHING INC HOUSEHOLD</t>
  </si>
  <si>
    <t>429</t>
  </si>
  <si>
    <t>RISON CONSTRUCTION LLC HOUSEHOLD</t>
  </si>
  <si>
    <t>43</t>
  </si>
  <si>
    <t>LASER CRAFT LC HOUSEHOLD</t>
  </si>
  <si>
    <t>430</t>
  </si>
  <si>
    <t>MICHAEL MCQUADE HOUSEHOLD</t>
  </si>
  <si>
    <t>431</t>
  </si>
  <si>
    <t>Randazzo Properties LLC Household</t>
  </si>
  <si>
    <t>432</t>
  </si>
  <si>
    <t>PINE KNOB PHARMACIES HOUSEHOLD</t>
  </si>
  <si>
    <t>433</t>
  </si>
  <si>
    <t>PINE GROVE BAPTIST CHURCH HOUSEHOLD</t>
  </si>
  <si>
    <t>434</t>
  </si>
  <si>
    <t>PROCRAFT INC HOUSEHOLD</t>
  </si>
  <si>
    <t>435</t>
  </si>
  <si>
    <t>CLARKSTON CLEANING SERVICES LLC HOUSEHOLD</t>
  </si>
  <si>
    <t>437</t>
  </si>
  <si>
    <t>TECAT PERFORMANCE SYSTEMS LLC HOUSEHOLD</t>
  </si>
  <si>
    <t>438</t>
  </si>
  <si>
    <t>Simon Palushaj Household</t>
  </si>
  <si>
    <t>439</t>
  </si>
  <si>
    <t>SK INTERNATIONAL CORP HOUSEHOLD</t>
  </si>
  <si>
    <t>44</t>
  </si>
  <si>
    <t>Leh-Ray Holdings LLC Household</t>
  </si>
  <si>
    <t>440</t>
  </si>
  <si>
    <t>ANN ARBOR YOUNG MENS CHRISTIAN ASSOC HOUSEHOLD</t>
  </si>
  <si>
    <t>441</t>
  </si>
  <si>
    <t>COVENANT MEDICAL SALES LLC HOUSEHOLD</t>
  </si>
  <si>
    <t>442</t>
  </si>
  <si>
    <t>DONGAN ELECTRIC MANUFACTURING CO HOUSEHOLD</t>
  </si>
  <si>
    <t>443</t>
  </si>
  <si>
    <t>NIKOLAOS MOSCHOURIS HOUSEHOLD</t>
  </si>
  <si>
    <t>444</t>
  </si>
  <si>
    <t>EDWARDS CHIROPRACTIC HOUSEHOLD</t>
  </si>
  <si>
    <t>445</t>
  </si>
  <si>
    <t>GUINN CONTRACTING LLC HOUSEHOLD</t>
  </si>
  <si>
    <t>446</t>
  </si>
  <si>
    <t>LISA L FULLER HOUSEHOLD</t>
  </si>
  <si>
    <t>447</t>
  </si>
  <si>
    <t>PAINT A MIRACLE HOUSEHOLD</t>
  </si>
  <si>
    <t>448</t>
  </si>
  <si>
    <t>ORION AREA YOUTH ASSISTANCE HOUSEHOLD</t>
  </si>
  <si>
    <t>449</t>
  </si>
  <si>
    <t>THUNDER BUNNY LABS INC HOUSEHOLD</t>
  </si>
  <si>
    <t>45</t>
  </si>
  <si>
    <t>LAKEVILLE ANIMAL CLINIC PC HOUSEHOLD</t>
  </si>
  <si>
    <t>450</t>
  </si>
  <si>
    <t>OUTER MARKER AVIATION HOUSEHOLD</t>
  </si>
  <si>
    <t>451</t>
  </si>
  <si>
    <t>DOWNTOWN INN LLC HOUSEHOLD</t>
  </si>
  <si>
    <t>452</t>
  </si>
  <si>
    <t>TWIN LAKES GOLF &amp; SWIM CLUB HOUSEHOLD</t>
  </si>
  <si>
    <t>Union Pacific Holdings LLC Household</t>
  </si>
  <si>
    <t>454</t>
  </si>
  <si>
    <t>MEYER HOME INSPECTION LLC HOUSEHOLD</t>
  </si>
  <si>
    <t>455</t>
  </si>
  <si>
    <t>Windsor Beauty Supply Inc Household</t>
  </si>
  <si>
    <t>456</t>
  </si>
  <si>
    <t>L &amp; J PIZZA INC HOUSEHOLD</t>
  </si>
  <si>
    <t>457</t>
  </si>
  <si>
    <t>Al Rush Household</t>
  </si>
  <si>
    <t>Midwest Commodity Partners Household</t>
  </si>
  <si>
    <t>46</t>
  </si>
  <si>
    <t>THE HILLS OF WILLOW LAKE ASSOC HOUSEHOLD</t>
  </si>
  <si>
    <t>461</t>
  </si>
  <si>
    <t>Animal Hospital of Lakeport Household</t>
  </si>
  <si>
    <t>465</t>
  </si>
  <si>
    <t>ANN BUSCHE MD HOUSEHOLD</t>
  </si>
  <si>
    <t>466</t>
  </si>
  <si>
    <t>ALGONAC SHOPPING CENTER LLC HOUSEHOLD</t>
  </si>
  <si>
    <t>BCIC Parks LLC Household</t>
  </si>
  <si>
    <t>468</t>
  </si>
  <si>
    <t>James Prokes Household</t>
  </si>
  <si>
    <t>47</t>
  </si>
  <si>
    <t>Marks Investments LLC Household</t>
  </si>
  <si>
    <t>470</t>
  </si>
  <si>
    <t>C &amp; L Venues Household</t>
  </si>
  <si>
    <t>471</t>
  </si>
  <si>
    <t>ADAM DEMCHIK HOUSEHOLD</t>
  </si>
  <si>
    <t>472</t>
  </si>
  <si>
    <t>ALI AL-KHAFAJI HOUSEHOLD</t>
  </si>
  <si>
    <t>473</t>
  </si>
  <si>
    <t>DETROIT HOTSHOTS LLC HOUSEHOLD</t>
  </si>
  <si>
    <t>474</t>
  </si>
  <si>
    <t>ALLEN DEMCHIK HOUSEHOLD</t>
  </si>
  <si>
    <t>Bill Stover Household</t>
  </si>
  <si>
    <t>ENCORE AT ASHBY PRESERVICE LLC HOUSEHOLD</t>
  </si>
  <si>
    <t>48</t>
  </si>
  <si>
    <t>COMPETITIVE SPORTS &amp; EDUCATION HOUSEHOLD</t>
  </si>
  <si>
    <t>483</t>
  </si>
  <si>
    <t>HEARTFELT IMPRESSIONS LEARNING CTR LLC HOUSEHOLD</t>
  </si>
  <si>
    <t>SA Express Household</t>
  </si>
  <si>
    <t>485</t>
  </si>
  <si>
    <t>Insight Vision Center LLC Household</t>
  </si>
  <si>
    <t>488</t>
  </si>
  <si>
    <t>Mijo Alanis Household</t>
  </si>
  <si>
    <t>489</t>
  </si>
  <si>
    <t>Momentum Therapy LLC Household</t>
  </si>
  <si>
    <t>49</t>
  </si>
  <si>
    <t>CLEAR LAKE PARENT TEACHER ORG HOUSEHOLD</t>
  </si>
  <si>
    <t>491</t>
  </si>
  <si>
    <t>Port Huron Hospitality Holdings Household</t>
  </si>
  <si>
    <t>493</t>
  </si>
  <si>
    <t>Samuel McLaren Household</t>
  </si>
  <si>
    <t>494</t>
  </si>
  <si>
    <t>Whitney Findlay Household</t>
  </si>
  <si>
    <t>495</t>
  </si>
  <si>
    <t>STATE ELECTRIC HOUSEHOLD</t>
  </si>
  <si>
    <t>496</t>
  </si>
  <si>
    <t>Sunshine Market Novi Household</t>
  </si>
  <si>
    <t>498</t>
  </si>
  <si>
    <t>The DeLaura Company LLC Household</t>
  </si>
  <si>
    <t>499</t>
  </si>
  <si>
    <t>The Sarles Group Household</t>
  </si>
  <si>
    <t>50</t>
  </si>
  <si>
    <t>KOS ENTERPRISES HOUSEHOLD</t>
  </si>
  <si>
    <t>500</t>
  </si>
  <si>
    <t>Troy Laser &amp; Fab Household</t>
  </si>
  <si>
    <t>501</t>
  </si>
  <si>
    <t>WOLVERINE FIRE PROTECTION HOUSEHOLD</t>
  </si>
  <si>
    <t>502</t>
  </si>
  <si>
    <t>The Laurels of Lake Orion Household</t>
  </si>
  <si>
    <t>503</t>
  </si>
  <si>
    <t>Jeff Torrice Household</t>
  </si>
  <si>
    <t>504</t>
  </si>
  <si>
    <t>Main Beverage Company Household</t>
  </si>
  <si>
    <t>505</t>
  </si>
  <si>
    <t>K9 Club Inc Household</t>
  </si>
  <si>
    <t>506</t>
  </si>
  <si>
    <t>BMA Investments Household</t>
  </si>
  <si>
    <t>507</t>
  </si>
  <si>
    <t>Lewis E Wint &amp; Son Funeral Home Household</t>
  </si>
  <si>
    <t>508</t>
  </si>
  <si>
    <t>Jerome A. Masakowski Household</t>
  </si>
  <si>
    <t>509</t>
  </si>
  <si>
    <t>Corporate Eagle Management Services Inc Household</t>
  </si>
  <si>
    <t>51</t>
  </si>
  <si>
    <t>ROCCO CICCONE DDS HOUSEHOLD</t>
  </si>
  <si>
    <t>510</t>
  </si>
  <si>
    <t>ALPHA PRECISION AEROSPACE INC HOUSEHOLD</t>
  </si>
  <si>
    <t>511</t>
  </si>
  <si>
    <t>DDC Property Partners LLC Household</t>
  </si>
  <si>
    <t>512</t>
  </si>
  <si>
    <t>WBT JARBO LLC HOUSEHOLD</t>
  </si>
  <si>
    <t>513</t>
  </si>
  <si>
    <t>BMX Household</t>
  </si>
  <si>
    <t>514</t>
  </si>
  <si>
    <t>Canton Welcome Household</t>
  </si>
  <si>
    <t>515</t>
  </si>
  <si>
    <t>Mayzie Inc. Household</t>
  </si>
  <si>
    <t>516</t>
  </si>
  <si>
    <t>Haggerty North Development LLC Household</t>
  </si>
  <si>
    <t>517</t>
  </si>
  <si>
    <t>Supply Line International Household</t>
  </si>
  <si>
    <t>518</t>
  </si>
  <si>
    <t>Lloyd Schmaltz Household</t>
  </si>
  <si>
    <t>519</t>
  </si>
  <si>
    <t>Milano Bakery Inc Household</t>
  </si>
  <si>
    <t>520</t>
  </si>
  <si>
    <t>Centurion Services Inc Household</t>
  </si>
  <si>
    <t>521</t>
  </si>
  <si>
    <t>Hampton Manor of Canton Household</t>
  </si>
  <si>
    <t>524</t>
  </si>
  <si>
    <t>MJZ Acquisition Household</t>
  </si>
  <si>
    <t>525</t>
  </si>
  <si>
    <t>Steven M Stoll Household</t>
  </si>
  <si>
    <t>526</t>
  </si>
  <si>
    <t>Freese Enterprises Inc Household</t>
  </si>
  <si>
    <t>527</t>
  </si>
  <si>
    <t>HL Manufacturing Inc Household</t>
  </si>
  <si>
    <t>528</t>
  </si>
  <si>
    <t>Wolverine Sign Works Household</t>
  </si>
  <si>
    <t>529</t>
  </si>
  <si>
    <t>Aims LLC Household</t>
  </si>
  <si>
    <t>53</t>
  </si>
  <si>
    <t>PAUL D BREAKIE HOUSEHOLD</t>
  </si>
  <si>
    <t>531</t>
  </si>
  <si>
    <t>Cynthia A Ruiz MD Household</t>
  </si>
  <si>
    <t>532</t>
  </si>
  <si>
    <t>AARON J GOLDFARB DO HOUSEHOLD</t>
  </si>
  <si>
    <t>533</t>
  </si>
  <si>
    <t>Barbara N Williams Household</t>
  </si>
  <si>
    <t>534</t>
  </si>
  <si>
    <t>Ross Customs Mucsle Cars LLC Household</t>
  </si>
  <si>
    <t>535</t>
  </si>
  <si>
    <t>Viron International Corp Household</t>
  </si>
  <si>
    <t>536</t>
  </si>
  <si>
    <t>Drews Garden II LLC Household</t>
  </si>
  <si>
    <t>537</t>
  </si>
  <si>
    <t>VFS LLC HOUSEHOLD</t>
  </si>
  <si>
    <t>539</t>
  </si>
  <si>
    <t>LEACH RD LLC HOUSEHOLD</t>
  </si>
  <si>
    <t>54</t>
  </si>
  <si>
    <t>Pioneer Door Household</t>
  </si>
  <si>
    <t>540</t>
  </si>
  <si>
    <t>JUMPS INC HOUSEHOLD</t>
  </si>
  <si>
    <t>541</t>
  </si>
  <si>
    <t>S LAWRENCE &amp; CO LLC HOUSEHOLD</t>
  </si>
  <si>
    <t>542</t>
  </si>
  <si>
    <t>SOUTHEAST MICHIGAN ASSOCIATES LLC HOUSEHOLD</t>
  </si>
  <si>
    <t>543</t>
  </si>
  <si>
    <t>FORCED AIR SYSTEMS INC HOUSEHOLD</t>
  </si>
  <si>
    <t>544</t>
  </si>
  <si>
    <t>COBURN INVESTMENTS LLC HOUSEHOLD</t>
  </si>
  <si>
    <t>546</t>
  </si>
  <si>
    <t>Steven Brouwer Household</t>
  </si>
  <si>
    <t>MICHIGAN EYE CARE PROVIDER PLLC HOUSEHOLD</t>
  </si>
  <si>
    <t>548</t>
  </si>
  <si>
    <t>BZM Holdings LLC Household</t>
  </si>
  <si>
    <t>549</t>
  </si>
  <si>
    <t>Kercheval Enterprises Household</t>
  </si>
  <si>
    <t>55</t>
  </si>
  <si>
    <t>PITA WAY INC HOUSEHOLD</t>
  </si>
  <si>
    <t>Dr. Shane Patterson Household</t>
  </si>
  <si>
    <t>551</t>
  </si>
  <si>
    <t>RHAB Investments Household</t>
  </si>
  <si>
    <t>552</t>
  </si>
  <si>
    <t>ADDY MACHINERY COMPANY HOUSEHOLD</t>
  </si>
  <si>
    <t>553</t>
  </si>
  <si>
    <t>Ariana Inc. Household</t>
  </si>
  <si>
    <t>554</t>
  </si>
  <si>
    <t>Community Disposal Services Household</t>
  </si>
  <si>
    <t>556</t>
  </si>
  <si>
    <t>White Pine Coffee Roasters Household</t>
  </si>
  <si>
    <t>557</t>
  </si>
  <si>
    <t>Instacoat Premium Products Household</t>
  </si>
  <si>
    <t>558</t>
  </si>
  <si>
    <t>GFSM LLC Household</t>
  </si>
  <si>
    <t>559</t>
  </si>
  <si>
    <t>Bilal Saad Household</t>
  </si>
  <si>
    <t>56</t>
  </si>
  <si>
    <t>PROMARK PROPERTIES LLC Household</t>
  </si>
  <si>
    <t>561</t>
  </si>
  <si>
    <t>Scott F Roberts Household</t>
  </si>
  <si>
    <t>564</t>
  </si>
  <si>
    <t>WSSA Detroit Jefferson Household</t>
  </si>
  <si>
    <t>565</t>
  </si>
  <si>
    <t>Flotronics Inc Household</t>
  </si>
  <si>
    <t>566</t>
  </si>
  <si>
    <t>Jacobus Reijmer Household</t>
  </si>
  <si>
    <t>567</t>
  </si>
  <si>
    <t>Chittiprolu &amp; Aheer Household</t>
  </si>
  <si>
    <t>57</t>
  </si>
  <si>
    <t>PUSHMAN MANUFACTURING HOUSEHOLD</t>
  </si>
  <si>
    <t>570</t>
  </si>
  <si>
    <t>Joshua Sterling Household</t>
  </si>
  <si>
    <t>571</t>
  </si>
  <si>
    <t>Lynch Road Industrial Household</t>
  </si>
  <si>
    <t>572</t>
  </si>
  <si>
    <t>Family Orthopedics Household</t>
  </si>
  <si>
    <t>573</t>
  </si>
  <si>
    <t>COLE'S MACHINE HOUSEHOLD</t>
  </si>
  <si>
    <t>574</t>
  </si>
  <si>
    <t>JWilson4144 Household</t>
  </si>
  <si>
    <t>575</t>
  </si>
  <si>
    <t>LB Kim Properties Household</t>
  </si>
  <si>
    <t>576</t>
  </si>
  <si>
    <t>Gist &amp; Johnson Household</t>
  </si>
  <si>
    <t>577</t>
  </si>
  <si>
    <t>Michigan Timber Household</t>
  </si>
  <si>
    <t>578</t>
  </si>
  <si>
    <t>JOURNEY LUTHERAN CHURCH HOUSEHOLD</t>
  </si>
  <si>
    <t>579</t>
  </si>
  <si>
    <t>Shelby Investment Properties LLC Household</t>
  </si>
  <si>
    <t>580</t>
  </si>
  <si>
    <t>Jet's of America Household</t>
  </si>
  <si>
    <t>581</t>
  </si>
  <si>
    <t>LAW OFFICE OF BASHORE GREEN PC HOUSEHOLD</t>
  </si>
  <si>
    <t>582</t>
  </si>
  <si>
    <t>McCormack Motorsports Inc. Household</t>
  </si>
  <si>
    <t>583</t>
  </si>
  <si>
    <t>Dynamic Plastics Inc. Household</t>
  </si>
  <si>
    <t>584</t>
  </si>
  <si>
    <t>J P AMUSEMENT INC HOUSEHOLD</t>
  </si>
  <si>
    <t>585</t>
  </si>
  <si>
    <t>Ken Spindler Insurance Agency Inc. Household</t>
  </si>
  <si>
    <t>586</t>
  </si>
  <si>
    <t>API CONSULTING LLC HOUSEHOLD</t>
  </si>
  <si>
    <t>587</t>
  </si>
  <si>
    <t>Thermoset Solutions LLC Household</t>
  </si>
  <si>
    <t>588</t>
  </si>
  <si>
    <t>ALK&amp;H Household</t>
  </si>
  <si>
    <t>589</t>
  </si>
  <si>
    <t>HEMA-TEC INC HOUSEHOLD</t>
  </si>
  <si>
    <t>59</t>
  </si>
  <si>
    <t>TKO DEVELOPMENT LLC HOUSEHOLD</t>
  </si>
  <si>
    <t>590</t>
  </si>
  <si>
    <t>Metalmite Corporation, Inc. Household</t>
  </si>
  <si>
    <t>592</t>
  </si>
  <si>
    <t>MI Investment Properties, LLC Household</t>
  </si>
  <si>
    <t>593</t>
  </si>
  <si>
    <t>BB &amp; E HOUSEHOLD</t>
  </si>
  <si>
    <t>594</t>
  </si>
  <si>
    <t>MATTHEW J LOSHKREFF HOUSEHOLD</t>
  </si>
  <si>
    <t>595</t>
  </si>
  <si>
    <t>533 MAIN LLC HOUSEHOLD</t>
  </si>
  <si>
    <t>596</t>
  </si>
  <si>
    <t>LAMP POST PLAZA HOUSEHOLD</t>
  </si>
  <si>
    <t>597</t>
  </si>
  <si>
    <t>DANIEL CURIS SR HOUSEHOLD</t>
  </si>
  <si>
    <t>598</t>
  </si>
  <si>
    <t>DORI A FREELAND DDS MS PLC HOUSEHOLD</t>
  </si>
  <si>
    <t>599</t>
  </si>
  <si>
    <t>FAMILIES AGAINST NARCOTICS INC HOUSEHOLD</t>
  </si>
  <si>
    <t>6</t>
  </si>
  <si>
    <t>CHASSIS PROS LLC HOUSEHOLD</t>
  </si>
  <si>
    <t>600</t>
  </si>
  <si>
    <t>DYNAMIC LAWN AND SNOW SERVICE LLC HOUSEHOLD</t>
  </si>
  <si>
    <t>601</t>
  </si>
  <si>
    <t>EVEREST ACADEMY HOUSEHOLD</t>
  </si>
  <si>
    <t>602</t>
  </si>
  <si>
    <t>FUEL AUTOMATION STATION LLC HOUSEHOLD</t>
  </si>
  <si>
    <t>603</t>
  </si>
  <si>
    <t>FUFIMU INC HOUSEHOLD</t>
  </si>
  <si>
    <t>604</t>
  </si>
  <si>
    <t>GEMINI LAB GROUP LLC HOUSEHOLD</t>
  </si>
  <si>
    <t>607</t>
  </si>
  <si>
    <t>HS SPV I LLC HOUSEHOLD</t>
  </si>
  <si>
    <t>608</t>
  </si>
  <si>
    <t>JERRY WATHA HOUSEHOLD</t>
  </si>
  <si>
    <t>609</t>
  </si>
  <si>
    <t>BRICK FINANCIAL GROUP LLC HOUSEHOLD</t>
  </si>
  <si>
    <t>610</t>
  </si>
  <si>
    <t>DISCOVER CHIROPRACTIC CLINIC PC HOUSEHOLD</t>
  </si>
  <si>
    <t>611</t>
  </si>
  <si>
    <t>CNS HOMECARE INC HOUSEHOLD</t>
  </si>
  <si>
    <t>612</t>
  </si>
  <si>
    <t>BRENDA AND DAVID STEUER HOUSEHOLD</t>
  </si>
  <si>
    <t>613</t>
  </si>
  <si>
    <t>Amadea Salon Household</t>
  </si>
  <si>
    <t>614</t>
  </si>
  <si>
    <t>KDC COFFEE LLC HOUSEHOLD</t>
  </si>
  <si>
    <t>MATTHEW T SZURA HOUSEHOLD</t>
  </si>
  <si>
    <t>616</t>
  </si>
  <si>
    <t>MAXWELL BUILDING SERVICES INC HOUSEHOLD</t>
  </si>
  <si>
    <t>617</t>
  </si>
  <si>
    <t>MOBILITY INNOVATIONS HOUSEHOLD</t>
  </si>
  <si>
    <t>NEW SEOUL MARKET HOUSEHOLD</t>
  </si>
  <si>
    <t>62</t>
  </si>
  <si>
    <t>THE FARBMAN GROUP 1 INC HOUSEHOLD</t>
  </si>
  <si>
    <t>PENNINSULA PRESTRESS HOUSEHOLD</t>
  </si>
  <si>
    <t>QUALIFIED CONSTRUCTION CORP HOUSEHOLD</t>
  </si>
  <si>
    <t>622</t>
  </si>
  <si>
    <t>SAFARI WILD LLC HOUSEHOLD</t>
  </si>
  <si>
    <t>623</t>
  </si>
  <si>
    <t>RECOVERY CLEANERS INC HOUSEHOLD</t>
  </si>
  <si>
    <t>624</t>
  </si>
  <si>
    <t>SUN PROPERTY LLC HOUSEHOLD</t>
  </si>
  <si>
    <t>625</t>
  </si>
  <si>
    <t>THE ERSKINE LAW GROUP PC HOUSEHOLD</t>
  </si>
  <si>
    <t>626</t>
  </si>
  <si>
    <t>THE SOCIETY OF ST VINCENT DE PAUL HOUSEHOLD</t>
  </si>
  <si>
    <t>627</t>
  </si>
  <si>
    <t>OAKDALE ACADEMY HOUSEHOLD</t>
  </si>
  <si>
    <t>628</t>
  </si>
  <si>
    <t>Greiner Management Household</t>
  </si>
  <si>
    <t>629</t>
  </si>
  <si>
    <t>CUSTOM M PACKAGING LLC HOUSEHOLD</t>
  </si>
  <si>
    <t>63</t>
  </si>
  <si>
    <t>SHAROB LLC HOUSEHOLD</t>
  </si>
  <si>
    <t>630</t>
  </si>
  <si>
    <t>DEXTER STAMPING COMPANY HOUSEHOLD</t>
  </si>
  <si>
    <t>REALTEAM LLC HOUSEHOLD</t>
  </si>
  <si>
    <t>632</t>
  </si>
  <si>
    <t>UNIVERSAL VIDEO INC HOUSEHOLD</t>
  </si>
  <si>
    <t>633</t>
  </si>
  <si>
    <t>HANOCH PRISMAN HOUSEHOLD</t>
  </si>
  <si>
    <t>634</t>
  </si>
  <si>
    <t>BELLA CASA TILE &amp; STONE LLC HOUSEHOLD</t>
  </si>
  <si>
    <t>635</t>
  </si>
  <si>
    <t>Oxford Petro Household</t>
  </si>
  <si>
    <t>636</t>
  </si>
  <si>
    <t>Power Vac Carpet &amp; Air Duct Cleaning Household</t>
  </si>
  <si>
    <t>64</t>
  </si>
  <si>
    <t>ZMED PROFESSIONAL BILLING SERVICE LLC HOUSEHOLD</t>
  </si>
  <si>
    <t>642</t>
  </si>
  <si>
    <t>Byan LLC Household</t>
  </si>
  <si>
    <t>643</t>
  </si>
  <si>
    <t>Chris Diroll Household</t>
  </si>
  <si>
    <t>644</t>
  </si>
  <si>
    <t>Smarch Eyecare Associates PLLC Household</t>
  </si>
  <si>
    <t>645</t>
  </si>
  <si>
    <t>Rochester University Household</t>
  </si>
  <si>
    <t>646</t>
  </si>
  <si>
    <t>PRIORITY RENOVATIONS LLC HOUSEHOLD</t>
  </si>
  <si>
    <t>647</t>
  </si>
  <si>
    <t>THE ACADEMY OF THE SACRED HEART HOUSEHOLD</t>
  </si>
  <si>
    <t>648</t>
  </si>
  <si>
    <t>Nick Nightingale Auto Center Household</t>
  </si>
  <si>
    <t>649</t>
  </si>
  <si>
    <t>Custom Service &amp; Design Household</t>
  </si>
  <si>
    <t>65</t>
  </si>
  <si>
    <t>MI-DAR ENTERPRISES INC HOUSEHOLD</t>
  </si>
  <si>
    <t>650</t>
  </si>
  <si>
    <t>GENERATION FORTY FIVE LLC HOUSEHOLD</t>
  </si>
  <si>
    <t>ZEFF CONCRETE CONTRACTORS HOUSEHOLD</t>
  </si>
  <si>
    <t>Kouza Capital Household</t>
  </si>
  <si>
    <t>654</t>
  </si>
  <si>
    <t>SPIRO VAMVAKAS HOUSEHOLD</t>
  </si>
  <si>
    <t>655</t>
  </si>
  <si>
    <t>PAPAS PIZZA HOUSEHOLD</t>
  </si>
  <si>
    <t>656</t>
  </si>
  <si>
    <t>DBA JEREMYS LAWN &amp; TREE SERVICE HOUSEHOLD</t>
  </si>
  <si>
    <t>657</t>
  </si>
  <si>
    <t>KYLE RASKE HOUSEHOLD</t>
  </si>
  <si>
    <t>658</t>
  </si>
  <si>
    <t>BEAU BACEVICIUS'S HOUSEHOLD</t>
  </si>
  <si>
    <t>659</t>
  </si>
  <si>
    <t>PUBLIC LUMBER COMPANY HOUSEHOLD</t>
  </si>
  <si>
    <t>KAY LEE HOUSEHOLD</t>
  </si>
  <si>
    <t>661</t>
  </si>
  <si>
    <t>DYNASTY FAB LLC HOUSEHOLD</t>
  </si>
  <si>
    <t>662</t>
  </si>
  <si>
    <t>DisplayMax Household</t>
  </si>
  <si>
    <t>663</t>
  </si>
  <si>
    <t>ROCK SOLID HOMES INC HOUSEHOLD</t>
  </si>
  <si>
    <t>664</t>
  </si>
  <si>
    <t>ZRP PROPERTIES HOUSEHOLD</t>
  </si>
  <si>
    <t>665</t>
  </si>
  <si>
    <t>METRO FLUID POWER HOUSEHOLD</t>
  </si>
  <si>
    <t>666</t>
  </si>
  <si>
    <t>THE KAMMO GROUP HOUSEHOLD</t>
  </si>
  <si>
    <t>667</t>
  </si>
  <si>
    <t>R WHITE SERVICES INC HOUSEHOLD</t>
  </si>
  <si>
    <t>668</t>
  </si>
  <si>
    <t>C&amp;N PARTY RENTAL HOUSEHOLD</t>
  </si>
  <si>
    <t>669</t>
  </si>
  <si>
    <t>TURF TAMERS INC HOUSEHOLD</t>
  </si>
  <si>
    <t>67</t>
  </si>
  <si>
    <t>Harrison Hoe Excavating Inc Household</t>
  </si>
  <si>
    <t>670</t>
  </si>
  <si>
    <t>HIGHPOINT BUSINESS SERVICES HOUSEHOLD</t>
  </si>
  <si>
    <t>671</t>
  </si>
  <si>
    <t>HOCO GROUP LLC HOUSEHOLD</t>
  </si>
  <si>
    <t>674</t>
  </si>
  <si>
    <t>TOP CHOICE TITLE LLC HOUSEHOLD</t>
  </si>
  <si>
    <t>BALANCING ENVIRONMENT AND REHABILITATION HOUSEHOLD</t>
  </si>
  <si>
    <t>YPSILANTI PROPERTY ALLIANCE HOUSEHOLD</t>
  </si>
  <si>
    <t>678</t>
  </si>
  <si>
    <t>NORTHERN UNITED HOUSEHOLD</t>
  </si>
  <si>
    <t>679</t>
  </si>
  <si>
    <t>BRADLEY HAYOSH HOUSEHOLD</t>
  </si>
  <si>
    <t>680</t>
  </si>
  <si>
    <t>ATLANTIS FINANCIAL GROUP HOUSEHOLD</t>
  </si>
  <si>
    <t>I LIKE PIE BAKE SHOP HOUSEHOLD</t>
  </si>
  <si>
    <t>CASING INNOVATIONS LLC HOUSEHOLD</t>
  </si>
  <si>
    <t>683</t>
  </si>
  <si>
    <t>PROACTIVE TECHNOLOGY MANAGEMENT HOUSEHOLD</t>
  </si>
  <si>
    <t>684</t>
  </si>
  <si>
    <t>CROSS THE ROAD ELECTRONICS LLC HOUSEHOLD</t>
  </si>
  <si>
    <t>685</t>
  </si>
  <si>
    <t>ALI ZREIK HOUSEHOLD</t>
  </si>
  <si>
    <t>686</t>
  </si>
  <si>
    <t>COOL JACKS LLC HOUSEHOLD</t>
  </si>
  <si>
    <t>687</t>
  </si>
  <si>
    <t>JAMES D WALDRON HOUSEHOLD</t>
  </si>
  <si>
    <t>688</t>
  </si>
  <si>
    <t>CLARKSTON DENTAL CARE HOUSEHOLD</t>
  </si>
  <si>
    <t>689</t>
  </si>
  <si>
    <t>DETROIT STREET CONDOS HOUSEHOLD</t>
  </si>
  <si>
    <t>691</t>
  </si>
  <si>
    <t>Vreeland Holdings LLC Household</t>
  </si>
  <si>
    <t>693</t>
  </si>
  <si>
    <t>AUBURN FIELDS CARE HOUSEHOLD</t>
  </si>
  <si>
    <t>694</t>
  </si>
  <si>
    <t>HALBEISEN HOUSEHOLD</t>
  </si>
  <si>
    <t>695</t>
  </si>
  <si>
    <t>JOHNNY PRITCHETT HOUSEHOLD</t>
  </si>
  <si>
    <t>696</t>
  </si>
  <si>
    <t>ERIC FARRELL HOUSEHOLD</t>
  </si>
  <si>
    <t>697</t>
  </si>
  <si>
    <t>KMICIC LLC AND GBLAZYC LLC HOUSEHOLD</t>
  </si>
  <si>
    <t>698</t>
  </si>
  <si>
    <t>MATTHEW GRABOWSKI HOUSEHOLD</t>
  </si>
  <si>
    <t>699</t>
  </si>
  <si>
    <t>ANDREW KILBRIDE HOUSEHOLD</t>
  </si>
  <si>
    <t>7</t>
  </si>
  <si>
    <t>Future Engineering Inc Household</t>
  </si>
  <si>
    <t>70</t>
  </si>
  <si>
    <t>Robinson Ventures Household</t>
  </si>
  <si>
    <t>700</t>
  </si>
  <si>
    <t>ICONIC-ANCHOR BAR LLC HOUSEHOLD</t>
  </si>
  <si>
    <t>701</t>
  </si>
  <si>
    <t>K-TEC SYSTEMS INC HOUSEHOLD</t>
  </si>
  <si>
    <t>702</t>
  </si>
  <si>
    <t>E-PROCUREMENT SERVICES HOUSEHOLD</t>
  </si>
  <si>
    <t>703</t>
  </si>
  <si>
    <t>ZINGERMANS ROADHOUSE HOUSEHOLD</t>
  </si>
  <si>
    <t>704</t>
  </si>
  <si>
    <t>Peake Holdings LLC Household</t>
  </si>
  <si>
    <t>705</t>
  </si>
  <si>
    <t>De La Salle Catering Household</t>
  </si>
  <si>
    <t>706</t>
  </si>
  <si>
    <t>Vrindavan LLC Household</t>
  </si>
  <si>
    <t>707</t>
  </si>
  <si>
    <t>Electric Mirror LLC Household</t>
  </si>
  <si>
    <t>John Trendell</t>
  </si>
  <si>
    <t>CONSULTECH SERVICES INC HOUSEHOLD</t>
  </si>
  <si>
    <t>709</t>
  </si>
  <si>
    <t>Sani-Vac Service Inc Household</t>
  </si>
  <si>
    <t>71</t>
  </si>
  <si>
    <t>Curtis Financial Group Household</t>
  </si>
  <si>
    <t>710</t>
  </si>
  <si>
    <t>Gold and Glitter Inc Household</t>
  </si>
  <si>
    <t>711</t>
  </si>
  <si>
    <t>Willow Pointe of Ortonville LLC Household</t>
  </si>
  <si>
    <t>712</t>
  </si>
  <si>
    <t>Aperion Information Technologies Inc Household</t>
  </si>
  <si>
    <t>713</t>
  </si>
  <si>
    <t>Ciolino Wholesale Produce Inc Household</t>
  </si>
  <si>
    <t>714</t>
  </si>
  <si>
    <t>1205 N MAIN LLC HOUSEHOLD</t>
  </si>
  <si>
    <t>716</t>
  </si>
  <si>
    <t>GREATER FLINTER SPORTS MEDICINE CENTER HOUSEHOLD</t>
  </si>
  <si>
    <t>717</t>
  </si>
  <si>
    <t>EIGHT ELEVEN CONSULTING LLC HOUSEHOLD</t>
  </si>
  <si>
    <t>718</t>
  </si>
  <si>
    <t>MICHIGAN MECHANICAL VENTURES HOUSEHOLD</t>
  </si>
  <si>
    <t>719</t>
  </si>
  <si>
    <t>HEAT TREATING SERVICES CORP OF AMERICA HOUSEHOLD</t>
  </si>
  <si>
    <t>720</t>
  </si>
  <si>
    <t>RANA GROUP LLC HOUSEHOLD</t>
  </si>
  <si>
    <t>721</t>
  </si>
  <si>
    <t>DIGESTIVE ENDOSCOPY CENTER HOUSEHOLD</t>
  </si>
  <si>
    <t>722</t>
  </si>
  <si>
    <t>PINK PRO SERVICES LLC HOUSEHOLD</t>
  </si>
  <si>
    <t>724</t>
  </si>
  <si>
    <t>KYLE MORSKI HOUSEHOLD</t>
  </si>
  <si>
    <t>725</t>
  </si>
  <si>
    <t>SMILE AVENUE DENTISTRY HOUSEHOLD</t>
  </si>
  <si>
    <t>726</t>
  </si>
  <si>
    <t>GREENFIELD COLLISION HOUSEHOLD</t>
  </si>
  <si>
    <t>728</t>
  </si>
  <si>
    <t>FIRE-RITE HOUSEHOLD</t>
  </si>
  <si>
    <t>729</t>
  </si>
  <si>
    <t>CAREER CONNECTIONS INC HOUSEHOLD</t>
  </si>
  <si>
    <t>73</t>
  </si>
  <si>
    <t>SPRING DYNAMICS INC HOUSEHOLD</t>
  </si>
  <si>
    <t>730</t>
  </si>
  <si>
    <t>OXFORD ELECTRIC SYSTEMS HOUSEHOLD</t>
  </si>
  <si>
    <t>731</t>
  </si>
  <si>
    <t>PRIME TRANSPORTATION &amp; LOGISTICS HOUSEHOLD</t>
  </si>
  <si>
    <t>732</t>
  </si>
  <si>
    <t>LIVNIKOCON HOUSEHOLD</t>
  </si>
  <si>
    <t>733</t>
  </si>
  <si>
    <t>DANN DEVELOPMENT HOUSEHOLD</t>
  </si>
  <si>
    <t>734</t>
  </si>
  <si>
    <t>WING SNOB MACOMB HOUSEHOLD</t>
  </si>
  <si>
    <t>735</t>
  </si>
  <si>
    <t>WICKWARE HOUSEHOLD</t>
  </si>
  <si>
    <t>736</t>
  </si>
  <si>
    <t>FORTRESS HOME IMPROVEMENTS LLC HOUSEHOLD</t>
  </si>
  <si>
    <t>737</t>
  </si>
  <si>
    <t>DIAMOND DAVES HOUSEHOLD</t>
  </si>
  <si>
    <t>738</t>
  </si>
  <si>
    <t>ALI FARAJ HOUSEHOLD</t>
  </si>
  <si>
    <t>739</t>
  </si>
  <si>
    <t>AL AMEER RESTAURANT HOUSEHOLD</t>
  </si>
  <si>
    <t>74</t>
  </si>
  <si>
    <t>Hibdon Holdings Household</t>
  </si>
  <si>
    <t>742</t>
  </si>
  <si>
    <t>YPSI PIZZA BUILDING LLC HOUSEHOLD</t>
  </si>
  <si>
    <t>743</t>
  </si>
  <si>
    <t>JOHN WHITLEY HOUSEHOLD</t>
  </si>
  <si>
    <t>745</t>
  </si>
  <si>
    <t>EXCEL CLEANING BROS INC HOUSEHOLD</t>
  </si>
  <si>
    <t>746</t>
  </si>
  <si>
    <t>SPRESSER OGDEN PLLC HOUSEHOLD</t>
  </si>
  <si>
    <t>747</t>
  </si>
  <si>
    <t>COLEMANS HOME MAINTENANCE AND REPAIR HOUSEHOLD</t>
  </si>
  <si>
    <t>748</t>
  </si>
  <si>
    <t>COLONY CLEANERS &amp; LAUNDRY INC HOUSEHOLD</t>
  </si>
  <si>
    <t>749</t>
  </si>
  <si>
    <t>VIENNA FAMILY DENTISTRY HOUSEHOLD</t>
  </si>
  <si>
    <t>75</t>
  </si>
  <si>
    <t>HOFF ENGINEERING CO INC HOUSEHOLD</t>
  </si>
  <si>
    <t>JAMCO MANUFACTURING INC HOUSEHOLD</t>
  </si>
  <si>
    <t>752</t>
  </si>
  <si>
    <t>CUTTING EDGE SHARPENING SERVICES HOUSEHOLD</t>
  </si>
  <si>
    <t>753</t>
  </si>
  <si>
    <t>TAHA FOUNDATION HOUSEHOLD</t>
  </si>
  <si>
    <t>754</t>
  </si>
  <si>
    <t>FIR HILL GATEWAY 8468-1 LLC HOUSEHOLD</t>
  </si>
  <si>
    <t>755</t>
  </si>
  <si>
    <t>RAAB PLUMBING AND HEATING HOUSEHOLD</t>
  </si>
  <si>
    <t>758</t>
  </si>
  <si>
    <t>TINY PEANUT HOUSEHOLD</t>
  </si>
  <si>
    <t>759</t>
  </si>
  <si>
    <t>INTERACTIVE ENERGY GROUP HOUSEHOLD</t>
  </si>
  <si>
    <t>76</t>
  </si>
  <si>
    <t>4139 Walton LLC Household</t>
  </si>
  <si>
    <t>760</t>
  </si>
  <si>
    <t>NEWCOMBS NORTH INC HOUSEHOLD</t>
  </si>
  <si>
    <t>761</t>
  </si>
  <si>
    <t>URBAN CROSSROADS LLC HOUSEHOLD</t>
  </si>
  <si>
    <t>762</t>
  </si>
  <si>
    <t>WINE SOCIAL HOUSEHOLD</t>
  </si>
  <si>
    <t>763</t>
  </si>
  <si>
    <t>GRAND BLANC OIL HOUSEHOLD</t>
  </si>
  <si>
    <t>764</t>
  </si>
  <si>
    <t>WESTERN CAPITAL ICE RINKS HOUSEHOLD</t>
  </si>
  <si>
    <t>765</t>
  </si>
  <si>
    <t>SAROS REAL ESTATE HOUSEHOLD</t>
  </si>
  <si>
    <t>766</t>
  </si>
  <si>
    <t>NORTH WEST SNOBS LLC HOUSEHOLD</t>
  </si>
  <si>
    <t>767</t>
  </si>
  <si>
    <t>FIREPLACE AND THINGS HOUSEHOLD</t>
  </si>
  <si>
    <t>768</t>
  </si>
  <si>
    <t>J2 CAPITAL INVESTMENTS HOUSEHOLD</t>
  </si>
  <si>
    <t>769</t>
  </si>
  <si>
    <t>MOVE ENTERPRISES LLC HOUSEHOLD</t>
  </si>
  <si>
    <t>770</t>
  </si>
  <si>
    <t>GRATITUDE HOSPITALITY LLC HOUSEHOLD</t>
  </si>
  <si>
    <t>771</t>
  </si>
  <si>
    <t>MOTOR CITY LEGAL FUNDING LLC HOUSEHOLD</t>
  </si>
  <si>
    <t>772</t>
  </si>
  <si>
    <t>MELLAS VENTURES LLC HOUSEHOLD</t>
  </si>
  <si>
    <t>773</t>
  </si>
  <si>
    <t>EBB &amp; FLOW ABA THERAPY LLC HOUSEHOLD</t>
  </si>
  <si>
    <t>775</t>
  </si>
  <si>
    <t>JIMMY RIZKALLAH HOUSEHOLD</t>
  </si>
  <si>
    <t>776</t>
  </si>
  <si>
    <t>POISED FOR FLIGHT INC HOUSEHOLD</t>
  </si>
  <si>
    <t>777</t>
  </si>
  <si>
    <t>CLARKSTON VISION HOUSEHOLD</t>
  </si>
  <si>
    <t>778</t>
  </si>
  <si>
    <t>TENDER HEART GROUP HOMES HOUSEHOLD</t>
  </si>
  <si>
    <t>779</t>
  </si>
  <si>
    <t>SILVERSMITH MAINTENANCE LLC HOUSEHOLD</t>
  </si>
  <si>
    <t>78</t>
  </si>
  <si>
    <t>AAT Property Group LLC Household</t>
  </si>
  <si>
    <t>780</t>
  </si>
  <si>
    <t>STEWART REALTY ONE HOUSEHOLD</t>
  </si>
  <si>
    <t>781</t>
  </si>
  <si>
    <t>MEAGHAN HUDSON HOUSEHOLD</t>
  </si>
  <si>
    <t>782</t>
  </si>
  <si>
    <t>GRAPHIC TAKEOVER HOUSEHOLD</t>
  </si>
  <si>
    <t>783</t>
  </si>
  <si>
    <t>AMERICAN MULCH PRODUCERS HOUSEHOLD</t>
  </si>
  <si>
    <t>784</t>
  </si>
  <si>
    <t>MAUMEE BUILDING HOUSEHOLD</t>
  </si>
  <si>
    <t>785</t>
  </si>
  <si>
    <t>TURNER SANITATION HOUSEHOLD</t>
  </si>
  <si>
    <t>786</t>
  </si>
  <si>
    <t>JEDEDIAH PARTNERS HOUSEHOLD</t>
  </si>
  <si>
    <t>787</t>
  </si>
  <si>
    <t>QUALITY STEEL PRODUCTS INC HOUSEHOLD</t>
  </si>
  <si>
    <t>788</t>
  </si>
  <si>
    <t>JAMES H CHACONAS HOUSEHOLD</t>
  </si>
  <si>
    <t>789</t>
  </si>
  <si>
    <t>ASHER CREEK LLC HOUSEHOLD</t>
  </si>
  <si>
    <t>79</t>
  </si>
  <si>
    <t>Adaptive Manufacturing Solutions LLC Household</t>
  </si>
  <si>
    <t>790</t>
  </si>
  <si>
    <t>DR ASIF ISHAQUE MD PC HOUSEHOLD</t>
  </si>
  <si>
    <t>791</t>
  </si>
  <si>
    <t>PIONEER LOGISTICS HOUSEHOLD</t>
  </si>
  <si>
    <t>792</t>
  </si>
  <si>
    <t>AMB LAWN SOAKERS HOUSEHOLD</t>
  </si>
  <si>
    <t>793</t>
  </si>
  <si>
    <t>MINKARA REALTY COMPANY HOUSEHOLD</t>
  </si>
  <si>
    <t>794</t>
  </si>
  <si>
    <t>PLATINUM CONTRACTORS DETROIT HOUSEHOLD</t>
  </si>
  <si>
    <t>795</t>
  </si>
  <si>
    <t>SOUTHGATE INVESTMENTS LLC HOUSEHOLD</t>
  </si>
  <si>
    <t>797</t>
  </si>
  <si>
    <t>REDFORD TOWNSHIP REALTY HOUSEHOLD</t>
  </si>
  <si>
    <t>798</t>
  </si>
  <si>
    <t>PAMELA ADAMS HOUSEHOLD</t>
  </si>
  <si>
    <t>799</t>
  </si>
  <si>
    <t>NIGHTINGALE CONSTRUCTION &amp; REMODELING HOUSEHOLD</t>
  </si>
  <si>
    <t>8</t>
  </si>
  <si>
    <t>HAMILTONS PROPANE INC HOUSEHOLD</t>
  </si>
  <si>
    <t>80</t>
  </si>
  <si>
    <t>VILLAGE RIDGE CONDO OWNERS HOUSEHOLD</t>
  </si>
  <si>
    <t>800</t>
  </si>
  <si>
    <t>ANGELINA EGRES LAY SUBTST OF CHARLENE LE HOUSEHOLD</t>
  </si>
  <si>
    <t>801</t>
  </si>
  <si>
    <t>PORSHA D ALLEN HOUSEHOLD</t>
  </si>
  <si>
    <t>803</t>
  </si>
  <si>
    <t>ACC DEALER SERVICES COMPANY LLC HOUSEHOLD</t>
  </si>
  <si>
    <t>805</t>
  </si>
  <si>
    <t>ALBERT H POST JR HOUSEHOLD</t>
  </si>
  <si>
    <t>806</t>
  </si>
  <si>
    <t>ALEX BROWN HOME REPAIRS HOUSEHOLD</t>
  </si>
  <si>
    <t>808</t>
  </si>
  <si>
    <t>STEVEN F AUSTIN HOUSEHOLD</t>
  </si>
  <si>
    <t>809</t>
  </si>
  <si>
    <t>MARTIN AGUINAGA HOUSEHOLD</t>
  </si>
  <si>
    <t>81</t>
  </si>
  <si>
    <t>ROLE REALTY INC HOUSEHOLD</t>
  </si>
  <si>
    <t>810</t>
  </si>
  <si>
    <t>RICARDO AGUIRRE IV HOUSEHOLD</t>
  </si>
  <si>
    <t>811</t>
  </si>
  <si>
    <t>JAIME A NOWICKI-ABBOTT HOUSEHOLD</t>
  </si>
  <si>
    <t>812</t>
  </si>
  <si>
    <t>CATHERINE A INGALLS HOUSEHOLD</t>
  </si>
  <si>
    <t>813</t>
  </si>
  <si>
    <t>TY AYERS HOUSEHOLD</t>
  </si>
  <si>
    <t>819</t>
  </si>
  <si>
    <t>ANDREW ROBERT KOSKI TRT HOUSEHOLD</t>
  </si>
  <si>
    <t>820</t>
  </si>
  <si>
    <t>ANNUAL &amp; SEASONAL MAINTENANCE INC HOUSEHOLD</t>
  </si>
  <si>
    <t>821</t>
  </si>
  <si>
    <t>WESLEY ALFONSI HOUSEHOLD</t>
  </si>
  <si>
    <t>822</t>
  </si>
  <si>
    <t>ALLY PHYSICAL THERAPY HOUSEHOLD</t>
  </si>
  <si>
    <t>823</t>
  </si>
  <si>
    <t>ADKISON, NEED, ALLEN, &amp; RENTROP HOUSEHOLD</t>
  </si>
  <si>
    <t>824</t>
  </si>
  <si>
    <t>DANIEL S ADRAGNA HOUSEHOLD</t>
  </si>
  <si>
    <t>825</t>
  </si>
  <si>
    <t>AXIOM GRAPHICS INC HOUSEHOLD</t>
  </si>
  <si>
    <t>829</t>
  </si>
  <si>
    <t>AG SCHWALLBACH LLC HOUSEHOLD</t>
  </si>
  <si>
    <t>83</t>
  </si>
  <si>
    <t>Barkman Landscaping Household</t>
  </si>
  <si>
    <t>830</t>
  </si>
  <si>
    <t>ALLEN &amp; ASSOCIATES CONSULTING HOUSEHOLD</t>
  </si>
  <si>
    <t>831</t>
  </si>
  <si>
    <t>ALWAYS DONE RIGHT HOME IMPROVEMENT LLC HOUSEHOLD</t>
  </si>
  <si>
    <t>832</t>
  </si>
  <si>
    <t>CETERIS PORTFOLIO SRVCS / JJ MARSHALL &amp; HOUSEHOLD</t>
  </si>
  <si>
    <t>833</t>
  </si>
  <si>
    <t>AQUEST WEALTH STRATEGIES INC HOUSEHOLD</t>
  </si>
  <si>
    <t>834</t>
  </si>
  <si>
    <t>SKYVIEW EXPERTS HOUSEHOLD</t>
  </si>
  <si>
    <t>836</t>
  </si>
  <si>
    <t>BRIDGEWISE FINANCIAL PARTNERS LLC HOUSEHOLD</t>
  </si>
  <si>
    <t>838</t>
  </si>
  <si>
    <t>CORATTIS IN BLUE HOUSEHOLD</t>
  </si>
  <si>
    <t>839</t>
  </si>
  <si>
    <t>INNOVATIVE TECHNOLOGY SOLUTIONS HOUSEHOLD</t>
  </si>
  <si>
    <t>84</t>
  </si>
  <si>
    <t>BASIC INDUSTRIES HOUSEHOLD</t>
  </si>
  <si>
    <t>840</t>
  </si>
  <si>
    <t>HARD ROCK STONEWORKS INC HOUSEHOLD</t>
  </si>
  <si>
    <t>841</t>
  </si>
  <si>
    <t>ELS CONSTRUCTION HOUSEHOLD</t>
  </si>
  <si>
    <t>843</t>
  </si>
  <si>
    <t>CHRISTOPHER J SCHENKEL HOUSEHOLD</t>
  </si>
  <si>
    <t>845</t>
  </si>
  <si>
    <t>WINSHIP PHOTOGRAPHY STUDIO LLC HOUSEHOLD</t>
  </si>
  <si>
    <t>847</t>
  </si>
  <si>
    <t>LABOR ROCKET LLC HOUSEHOLD</t>
  </si>
  <si>
    <t>848</t>
  </si>
  <si>
    <t>SHORT TERM AMBASSADOR RELIEF TEAMS INC HOUSEHOLD</t>
  </si>
  <si>
    <t>85</t>
  </si>
  <si>
    <t>Beaver Stair Household</t>
  </si>
  <si>
    <t>850</t>
  </si>
  <si>
    <t>SCHMIDT HOSPITALITY LLC HOUSEHOLD</t>
  </si>
  <si>
    <t>852</t>
  </si>
  <si>
    <t>TYLER J BIENLEIN HOUSEHOLD</t>
  </si>
  <si>
    <t>853</t>
  </si>
  <si>
    <t>BRT BUILDERS LLC HOUSEHOLD</t>
  </si>
  <si>
    <t>854</t>
  </si>
  <si>
    <t>CUSTOM BACKYARD VACATIONS INC HOUSEHOLD</t>
  </si>
  <si>
    <t>855</t>
  </si>
  <si>
    <t>COLEMAN MECHANICAL COMPANY INC HOUSEHOLD</t>
  </si>
  <si>
    <t>856</t>
  </si>
  <si>
    <t>BRIAN W BRADY HOUSEHOLD</t>
  </si>
  <si>
    <t>857</t>
  </si>
  <si>
    <t>STEPHEN K POSTEMA HOUSEHOLD</t>
  </si>
  <si>
    <t>858</t>
  </si>
  <si>
    <t>RACHEL REALTY LLC HOUSEHOLD</t>
  </si>
  <si>
    <t>859</t>
  </si>
  <si>
    <t>CAROL L LEAVENS HOUSEHOLD</t>
  </si>
  <si>
    <t>86</t>
  </si>
  <si>
    <t>GUIDING LIGHT TABERNACLE INC HOUSEHOLD</t>
  </si>
  <si>
    <t>861</t>
  </si>
  <si>
    <t>HK &amp; COMPANY LLC HOUSEHOLD</t>
  </si>
  <si>
    <t>865</t>
  </si>
  <si>
    <t>TAMICHAEL VENTURES LLC HOUSEHOLD</t>
  </si>
  <si>
    <t>866</t>
  </si>
  <si>
    <t>PAPILLONS HOUSEHOLD</t>
  </si>
  <si>
    <t>867</t>
  </si>
  <si>
    <t>S SOBO CONSULTING LLC HOUSEHOLD</t>
  </si>
  <si>
    <t>868</t>
  </si>
  <si>
    <t>MICHIGAN FACILITY MANAGEMENT LLC HOUSEHOLD</t>
  </si>
  <si>
    <t>869</t>
  </si>
  <si>
    <t>LEAVES LLC HOUSEHOLD</t>
  </si>
  <si>
    <t>87</t>
  </si>
  <si>
    <t>Beydoun Investment Household</t>
  </si>
  <si>
    <t>870</t>
  </si>
  <si>
    <t>MOBILITY INNOVATIONS LLC HOUSEHOLD</t>
  </si>
  <si>
    <t>871</t>
  </si>
  <si>
    <t>PERRY R SLOCUM HOUSEHOLD</t>
  </si>
  <si>
    <t>872</t>
  </si>
  <si>
    <t>ZIOS CATERING LLC HOUSEHOLD</t>
  </si>
  <si>
    <t>874</t>
  </si>
  <si>
    <t>JAMES LEROY HOUSEHOLD</t>
  </si>
  <si>
    <t>875</t>
  </si>
  <si>
    <t>WIRE WORX INC HOUSEHOLD</t>
  </si>
  <si>
    <t>876</t>
  </si>
  <si>
    <t>ANNETTA M SEGULA HOUSEHOLD</t>
  </si>
  <si>
    <t>877</t>
  </si>
  <si>
    <t>ANNE S WOOD DBA J &amp; A WOOD ENTERPRISES HOUSEHOLD</t>
  </si>
  <si>
    <t>878</t>
  </si>
  <si>
    <t>KIM SANTINI DBA TURTLEDOVE DESIGNS HOUSEHOLD</t>
  </si>
  <si>
    <t>879</t>
  </si>
  <si>
    <t>MARY JO VOELPEL D O FACOI HOUSEHOLD</t>
  </si>
  <si>
    <t>88</t>
  </si>
  <si>
    <t>ST ANNE CHURCH HOUSEHOLD</t>
  </si>
  <si>
    <t>881</t>
  </si>
  <si>
    <t>SCOTT OCKERMAN INSURANCE AGENCY INC HOUSEHOLD</t>
  </si>
  <si>
    <t>882</t>
  </si>
  <si>
    <t>CORDELLS PIANO SERVICE LLC HOUSEHOLD</t>
  </si>
  <si>
    <t>883</t>
  </si>
  <si>
    <t>OUTLOOK FINANCIAL SERVICES INC HOUSEHOLD</t>
  </si>
  <si>
    <t>884</t>
  </si>
  <si>
    <t>HAKAW ENTERPRISES HOUSEHOLD</t>
  </si>
  <si>
    <t>885</t>
  </si>
  <si>
    <t>LAKE ORION PSYCHOLOGICAL SERVICES HOUSEHOLD</t>
  </si>
  <si>
    <t>886</t>
  </si>
  <si>
    <t>LAKE ORION ASSISTED LIVING LLC HOUSEHOLD</t>
  </si>
  <si>
    <t>887</t>
  </si>
  <si>
    <t>NOELLE R GAILEY DDS PLLC HOUSEHOLD</t>
  </si>
  <si>
    <t>888</t>
  </si>
  <si>
    <t>KARENS SCHOOL OF DANCE INC HOUSEHOLD</t>
  </si>
  <si>
    <t>889</t>
  </si>
  <si>
    <t>ISABELLA OF OXFORD INC HOUSEHOLD</t>
  </si>
  <si>
    <t>89</t>
  </si>
  <si>
    <t>BRIAN SMITH HOUSEHOLD</t>
  </si>
  <si>
    <t>890</t>
  </si>
  <si>
    <t>GUEST HOUSE INC HOUSEHOLD</t>
  </si>
  <si>
    <t>891</t>
  </si>
  <si>
    <t>NASH ELECTRIC INC HOUSEHOLD</t>
  </si>
  <si>
    <t>892</t>
  </si>
  <si>
    <t>HORT PRO INC HOUSEHOLD</t>
  </si>
  <si>
    <t>893</t>
  </si>
  <si>
    <t>CRANBROOK SEARCH CONSULTANTS LLC HOUSEHOLD</t>
  </si>
  <si>
    <t>896</t>
  </si>
  <si>
    <t>AGAPE WORKS PROPERTY SERVICES LLC HOUSEHOLD</t>
  </si>
  <si>
    <t>897</t>
  </si>
  <si>
    <t>DRYDEN ROAD INVESTMENTS LLC HOUSEHOLD</t>
  </si>
  <si>
    <t>898</t>
  </si>
  <si>
    <t>DS ARCHITECTS INC HOUSEHOLD</t>
  </si>
  <si>
    <t>899</t>
  </si>
  <si>
    <t>DRYDEN MOLD SERVICES INC HOUSEHOLD</t>
  </si>
  <si>
    <t>9</t>
  </si>
  <si>
    <t>CRESTMOOR ON THE LAKE ASSOC HOUSEHOLD</t>
  </si>
  <si>
    <t>90</t>
  </si>
  <si>
    <t>H &amp; S CONTRACTORS INC HOUSEHOLD</t>
  </si>
  <si>
    <t>900</t>
  </si>
  <si>
    <t>DAVID M OTTENWESS HOUSEHOLD</t>
  </si>
  <si>
    <t>901</t>
  </si>
  <si>
    <t>JASON J KOONCE HOUSEHOLD</t>
  </si>
  <si>
    <t>902</t>
  </si>
  <si>
    <t>DINA KUTINSKY HOUSEHOLD</t>
  </si>
  <si>
    <t>903</t>
  </si>
  <si>
    <t>JANET SWEET HOUSEHOLD</t>
  </si>
  <si>
    <t>904</t>
  </si>
  <si>
    <t>BREANDAN C BRADY HOUSEHOLD</t>
  </si>
  <si>
    <t>905</t>
  </si>
  <si>
    <t>KEVIN J GREW HOUSEHOLD</t>
  </si>
  <si>
    <t>906</t>
  </si>
  <si>
    <t>TAYLOR T PHILLIPS HOUSEHOLD</t>
  </si>
  <si>
    <t>909</t>
  </si>
  <si>
    <t>E3 MACHINING LLC HOUSEHOLD</t>
  </si>
  <si>
    <t>91</t>
  </si>
  <si>
    <t>Chris Louis Salon LLC Household</t>
  </si>
  <si>
    <t>911</t>
  </si>
  <si>
    <t>MEECHIGAN PATS II INC HOUSEHOLD</t>
  </si>
  <si>
    <t>912</t>
  </si>
  <si>
    <t>BROOKRIDGE MAIN ST LLC HOUSEHOLD</t>
  </si>
  <si>
    <t>913</t>
  </si>
  <si>
    <t>BRIBECK ENTERPRISES INC HOUSEHOLD</t>
  </si>
  <si>
    <t>914</t>
  </si>
  <si>
    <t>B PITTERS PAINTING INC HOUSEHOLD</t>
  </si>
  <si>
    <t>915</t>
  </si>
  <si>
    <t>PILE ON HOLDINGS LLC HOUSEHOLD</t>
  </si>
  <si>
    <t>916</t>
  </si>
  <si>
    <t>PROTEK MANAGEMENT LLC HOUSEHOLD</t>
  </si>
  <si>
    <t>918</t>
  </si>
  <si>
    <t>JW SALES INC HOUSEHOLD</t>
  </si>
  <si>
    <t>919</t>
  </si>
  <si>
    <t>JFP ACQUISITIONS LLC HOUSEHOLD</t>
  </si>
  <si>
    <t>92</t>
  </si>
  <si>
    <t>Custom Home Design Inc Household</t>
  </si>
  <si>
    <t>920</t>
  </si>
  <si>
    <t>PERLMUTTER FREIWALD INC HOUSEHOLD</t>
  </si>
  <si>
    <t>921</t>
  </si>
  <si>
    <t>K &amp; W CYCLES HOUSEHOLD</t>
  </si>
  <si>
    <t>923</t>
  </si>
  <si>
    <t>PONTCHARTRAIN DETROIT HOTEL LLC HOUSEHOLD</t>
  </si>
  <si>
    <t>924</t>
  </si>
  <si>
    <t>PRO TECH MACHINE HOUSEHOLD</t>
  </si>
  <si>
    <t>925</t>
  </si>
  <si>
    <t>BBC TITLE AGENCY LLC HOUSEHOLD</t>
  </si>
  <si>
    <t>926</t>
  </si>
  <si>
    <t>DOETING EDUCATION COMPANY HOUSEHOLD</t>
  </si>
  <si>
    <t>927</t>
  </si>
  <si>
    <t>BOAT BAR LLC HOUSEHOLD</t>
  </si>
  <si>
    <t>154</t>
  </si>
  <si>
    <t>Christina Penzien</t>
  </si>
  <si>
    <t>929</t>
  </si>
  <si>
    <t>A S A CONSTRUCTION HOUSEHOLD</t>
  </si>
  <si>
    <t>93</t>
  </si>
  <si>
    <t>Davison Heating &amp; Cooling Household</t>
  </si>
  <si>
    <t>930</t>
  </si>
  <si>
    <t>PRIME STUDENT HOUSING INC HOUSEHOLD</t>
  </si>
  <si>
    <t>932</t>
  </si>
  <si>
    <t>MATTHEW J MRASEK HOUSEHOLD</t>
  </si>
  <si>
    <t>934</t>
  </si>
  <si>
    <t>A &amp; B AUTO BODY LLC HOUSEHOLD</t>
  </si>
  <si>
    <t>935</t>
  </si>
  <si>
    <t>TOTAL GRINDING SOLUTIONS LLC HOUSEHOLD</t>
  </si>
  <si>
    <t>936</t>
  </si>
  <si>
    <t>2D2M LLC HOUSEHOLD</t>
  </si>
  <si>
    <t>937</t>
  </si>
  <si>
    <t>3D MYSTICAL FORGE LLC HOUSEHOLD</t>
  </si>
  <si>
    <t>938</t>
  </si>
  <si>
    <t>J &amp; J METAL PRODUCTS CO HOUSEHOLD</t>
  </si>
  <si>
    <t>939</t>
  </si>
  <si>
    <t>4B FOUNDATION HOUSEHOLD</t>
  </si>
  <si>
    <t>94</t>
  </si>
  <si>
    <t>D L Acton Trucking LLC Household</t>
  </si>
  <si>
    <t>940</t>
  </si>
  <si>
    <t>4 BROTHERS FARM LLC HOUSEHOLD</t>
  </si>
  <si>
    <t>941</t>
  </si>
  <si>
    <t>4LEGACY GROUP LLC HOUSEHOLD</t>
  </si>
  <si>
    <t>942</t>
  </si>
  <si>
    <t>RICHARD J ST LOUIS DO PLLC HOUSEHOLD</t>
  </si>
  <si>
    <t>943</t>
  </si>
  <si>
    <t>422 MILL STREET LLC HOUSEHOLD</t>
  </si>
  <si>
    <t>946</t>
  </si>
  <si>
    <t>4 MORE LLC HOUSEHOLD</t>
  </si>
  <si>
    <t>947</t>
  </si>
  <si>
    <t>42STRONG HOUSEHOLD</t>
  </si>
  <si>
    <t>948</t>
  </si>
  <si>
    <t>7 SOUTH CONSULTING INC HOUSEHOLD</t>
  </si>
  <si>
    <t>949</t>
  </si>
  <si>
    <t>JEFFREY R GUELLA HOUSEHOLD</t>
  </si>
  <si>
    <t>95</t>
  </si>
  <si>
    <t>Domenico Sirignano Household</t>
  </si>
  <si>
    <t>950</t>
  </si>
  <si>
    <t>COMMUNITY FOUNDATION OF GREATERROCHESTER HOUSEHOLD</t>
  </si>
  <si>
    <t>951</t>
  </si>
  <si>
    <t>DAVID A HAKE HOUSEHOLD</t>
  </si>
  <si>
    <t>952</t>
  </si>
  <si>
    <t>DANIEL ELECTRIC COMPANY INC HOUSEHOLD</t>
  </si>
  <si>
    <t>954</t>
  </si>
  <si>
    <t>ENVOY DATA CORPORATION HOUSEHOLD</t>
  </si>
  <si>
    <t>955</t>
  </si>
  <si>
    <t>MATTHEW FLOORE HOUSEHOLD</t>
  </si>
  <si>
    <t>956</t>
  </si>
  <si>
    <t>ISRAELITE HOUSE OF DAVID HOUSEHOLD</t>
  </si>
  <si>
    <t>957</t>
  </si>
  <si>
    <t>ASSOCIATES THERAPEUTIC MASSAGE LLC HOUSEHOLD</t>
  </si>
  <si>
    <t>958</t>
  </si>
  <si>
    <t>JAMES M ANTONELLI HOUSEHOLD</t>
  </si>
  <si>
    <t>959</t>
  </si>
  <si>
    <t>BEACON REAL ESTATE CO HOUSEHOLD</t>
  </si>
  <si>
    <t>96</t>
  </si>
  <si>
    <t>Embros Inc Household</t>
  </si>
  <si>
    <t>960</t>
  </si>
  <si>
    <t>BALDWIN WOOD PRODUCTS LLC HOUSEHOLD</t>
  </si>
  <si>
    <t>961</t>
  </si>
  <si>
    <t>BENI AND ASSOCIATES INC HOUSEHOLD</t>
  </si>
  <si>
    <t>963</t>
  </si>
  <si>
    <t>MALACE &amp; ASSOCIATES INC HOUSEHOLD</t>
  </si>
  <si>
    <t>964</t>
  </si>
  <si>
    <t>RAM PRODUCE DISTRIBUTORS LLC HOUSEHOLD</t>
  </si>
  <si>
    <t>965</t>
  </si>
  <si>
    <t>TAPPERS FINE JEWELRY INC HOUSEHOLD</t>
  </si>
  <si>
    <t>968</t>
  </si>
  <si>
    <t>MICHAEL MADISION HOUSEHOLD</t>
  </si>
  <si>
    <t>97</t>
  </si>
  <si>
    <t>Empire Distributing LLC Household</t>
  </si>
  <si>
    <t>970</t>
  </si>
  <si>
    <t>SARA D BROSTEK HOUSEHOLD</t>
  </si>
  <si>
    <t>971</t>
  </si>
  <si>
    <t>SECOND NATURE TECHNOLOGIES INC HOUSEHOLD</t>
  </si>
  <si>
    <t>972</t>
  </si>
  <si>
    <t>SALSWEDEL FAMILY LIV TRT HOUSEHOLD</t>
  </si>
  <si>
    <t>973</t>
  </si>
  <si>
    <t>CORNERSTONE BAPTIST CHURCH HOUSEHOLD</t>
  </si>
  <si>
    <t>974</t>
  </si>
  <si>
    <t>C &amp; A FUEL STOP LLC HOUSEHOLD</t>
  </si>
  <si>
    <t>975</t>
  </si>
  <si>
    <t>CARING CONNECTIONS CONSULTING LLC HOUSEHOLD</t>
  </si>
  <si>
    <t>977</t>
  </si>
  <si>
    <t>CHERRY BLOSSOM NATURAL WELLNESS PLLC HOUSEHOLD</t>
  </si>
  <si>
    <t>978</t>
  </si>
  <si>
    <t>BEYOND PARALLEL INC HOUSEHOLD</t>
  </si>
  <si>
    <t>979</t>
  </si>
  <si>
    <t>CORPORATE COMPUTERS SERVICES INC HOUSEHOLD</t>
  </si>
  <si>
    <t>98</t>
  </si>
  <si>
    <t>Escamilla Amigos Mexican American LLC Household</t>
  </si>
  <si>
    <t>980</t>
  </si>
  <si>
    <t>INSIDE OUT STORAGE HOUSEHOLD</t>
  </si>
  <si>
    <t>981</t>
  </si>
  <si>
    <t>JAMES E MCGOWAN DBA OXFORD PRODUCTS LLC HOUSEHOLD</t>
  </si>
  <si>
    <t>982</t>
  </si>
  <si>
    <t>GARRISON-ROSS AGENCY INC HOUSEHOLD</t>
  </si>
  <si>
    <t>983</t>
  </si>
  <si>
    <t>CLARKS CONCRETE SERVICES LLC HOUSEHOLD</t>
  </si>
  <si>
    <t>984</t>
  </si>
  <si>
    <t>MBD ENTERPRISES LLC HOUSEHOLD</t>
  </si>
  <si>
    <t>985</t>
  </si>
  <si>
    <t>MONARCH PEDIATRICS PLLC HOUSEHOLD</t>
  </si>
  <si>
    <t>986</t>
  </si>
  <si>
    <t>MEADOWBROOK CENTER FOR LEARNING DIFF HOUSEHOLD</t>
  </si>
  <si>
    <t>987</t>
  </si>
  <si>
    <t>LAKE ORION LIONS CLUB CHARITIES INC HOUSEHOLD</t>
  </si>
  <si>
    <t>988</t>
  </si>
  <si>
    <t>CLEAR LINE INC HOUSEHOLD</t>
  </si>
  <si>
    <t>989</t>
  </si>
  <si>
    <t>MACK DISTRIBUTING INC HOUSEHOLD</t>
  </si>
  <si>
    <t>99</t>
  </si>
  <si>
    <t>JOSEPH F HEBEKA HOUSEHOLD</t>
  </si>
  <si>
    <t>990</t>
  </si>
  <si>
    <t>ORION OXFORD EAGLES 3613 HOUSEHOLD</t>
  </si>
  <si>
    <t>991</t>
  </si>
  <si>
    <t>CALVARY EVANGELICAL LUTHERAN CHURCH HOUSEHOLD</t>
  </si>
  <si>
    <t>992</t>
  </si>
  <si>
    <t>LANDS PROPERTY MAINTENANCE LLC HOUSEHOLD</t>
  </si>
  <si>
    <t>993</t>
  </si>
  <si>
    <t>PINECREST ESTATES CORPORATION HOUSEHOLD</t>
  </si>
  <si>
    <t>994</t>
  </si>
  <si>
    <t>INDUSTRY BEAUTY LLC HOUSEHOLD</t>
  </si>
  <si>
    <t>995</t>
  </si>
  <si>
    <t>DENVER ELECTRIC INC HOUSEHOLD</t>
  </si>
  <si>
    <t>996</t>
  </si>
  <si>
    <t>ORTONVILLE LIONS CLUB CHARITIES INC HOUSEHOLD</t>
  </si>
  <si>
    <t>998</t>
  </si>
  <si>
    <t>PIPES963 ENTERPRISES INC HOUSEHOLD</t>
  </si>
  <si>
    <t>999</t>
  </si>
  <si>
    <t>WOODLINE BUILDING CO INC HOUSEHOLD</t>
  </si>
  <si>
    <t>Current Balance - Loan</t>
  </si>
  <si>
    <t>Available Balance</t>
  </si>
  <si>
    <t>Lending Commitment</t>
  </si>
  <si>
    <t>Deposit to Loan Ratio</t>
  </si>
  <si>
    <t>% of Deposits to Loans (Current)</t>
  </si>
  <si>
    <t>% of Deposits to Loans (Prior)</t>
  </si>
  <si>
    <t>Ratio</t>
  </si>
  <si>
    <t>Total Lending</t>
  </si>
  <si>
    <t>1322</t>
  </si>
  <si>
    <t>KICKSTAND BREWERY LLC HOUSEHOLD</t>
  </si>
  <si>
    <t>1209</t>
  </si>
  <si>
    <t>HOMETOWN BACKYARD LLC HOUSEHOLD</t>
  </si>
  <si>
    <t>FEM-Katie Katzman</t>
  </si>
  <si>
    <t>FEM-Alecia Campbell</t>
  </si>
  <si>
    <t>480</t>
  </si>
  <si>
    <t>Escape Salon &amp; Spa Household</t>
  </si>
  <si>
    <t>637</t>
  </si>
  <si>
    <t>Acute Fixture &amp; Tooling Household</t>
  </si>
  <si>
    <t>692</t>
  </si>
  <si>
    <t>RIDGELINE ENTERPRISES HOUSEHOLD</t>
  </si>
  <si>
    <t>817</t>
  </si>
  <si>
    <t>ANGELA C PAGEAU REV TRT HOUSEHOLD</t>
  </si>
  <si>
    <t>1004</t>
  </si>
  <si>
    <t>SABRENY LP HOUSEHOLD</t>
  </si>
  <si>
    <t>1005</t>
  </si>
  <si>
    <t>RONALD L NEWTON HOUSEHOLD</t>
  </si>
  <si>
    <t>FEM-Sam Bazido</t>
  </si>
  <si>
    <t>436</t>
  </si>
  <si>
    <t>1006</t>
  </si>
  <si>
    <t>CENTROIS LLC HOUSEHOLD</t>
  </si>
  <si>
    <t>1011</t>
  </si>
  <si>
    <t>MAKOMI INC HOUSEHOLD</t>
  </si>
  <si>
    <t>1019</t>
  </si>
  <si>
    <t>TIDY MRO ENTERPRISES LLC HOUSEHOLD</t>
  </si>
  <si>
    <t>1028</t>
  </si>
  <si>
    <t>EDWARD D ROOS HOUSEHOLD</t>
  </si>
  <si>
    <t>1029</t>
  </si>
  <si>
    <t>SAVARINO PROPERTIES HOUSEHOLD</t>
  </si>
  <si>
    <t>1033</t>
  </si>
  <si>
    <t>CANCER SUPPORT COMMUNITY HOUSEHOLD</t>
  </si>
  <si>
    <t>1041</t>
  </si>
  <si>
    <t>JDI TRAVEL INC HOUSEHOLD</t>
  </si>
  <si>
    <t>1042</t>
  </si>
  <si>
    <t>FINNEA GROUP LLC HOUSEHOLD</t>
  </si>
  <si>
    <t>1049</t>
  </si>
  <si>
    <t>RWC GROUP LLC HOUSEHOLD</t>
  </si>
  <si>
    <t>Robert Harbers</t>
  </si>
  <si>
    <t>FEM-Danielle Mulka</t>
  </si>
  <si>
    <t>1051</t>
  </si>
  <si>
    <t>ORCHARD LABORATORIES CORP HOUSEHOLD</t>
  </si>
  <si>
    <t>FEM-Robert Marschall</t>
  </si>
  <si>
    <t>Keagan Hinkley</t>
  </si>
  <si>
    <t>1064</t>
  </si>
  <si>
    <t>ADVANCED RESEARCH COMPANY HOUSEHOLD</t>
  </si>
  <si>
    <t>FEM-Alex Litchfield</t>
  </si>
  <si>
    <t>1094</t>
  </si>
  <si>
    <t>APEX ENGINEERED SYSTEMS LLC HOUSEHOLD</t>
  </si>
  <si>
    <t>1104</t>
  </si>
  <si>
    <t>AKPINAR CHILDRENS CLINIC PC HOUSEHOLD</t>
  </si>
  <si>
    <t>1120</t>
  </si>
  <si>
    <t>GOSCINNY DOM LP HOUSEHOLD</t>
  </si>
  <si>
    <t>FEM-Scott Triplett</t>
  </si>
  <si>
    <t>1159</t>
  </si>
  <si>
    <t>CASCADES OF STONEY CREEK ASSOC HOUSEHOLD</t>
  </si>
  <si>
    <t>1163</t>
  </si>
  <si>
    <t>NOUD LP HOUSEHOLD</t>
  </si>
  <si>
    <t>1169</t>
  </si>
  <si>
    <t>ROOMROOF LP HOUSEHOLD</t>
  </si>
  <si>
    <t>1178</t>
  </si>
  <si>
    <t>CBW US ENTERPRISES LP HOUSEHOLD</t>
  </si>
  <si>
    <t>1179</t>
  </si>
  <si>
    <t>HABITANT HOUSING LP HOUSEHOLD</t>
  </si>
  <si>
    <t>1186</t>
  </si>
  <si>
    <t>WMS FULCRUM LP HOUSEHOLD</t>
  </si>
  <si>
    <t>1187</t>
  </si>
  <si>
    <t>REMYNIKO LP HOUSEHOLD</t>
  </si>
  <si>
    <t>1188</t>
  </si>
  <si>
    <t>KAGISO USA LLC HOUSEHOLD</t>
  </si>
  <si>
    <t>1189</t>
  </si>
  <si>
    <t>CACMG USA LLC HOUSEHOLD</t>
  </si>
  <si>
    <t>1190</t>
  </si>
  <si>
    <t>DS WINGS &amp; DS TREATS INC HOUSEHOLD</t>
  </si>
  <si>
    <t>1196</t>
  </si>
  <si>
    <t>VIRTUOUS RP USA HOUSEHOLD</t>
  </si>
  <si>
    <t>1212</t>
  </si>
  <si>
    <t>H &amp; O INNOVATIONS LLC HOUSEHOLD</t>
  </si>
  <si>
    <t>1219</t>
  </si>
  <si>
    <t>HOME TOWN PHARMACY INC HOUSEHOLD</t>
  </si>
  <si>
    <t>1231</t>
  </si>
  <si>
    <t>CATHOLIC CHARITIES OF SOUTHEAST MICHIGAN HOUSEHOLD</t>
  </si>
  <si>
    <t>1240</t>
  </si>
  <si>
    <t>SUNSHINE ENCLOSURES LLC HOUSEHOLD</t>
  </si>
  <si>
    <t>1243</t>
  </si>
  <si>
    <t>THE C STORE DEPOT INC HOUSEHOLD</t>
  </si>
  <si>
    <t>1246</t>
  </si>
  <si>
    <t>VAIBHAVLAXMI INC HOUSEHOLD</t>
  </si>
  <si>
    <t>1248</t>
  </si>
  <si>
    <t>SUNNINGDALE RESTORATION LLC HOUSEHOLD</t>
  </si>
  <si>
    <t>1250</t>
  </si>
  <si>
    <t>ASSET AVENUE LLC HOUSEHOLD</t>
  </si>
  <si>
    <t>1251</t>
  </si>
  <si>
    <t>BLUEPEAK INVESTMENTS LLC HOUSEHOLD</t>
  </si>
  <si>
    <t>194</t>
  </si>
  <si>
    <t>20/20 VISION OF ROCHESTER INC HOUSEHOLD</t>
  </si>
  <si>
    <t>24</t>
  </si>
  <si>
    <t>CEDAR CREST REAL ESTATE LLC HOUSEHOLD</t>
  </si>
  <si>
    <t>26</t>
  </si>
  <si>
    <t>CHARLES SCHNEIDER HOUSEHOLD</t>
  </si>
  <si>
    <t>292</t>
  </si>
  <si>
    <t>HOSPITALITY ENTERPRISES INC HOUSEHOLD</t>
  </si>
  <si>
    <t>299</t>
  </si>
  <si>
    <t>AIKAM PROPERTIES LP HOUSEHOLD</t>
  </si>
  <si>
    <t>317</t>
  </si>
  <si>
    <t>GENERAL MACK CONTRACTOR LLC HOUSEHOLD</t>
  </si>
  <si>
    <t>37</t>
  </si>
  <si>
    <t>Jason Murphy Household</t>
  </si>
  <si>
    <t>378</t>
  </si>
  <si>
    <t>Wise Learning Corporation Household</t>
  </si>
  <si>
    <t>5</t>
  </si>
  <si>
    <t>Angel Buildings LLC Household</t>
  </si>
  <si>
    <t>545</t>
  </si>
  <si>
    <t>Bellagio of Lakeside LLC Household</t>
  </si>
  <si>
    <t>563</t>
  </si>
  <si>
    <t>Harold F Polemitis Household</t>
  </si>
  <si>
    <t>673</t>
  </si>
  <si>
    <t>HOME SELLERS OF MI INC HOUSEHOLD</t>
  </si>
  <si>
    <t>72</t>
  </si>
  <si>
    <t>BTKM ENTERPRISES INC HOUSEHOLD</t>
  </si>
  <si>
    <t>740</t>
  </si>
  <si>
    <t>MICHAEL C ZAK OD PLLC HOUSEHOLD</t>
  </si>
  <si>
    <t>744</t>
  </si>
  <si>
    <t>ELECTRICAL TERMINAL SERVICE INC HOUSEHOLD</t>
  </si>
  <si>
    <t>756</t>
  </si>
  <si>
    <t>ROSTAM ADULT AND PEDIATRIC MEDICINE HOUSEHOLD</t>
  </si>
  <si>
    <t>757</t>
  </si>
  <si>
    <t>WEISSMAN HOUSEHOLD</t>
  </si>
  <si>
    <t>816</t>
  </si>
  <si>
    <t>JESSICA ABRAHAM HOUSEHOLD</t>
  </si>
  <si>
    <t>827</t>
  </si>
  <si>
    <t>A &amp; B BUILDERS INC HOUSEHOLD</t>
  </si>
  <si>
    <t>837</t>
  </si>
  <si>
    <t>PUSHNA WELLNESS HOUSEHOLD</t>
  </si>
  <si>
    <t>844</t>
  </si>
  <si>
    <t>SCADLOCK INC HOUSEHOLD</t>
  </si>
  <si>
    <t>Anne Mask</t>
  </si>
  <si>
    <t>750</t>
  </si>
  <si>
    <t>849</t>
  </si>
  <si>
    <t>GICANTE CAPITAL LP HOUSEHOLD</t>
  </si>
  <si>
    <t>851</t>
  </si>
  <si>
    <t>SONYNA M DILLER HOUSEHOLD</t>
  </si>
  <si>
    <t>Melissa Palazzolo</t>
  </si>
  <si>
    <t>860</t>
  </si>
  <si>
    <t>CITIZENS FOR PENNY S SHULTS HOUSEHOLD</t>
  </si>
  <si>
    <t>863</t>
  </si>
  <si>
    <t>RCC-LO PARENT INVOLVEMENT COMMITTEE HOUSEHOLD</t>
  </si>
  <si>
    <t>873</t>
  </si>
  <si>
    <t>PHILIP A LACOURSIERE HOUSEHOLD</t>
  </si>
  <si>
    <t>880</t>
  </si>
  <si>
    <t>CANTWELL CUMMINS MOFFATT &amp; STUART PC HOUSEHOLD</t>
  </si>
  <si>
    <t>894</t>
  </si>
  <si>
    <t>ULTIMATE VISION PROPERTIES LP HOUSEHOLD</t>
  </si>
  <si>
    <t>895</t>
  </si>
  <si>
    <t>GEOHAVEN PROPERTY GROUP LP HOUSEHOLD</t>
  </si>
  <si>
    <t>945</t>
  </si>
  <si>
    <t>4N INVESTMENTS LP HOUSEHOLD</t>
  </si>
  <si>
    <t>953</t>
  </si>
  <si>
    <t>DENNIS DEMBIEC HOUSEHOLD</t>
  </si>
  <si>
    <t>962</t>
  </si>
  <si>
    <t>JWS SERVICES INC HOUSEHOLD</t>
  </si>
  <si>
    <t>966</t>
  </si>
  <si>
    <t>SMITA LLC HOUSEHOLD</t>
  </si>
  <si>
    <t>976</t>
  </si>
  <si>
    <t>COLE CARBIDE INDUSTRIES INC HOUSEHOLD</t>
  </si>
  <si>
    <t>997</t>
  </si>
  <si>
    <t>GOLF HIGHLANDS HOA HOUSEHOLD</t>
  </si>
  <si>
    <t>Deposit Balance Change Month-over-Month</t>
  </si>
  <si>
    <t>Deposit Balance Change Year-to-date</t>
  </si>
  <si>
    <t>Totals</t>
  </si>
  <si>
    <t>% of Deposits to Loans (YTD)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</si>
</sst>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\$#,##0;\(\$#,##0\);\$#,##0"/>
    <numFmt numFmtId="165" formatCode="_([$$-409]* #,##0_);_([$$-409]* \(#,##0\);_([$$-409]* &quot;-&quot;??_);_(@_)"/>
    <numFmt numFmtId="166" formatCode="_(&quot;$&quot;* #,##0_);_(&quot;$&quot;* \(#,##0\);_(&quot;$&quot;* &quot;-&quot;??_);_(@_)"/>
    <numFmt numFmtId="167" formatCode="&quot;$&quot;#,##0"/>
  </numFmts>
  <fonts count="9" x14ac:knownFonts="1">
    <font>
      <sz val="11"/>
      <name val="Aptos Narrow"/>
    </font>
    <font>
      <b/>
      <sz val="11"/>
      <name val="Aptos Narrow"/>
      <family val="2"/>
    </font>
    <font>
      <b/>
      <sz val="12"/>
      <name val="Aptos Narrow"/>
      <family val="2"/>
    </font>
    <font>
      <sz val="11"/>
      <name val="Aptos Narrow"/>
      <family val="2"/>
    </font>
    <font>
      <sz val="11"/>
      <name val="Calibri"/>
      <family val="2"/>
    </font>
    <font>
      <b/>
      <sz val="11"/>
      <color rgb="FFEB882C"/>
      <name val="Aptos Narrow"/>
      <family val="2"/>
    </font>
    <font>
      <b/>
      <sz val="11"/>
      <name val="Aptos Narrow"/>
      <family val="2"/>
      <scheme val="minor"/>
    </font>
    <font>
      <b/>
      <sz val="11"/>
      <color rgb="FFEB882C"/>
      <name val="Aptos Narrow"/>
      <family val="2"/>
      <scheme val="minor"/>
    </font>
    <font>
      <sz val="12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3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1" xfId="0" applyBorder="1" applyAlignment="1">
      <alignment wrapText="1"/>
    </xf>
    <xf numFmtId="167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9" fontId="4" fillId="0" borderId="0" xfId="0" applyNumberFormat="1" applyFont="1"/>
    <xf numFmtId="167" fontId="3" fillId="0" borderId="1" xfId="0" applyNumberFormat="1" applyFont="1" applyBorder="1" applyAlignment="1">
      <alignment wrapText="1"/>
    </xf>
    <xf numFmtId="167" fontId="0" fillId="0" borderId="0" xfId="0" applyNumberFormat="1"/>
    <xf numFmtId="9" fontId="3" fillId="0" borderId="1" xfId="0" applyNumberFormat="1" applyFont="1" applyBorder="1" applyAlignment="1">
      <alignment wrapText="1"/>
    </xf>
    <xf numFmtId="9" fontId="0" fillId="0" borderId="0" xfId="0" applyNumberFormat="1"/>
    <xf numFmtId="0" fontId="0" fillId="0" borderId="2" xfId="0" applyBorder="1"/>
    <xf numFmtId="164" fontId="0" fillId="0" borderId="0" xfId="0" applyNumberFormat="1" applyAlignment="1">
      <alignment wrapText="1"/>
    </xf>
    <xf numFmtId="9" fontId="2" fillId="3" borderId="2" xfId="1" applyNumberFormat="1" applyFont="1" applyFill="1" applyBorder="1" applyAlignment="1">
      <alignment wrapText="1"/>
    </xf>
    <xf numFmtId="165" fontId="2" fillId="0" borderId="2" xfId="1" applyNumberFormat="1" applyFont="1" applyBorder="1" applyAlignment="1">
      <alignment wrapText="1"/>
    </xf>
    <xf numFmtId="0" fontId="1" fillId="0" borderId="2" xfId="1" applyFont="1" applyBorder="1" applyAlignment="1">
      <alignment horizontal="center" vertical="center" wrapText="1"/>
    </xf>
    <xf numFmtId="9" fontId="1" fillId="3" borderId="2" xfId="1" applyNumberFormat="1" applyFont="1" applyFill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horizontal="center" vertical="center" wrapText="1"/>
    </xf>
    <xf numFmtId="9" fontId="5" fillId="0" borderId="2" xfId="1" applyNumberFormat="1" applyFont="1" applyBorder="1" applyAlignment="1">
      <alignment wrapText="1"/>
    </xf>
    <xf numFmtId="165" fontId="3" fillId="0" borderId="2" xfId="1" applyNumberFormat="1" applyBorder="1" applyAlignment="1">
      <alignment wrapText="1"/>
    </xf>
    <xf numFmtId="9" fontId="6" fillId="3" borderId="2" xfId="1" applyNumberFormat="1" applyFont="1" applyFill="1" applyBorder="1" applyAlignment="1">
      <alignment horizontal="center" vertical="center" wrapText="1"/>
    </xf>
    <xf numFmtId="9" fontId="7" fillId="0" borderId="2" xfId="1" applyNumberFormat="1" applyFont="1" applyBorder="1"/>
    <xf numFmtId="9" fontId="1" fillId="0" borderId="0" xfId="1" applyNumberFormat="1" applyFont="1" applyAlignment="1">
      <alignment wrapText="1"/>
    </xf>
    <xf numFmtId="165" fontId="3" fillId="0" borderId="0" xfId="1" applyNumberFormat="1" applyAlignment="1">
      <alignment wrapText="1"/>
    </xf>
    <xf numFmtId="0" fontId="3" fillId="0" borderId="0" xfId="1" applyAlignment="1">
      <alignment horizontal="center" vertical="center" wrapText="1"/>
    </xf>
    <xf numFmtId="0" fontId="3" fillId="0" borderId="0" xfId="1" applyAlignment="1">
      <alignment wrapText="1"/>
    </xf>
    <xf numFmtId="0" fontId="8" fillId="0" borderId="0" xfId="1" applyFont="1" applyAlignment="1">
      <alignment wrapText="1"/>
    </xf>
    <xf numFmtId="9" fontId="7" fillId="0" borderId="0" xfId="1" applyNumberFormat="1" applyFont="1" applyAlignment="1">
      <alignment wrapText="1"/>
    </xf>
    <xf numFmtId="166" fontId="0" fillId="0" borderId="0" xfId="2" applyNumberFormat="1" applyFont="1" applyBorder="1" applyAlignment="1">
      <alignment wrapText="1"/>
    </xf>
    <xf numFmtId="0" fontId="2" fillId="0" borderId="0" xfId="1" applyFont="1" applyAlignment="1">
      <alignment wrapText="1"/>
    </xf>
    <xf numFmtId="166" fontId="1" fillId="2" borderId="2" xfId="2" applyNumberFormat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166" fontId="0" fillId="0" borderId="2" xfId="2" applyNumberFormat="1" applyFont="1" applyFill="1" applyBorder="1" applyAlignment="1">
      <alignment wrapText="1"/>
    </xf>
    <xf numFmtId="0" fontId="2" fillId="3" borderId="2" xfId="1" applyFont="1" applyFill="1" applyBorder="1" applyAlignment="1">
      <alignment horizontal="left" wrapText="1"/>
    </xf>
    <xf numFmtId="0" fontId="2" fillId="3" borderId="2" xfId="1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wrapText="1"/>
    </xf>
    <xf numFmtId="167" fontId="2" fillId="3" borderId="2" xfId="1" applyNumberFormat="1" applyFont="1" applyFill="1" applyBorder="1" applyAlignment="1">
      <alignment wrapText="1"/>
    </xf>
  </cellXfs>
  <cellStyles count="3">
    <cellStyle name="Currency 2" xfId="2" xr:uid="{960D8A94-BA07-460B-8CE4-70A42C996F1E}"/>
    <cellStyle name="Normal" xfId="0" builtinId="0"/>
    <cellStyle name="Normal 2" xfId="1" xr:uid="{9BF753F0-82F5-4FFE-BF74-6D5D7D4B281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00B050"/>
      </font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B882C"/>
      <color rgb="FF222C6A"/>
      <color rgb="FF8789A3"/>
      <color rgb="FF4557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3BBD-FEEB-4898-AB92-D94C3CA25F6E}">
  <dimension ref="A1:L1084"/>
  <sheetViews>
    <sheetView tabSelected="1" workbookViewId="0">
      <pane ySplit="1" topLeftCell="A695" activePane="bottomLeft" state="frozen"/>
      <selection pane="bottomLeft" activeCell="A695" sqref="A695"/>
    </sheetView>
  </sheetViews>
  <sheetFormatPr defaultColWidth="9.1796875" defaultRowHeight="35.15" customHeight="1" x14ac:dyDescent="0.4"/>
  <cols>
    <col min="1" max="1" width="15.7265625" style="24" customWidth="1"/>
    <col min="2" max="2" width="44.08984375" style="24" customWidth="1"/>
    <col min="3" max="3" width="19.1796875" style="24" customWidth="1"/>
    <col min="4" max="4" width="15.7265625" style="24" customWidth="1"/>
    <col min="5" max="5" width="10.7265625" style="22" customWidth="1"/>
    <col min="6" max="6" width="10.7265625" style="27" customWidth="1"/>
    <col min="7" max="7" width="10.7265625" style="22" customWidth="1"/>
    <col min="8" max="8" width="14.1796875" style="23" customWidth="1"/>
    <col min="9" max="10" width="14.1796875" style="28" customWidth="1"/>
    <col min="11" max="12" width="16.7265625" style="29" customWidth="1"/>
    <col min="13" max="16384" width="9.1796875" style="25"/>
  </cols>
  <sheetData>
    <row r="1" spans="1:12" s="24" customFormat="1" ht="84" customHeight="1" x14ac:dyDescent="0.35">
      <c r="A1" s="15" t="s">
        <v>0</v>
      </c>
      <c r="B1" s="15" t="s">
        <v>1</v>
      </c>
      <c r="C1" s="15" t="s">
        <v>3</v>
      </c>
      <c r="D1" s="15" t="s">
        <v>2</v>
      </c>
      <c r="E1" s="16" t="s">
        <v>2216</v>
      </c>
      <c r="F1" s="20" t="s">
        <v>2217</v>
      </c>
      <c r="G1" s="16" t="s">
        <v>2390</v>
      </c>
      <c r="H1" s="17" t="s">
        <v>5</v>
      </c>
      <c r="I1" s="30" t="s">
        <v>6</v>
      </c>
      <c r="J1" s="30" t="s">
        <v>4</v>
      </c>
      <c r="K1" s="31" t="s">
        <v>2387</v>
      </c>
      <c r="L1" s="31" t="s">
        <v>2388</v>
      </c>
    </row>
    <row r="2" spans="1:12" ht="35.15" customHeight="1" x14ac:dyDescent="0.4">
      <c r="A2" s="11" t="s">
        <v>8</v>
      </c>
      <c r="B2" s="11" t="s">
        <v>9</v>
      </c>
      <c r="C2" s="11" t="s">
        <v>11</v>
      </c>
      <c r="D2" s="11" t="s">
        <v>10</v>
      </c>
      <c r="E2" s="18">
        <f>_xlfn.XLOOKUP(A2,'Current Month'!A:A,'Current Month'!I:I,"")</f>
        <v>24.4316432071744</v>
      </c>
      <c r="F2" s="21">
        <f>_xlfn.XLOOKUP(A2,'Prior Month'!A:A,'Prior Month'!I:I,"")</f>
        <v>25.568844316669082</v>
      </c>
      <c r="G2" s="18">
        <f>_xlfn.XLOOKUP(A2,'Year end 2024'!A:A,'Year end 2024'!I:I,"")</f>
        <v>20.153983262123646</v>
      </c>
      <c r="H2" s="19">
        <f>_xlfn.XLOOKUP(A2,'Current Month'!A:A,'Current Month'!E:E,0,0)</f>
        <v>33327940.379999999</v>
      </c>
      <c r="I2" s="32">
        <f>_xlfn.XLOOKUP(A2,'Prior Month'!A:A,'Prior Month'!E:E,0,0)</f>
        <v>34935883.810000002</v>
      </c>
      <c r="J2" s="32">
        <f>_xlfn.XLOOKUP(A2,'Year end 2024'!A:A,'Year end 2024'!E:E,0,0)</f>
        <v>37995704.659999996</v>
      </c>
      <c r="K2" s="14">
        <f t="shared" ref="K2:K65" si="0">IFERROR(SUM(H2-I2),H2)</f>
        <v>-1607943.4300000034</v>
      </c>
      <c r="L2" s="14">
        <f t="shared" ref="L2:L65" si="1">IFERROR(SUM(H2-J2),H2)</f>
        <v>-4667764.2799999975</v>
      </c>
    </row>
    <row r="3" spans="1:12" ht="35.15" customHeight="1" x14ac:dyDescent="0.4">
      <c r="A3" s="11" t="s">
        <v>12</v>
      </c>
      <c r="B3" s="11" t="s">
        <v>13</v>
      </c>
      <c r="C3" s="11" t="s">
        <v>15</v>
      </c>
      <c r="D3" s="11" t="s">
        <v>14</v>
      </c>
      <c r="E3" s="18">
        <f>_xlfn.XLOOKUP(A3,'Current Month'!A:A,'Current Month'!I:I,"")</f>
        <v>0.13707749071713102</v>
      </c>
      <c r="F3" s="21">
        <f>_xlfn.XLOOKUP(A3,'Prior Month'!A:A,'Prior Month'!I:I,"")</f>
        <v>0.1093362315091041</v>
      </c>
      <c r="G3" s="18">
        <f>_xlfn.XLOOKUP(A3,'Year end 2024'!A:A,'Year end 2024'!I:I,"")</f>
        <v>3.1256664968221236E-2</v>
      </c>
      <c r="H3" s="19">
        <f>_xlfn.XLOOKUP(A3,'Current Month'!A:A,'Current Month'!E:E,0,0)</f>
        <v>165289.76</v>
      </c>
      <c r="I3" s="32">
        <f>_xlfn.XLOOKUP(A3,'Prior Month'!A:A,'Prior Month'!E:E,0,0)</f>
        <v>132546.60999999999</v>
      </c>
      <c r="J3" s="32">
        <f>_xlfn.XLOOKUP(A3,'Year end 2024'!A:A,'Year end 2024'!E:E,0,0)</f>
        <v>23095.279999999999</v>
      </c>
      <c r="K3" s="14">
        <f t="shared" si="0"/>
        <v>32743.150000000023</v>
      </c>
      <c r="L3" s="14">
        <f t="shared" si="1"/>
        <v>142194.48000000001</v>
      </c>
    </row>
    <row r="4" spans="1:12" ht="35.15" customHeight="1" x14ac:dyDescent="0.4">
      <c r="A4" s="11" t="s">
        <v>16</v>
      </c>
      <c r="B4" s="11" t="s">
        <v>17</v>
      </c>
      <c r="C4" s="11" t="s">
        <v>19</v>
      </c>
      <c r="D4" s="11" t="s">
        <v>18</v>
      </c>
      <c r="E4" s="18" t="str">
        <f>_xlfn.XLOOKUP(A4,'Current Month'!A:A,'Current Month'!I:I,"")</f>
        <v/>
      </c>
      <c r="F4" s="21" t="str">
        <f>_xlfn.XLOOKUP(A4,'Prior Month'!A:A,'Prior Month'!I:I,"")</f>
        <v/>
      </c>
      <c r="G4" s="18" t="str">
        <f>_xlfn.XLOOKUP(A4,'Year end 2024'!A:A,'Year end 2024'!I:I,"")</f>
        <v/>
      </c>
      <c r="H4" s="19">
        <f>_xlfn.XLOOKUP(A4,'Current Month'!A:A,'Current Month'!E:E,0,0)</f>
        <v>22867.55</v>
      </c>
      <c r="I4" s="32">
        <f>_xlfn.XLOOKUP(A4,'Prior Month'!A:A,'Prior Month'!E:E,0,0)</f>
        <v>23748.959999999999</v>
      </c>
      <c r="J4" s="32">
        <f>_xlfn.XLOOKUP(A4,'Year end 2024'!A:A,'Year end 2024'!E:E,0,0)</f>
        <v>28115.119999999999</v>
      </c>
      <c r="K4" s="14">
        <f t="shared" si="0"/>
        <v>-881.40999999999985</v>
      </c>
      <c r="L4" s="14">
        <f t="shared" si="1"/>
        <v>-5247.57</v>
      </c>
    </row>
    <row r="5" spans="1:12" ht="35.15" customHeight="1" x14ac:dyDescent="0.4">
      <c r="A5" s="11" t="s">
        <v>20</v>
      </c>
      <c r="B5" s="11" t="s">
        <v>21</v>
      </c>
      <c r="C5" s="11" t="s">
        <v>23</v>
      </c>
      <c r="D5" s="11" t="s">
        <v>22</v>
      </c>
      <c r="E5" s="18" t="str">
        <f>_xlfn.XLOOKUP(A5,'Current Month'!A:A,'Current Month'!I:I,"")</f>
        <v/>
      </c>
      <c r="F5" s="21" t="str">
        <f>_xlfn.XLOOKUP(A5,'Prior Month'!A:A,'Prior Month'!I:I,"")</f>
        <v/>
      </c>
      <c r="G5" s="18" t="str">
        <f>_xlfn.XLOOKUP(A5,'Year end 2024'!A:A,'Year end 2024'!I:I,"")</f>
        <v/>
      </c>
      <c r="H5" s="19">
        <f>_xlfn.XLOOKUP(A5,'Current Month'!A:A,'Current Month'!E:E,0,0)</f>
        <v>0</v>
      </c>
      <c r="I5" s="32">
        <f>_xlfn.XLOOKUP(A5,'Prior Month'!A:A,'Prior Month'!E:E,0,0)</f>
        <v>0</v>
      </c>
      <c r="J5" s="32">
        <f>_xlfn.XLOOKUP(A5,'Year end 2024'!A:A,'Year end 2024'!E:E,0,0)</f>
        <v>0</v>
      </c>
      <c r="K5" s="14">
        <f t="shared" si="0"/>
        <v>0</v>
      </c>
      <c r="L5" s="14">
        <f t="shared" si="1"/>
        <v>0</v>
      </c>
    </row>
    <row r="6" spans="1:12" ht="35.15" customHeight="1" x14ac:dyDescent="0.4">
      <c r="A6" s="11" t="s">
        <v>24</v>
      </c>
      <c r="B6" s="11" t="s">
        <v>25</v>
      </c>
      <c r="C6" s="11" t="s">
        <v>19</v>
      </c>
      <c r="D6" s="11" t="s">
        <v>18</v>
      </c>
      <c r="E6" s="18" t="str">
        <f>_xlfn.XLOOKUP(A6,'Current Month'!A:A,'Current Month'!I:I,"")</f>
        <v/>
      </c>
      <c r="F6" s="21" t="str">
        <f>_xlfn.XLOOKUP(A6,'Prior Month'!A:A,'Prior Month'!I:I,"")</f>
        <v/>
      </c>
      <c r="G6" s="18" t="str">
        <f>_xlfn.XLOOKUP(A6,'Year end 2024'!A:A,'Year end 2024'!I:I,"")</f>
        <v/>
      </c>
      <c r="H6" s="19">
        <f>_xlfn.XLOOKUP(A6,'Current Month'!A:A,'Current Month'!E:E,0,0)</f>
        <v>220739.22</v>
      </c>
      <c r="I6" s="32">
        <f>_xlfn.XLOOKUP(A6,'Prior Month'!A:A,'Prior Month'!E:E,0,0)</f>
        <v>220739.22</v>
      </c>
      <c r="J6" s="32">
        <f>_xlfn.XLOOKUP(A6,'Year end 2024'!A:A,'Year end 2024'!E:E,0,0)</f>
        <v>15614.22</v>
      </c>
      <c r="K6" s="14">
        <f t="shared" si="0"/>
        <v>0</v>
      </c>
      <c r="L6" s="14">
        <f t="shared" si="1"/>
        <v>205125</v>
      </c>
    </row>
    <row r="7" spans="1:12" ht="35.15" customHeight="1" x14ac:dyDescent="0.4">
      <c r="A7" s="11" t="s">
        <v>26</v>
      </c>
      <c r="B7" s="11" t="s">
        <v>27</v>
      </c>
      <c r="C7" s="11" t="s">
        <v>29</v>
      </c>
      <c r="D7" s="11" t="s">
        <v>28</v>
      </c>
      <c r="E7" s="18" t="str">
        <f>_xlfn.XLOOKUP(A7,'Current Month'!A:A,'Current Month'!I:I,"")</f>
        <v/>
      </c>
      <c r="F7" s="21" t="str">
        <f>_xlfn.XLOOKUP(A7,'Prior Month'!A:A,'Prior Month'!I:I,"")</f>
        <v/>
      </c>
      <c r="G7" s="18" t="str">
        <f>_xlfn.XLOOKUP(A7,'Year end 2024'!A:A,'Year end 2024'!I:I,"")</f>
        <v/>
      </c>
      <c r="H7" s="19">
        <f>_xlfn.XLOOKUP(A7,'Current Month'!A:A,'Current Month'!E:E,0,0)</f>
        <v>20688.59</v>
      </c>
      <c r="I7" s="32">
        <f>_xlfn.XLOOKUP(A7,'Prior Month'!A:A,'Prior Month'!E:E,0,0)</f>
        <v>32628.17</v>
      </c>
      <c r="J7" s="32">
        <f>_xlfn.XLOOKUP(A7,'Year end 2024'!A:A,'Year end 2024'!E:E,0,0)</f>
        <v>32971.550000000003</v>
      </c>
      <c r="K7" s="14">
        <f t="shared" si="0"/>
        <v>-11939.579999999998</v>
      </c>
      <c r="L7" s="14">
        <f t="shared" si="1"/>
        <v>-12282.960000000003</v>
      </c>
    </row>
    <row r="8" spans="1:12" ht="35.15" customHeight="1" x14ac:dyDescent="0.4">
      <c r="A8" s="11" t="s">
        <v>30</v>
      </c>
      <c r="B8" s="11" t="s">
        <v>31</v>
      </c>
      <c r="C8" s="11" t="s">
        <v>33</v>
      </c>
      <c r="D8" s="11" t="s">
        <v>32</v>
      </c>
      <c r="E8" s="18" t="str">
        <f>_xlfn.XLOOKUP(A8,'Current Month'!A:A,'Current Month'!I:I,"")</f>
        <v/>
      </c>
      <c r="F8" s="21" t="str">
        <f>_xlfn.XLOOKUP(A8,'Prior Month'!A:A,'Prior Month'!I:I,"")</f>
        <v/>
      </c>
      <c r="G8" s="18">
        <f>_xlfn.XLOOKUP(A8,'Year end 2024'!A:A,'Year end 2024'!I:I,"")</f>
        <v>2.5914040599999999</v>
      </c>
      <c r="H8" s="19">
        <f>_xlfn.XLOOKUP(A8,'Current Month'!A:A,'Current Month'!E:E,0,0)</f>
        <v>728270.09</v>
      </c>
      <c r="I8" s="32">
        <f>_xlfn.XLOOKUP(A8,'Prior Month'!A:A,'Prior Month'!E:E,0,0)</f>
        <v>728264.62</v>
      </c>
      <c r="J8" s="32">
        <f>_xlfn.XLOOKUP(A8,'Year end 2024'!A:A,'Year end 2024'!E:E,0,0)</f>
        <v>1295702.03</v>
      </c>
      <c r="K8" s="14">
        <f t="shared" si="0"/>
        <v>5.4699999999720603</v>
      </c>
      <c r="L8" s="14">
        <f t="shared" si="1"/>
        <v>-567431.94000000006</v>
      </c>
    </row>
    <row r="9" spans="1:12" ht="35.15" customHeight="1" x14ac:dyDescent="0.4">
      <c r="A9" s="11" t="s">
        <v>34</v>
      </c>
      <c r="B9" s="11" t="s">
        <v>35</v>
      </c>
      <c r="C9" s="11" t="s">
        <v>19</v>
      </c>
      <c r="D9" s="11" t="s">
        <v>18</v>
      </c>
      <c r="E9" s="18" t="str">
        <f>_xlfn.XLOOKUP(A9,'Current Month'!A:A,'Current Month'!I:I,"")</f>
        <v/>
      </c>
      <c r="F9" s="21" t="str">
        <f>_xlfn.XLOOKUP(A9,'Prior Month'!A:A,'Prior Month'!I:I,"")</f>
        <v/>
      </c>
      <c r="G9" s="18" t="str">
        <f>_xlfn.XLOOKUP(A9,'Year end 2024'!A:A,'Year end 2024'!I:I,"")</f>
        <v/>
      </c>
      <c r="H9" s="19">
        <f>_xlfn.XLOOKUP(A9,'Current Month'!A:A,'Current Month'!E:E,0,0)</f>
        <v>233578.99</v>
      </c>
      <c r="I9" s="32">
        <f>_xlfn.XLOOKUP(A9,'Prior Month'!A:A,'Prior Month'!E:E,0,0)</f>
        <v>233583.99</v>
      </c>
      <c r="J9" s="32">
        <f>_xlfn.XLOOKUP(A9,'Year end 2024'!A:A,'Year end 2024'!E:E,0,0)</f>
        <v>233698.99</v>
      </c>
      <c r="K9" s="14">
        <f t="shared" si="0"/>
        <v>-5</v>
      </c>
      <c r="L9" s="14">
        <f t="shared" si="1"/>
        <v>-120</v>
      </c>
    </row>
    <row r="10" spans="1:12" ht="35.15" customHeight="1" x14ac:dyDescent="0.4">
      <c r="A10" s="11" t="s">
        <v>36</v>
      </c>
      <c r="B10" s="11" t="s">
        <v>37</v>
      </c>
      <c r="C10" s="11" t="s">
        <v>29</v>
      </c>
      <c r="D10" s="11" t="s">
        <v>28</v>
      </c>
      <c r="E10" s="18" t="str">
        <f>_xlfn.XLOOKUP(A10,'Current Month'!A:A,'Current Month'!I:I,"")</f>
        <v/>
      </c>
      <c r="F10" s="21" t="str">
        <f>_xlfn.XLOOKUP(A10,'Prior Month'!A:A,'Prior Month'!I:I,"")</f>
        <v/>
      </c>
      <c r="G10" s="18" t="str">
        <f>_xlfn.XLOOKUP(A10,'Year end 2024'!A:A,'Year end 2024'!I:I,"")</f>
        <v/>
      </c>
      <c r="H10" s="19">
        <f>_xlfn.XLOOKUP(A10,'Current Month'!A:A,'Current Month'!E:E,0,0)</f>
        <v>5961.65</v>
      </c>
      <c r="I10" s="32">
        <f>_xlfn.XLOOKUP(A10,'Prior Month'!A:A,'Prior Month'!E:E,0,0)</f>
        <v>5961.65</v>
      </c>
      <c r="J10" s="32">
        <f>_xlfn.XLOOKUP(A10,'Year end 2024'!A:A,'Year end 2024'!E:E,0,0)</f>
        <v>6031.65</v>
      </c>
      <c r="K10" s="14">
        <f t="shared" si="0"/>
        <v>0</v>
      </c>
      <c r="L10" s="14">
        <f t="shared" si="1"/>
        <v>-70</v>
      </c>
    </row>
    <row r="11" spans="1:12" ht="35.15" customHeight="1" x14ac:dyDescent="0.4">
      <c r="A11" s="11" t="s">
        <v>38</v>
      </c>
      <c r="B11" s="11" t="s">
        <v>39</v>
      </c>
      <c r="C11" s="11" t="s">
        <v>41</v>
      </c>
      <c r="D11" s="11" t="s">
        <v>40</v>
      </c>
      <c r="E11" s="18" t="str">
        <f>_xlfn.XLOOKUP(A11,'Current Month'!A:A,'Current Month'!I:I,"")</f>
        <v/>
      </c>
      <c r="F11" s="21" t="str">
        <f>_xlfn.XLOOKUP(A11,'Prior Month'!A:A,'Prior Month'!I:I,"")</f>
        <v/>
      </c>
      <c r="G11" s="18" t="str">
        <f>_xlfn.XLOOKUP(A11,'Year end 2024'!A:A,'Year end 2024'!I:I,"")</f>
        <v/>
      </c>
      <c r="H11" s="19">
        <f>_xlfn.XLOOKUP(A11,'Current Month'!A:A,'Current Month'!E:E,0,0)</f>
        <v>57558.93</v>
      </c>
      <c r="I11" s="32">
        <f>_xlfn.XLOOKUP(A11,'Prior Month'!A:A,'Prior Month'!E:E,0,0)</f>
        <v>45089.47</v>
      </c>
      <c r="J11" s="32">
        <f>_xlfn.XLOOKUP(A11,'Year end 2024'!A:A,'Year end 2024'!E:E,0,0)</f>
        <v>57460.44</v>
      </c>
      <c r="K11" s="14">
        <f t="shared" si="0"/>
        <v>12469.46</v>
      </c>
      <c r="L11" s="14">
        <f t="shared" si="1"/>
        <v>98.489999999997963</v>
      </c>
    </row>
    <row r="12" spans="1:12" ht="35.15" customHeight="1" x14ac:dyDescent="0.4">
      <c r="A12" s="11" t="s">
        <v>42</v>
      </c>
      <c r="B12" s="11" t="s">
        <v>43</v>
      </c>
      <c r="C12" s="11" t="s">
        <v>45</v>
      </c>
      <c r="D12" s="11" t="s">
        <v>44</v>
      </c>
      <c r="E12" s="18" t="str">
        <f>_xlfn.XLOOKUP(A12,'Current Month'!A:A,'Current Month'!I:I,"")</f>
        <v/>
      </c>
      <c r="F12" s="21" t="str">
        <f>_xlfn.XLOOKUP(A12,'Prior Month'!A:A,'Prior Month'!I:I,"")</f>
        <v/>
      </c>
      <c r="G12" s="18">
        <f>_xlfn.XLOOKUP(A12,'Year end 2024'!A:A,'Year end 2024'!I:I,"")</f>
        <v>11.556421783741634</v>
      </c>
      <c r="H12" s="19">
        <f>_xlfn.XLOOKUP(A12,'Current Month'!A:A,'Current Month'!E:E,0,0)</f>
        <v>152500.04</v>
      </c>
      <c r="I12" s="32">
        <f>_xlfn.XLOOKUP(A12,'Prior Month'!A:A,'Prior Month'!E:E,0,0)</f>
        <v>181111.2</v>
      </c>
      <c r="J12" s="32">
        <f>_xlfn.XLOOKUP(A12,'Year end 2024'!A:A,'Year end 2024'!E:E,0,0)</f>
        <v>142127</v>
      </c>
      <c r="K12" s="14">
        <f t="shared" si="0"/>
        <v>-28611.160000000003</v>
      </c>
      <c r="L12" s="14">
        <f t="shared" si="1"/>
        <v>10373.040000000008</v>
      </c>
    </row>
    <row r="13" spans="1:12" ht="35.15" customHeight="1" x14ac:dyDescent="0.4">
      <c r="A13" s="11" t="s">
        <v>46</v>
      </c>
      <c r="B13" s="11" t="s">
        <v>47</v>
      </c>
      <c r="C13" s="11" t="s">
        <v>29</v>
      </c>
      <c r="D13" s="11" t="s">
        <v>28</v>
      </c>
      <c r="E13" s="18" t="str">
        <f>_xlfn.XLOOKUP(A13,'Current Month'!A:A,'Current Month'!I:I,"")</f>
        <v/>
      </c>
      <c r="F13" s="21" t="str">
        <f>_xlfn.XLOOKUP(A13,'Prior Month'!A:A,'Prior Month'!I:I,"")</f>
        <v/>
      </c>
      <c r="G13" s="18" t="str">
        <f>_xlfn.XLOOKUP(A13,'Year end 2024'!A:A,'Year end 2024'!I:I,"")</f>
        <v/>
      </c>
      <c r="H13" s="19">
        <f>_xlfn.XLOOKUP(A13,'Current Month'!A:A,'Current Month'!E:E,0,0)</f>
        <v>2030.78</v>
      </c>
      <c r="I13" s="32">
        <f>_xlfn.XLOOKUP(A13,'Prior Month'!A:A,'Prior Month'!E:E,0,0)</f>
        <v>2030.78</v>
      </c>
      <c r="J13" s="32">
        <f>_xlfn.XLOOKUP(A13,'Year end 2024'!A:A,'Year end 2024'!E:E,0,0)</f>
        <v>2760.78</v>
      </c>
      <c r="K13" s="14">
        <f t="shared" si="0"/>
        <v>0</v>
      </c>
      <c r="L13" s="14">
        <f t="shared" si="1"/>
        <v>-730.00000000000023</v>
      </c>
    </row>
    <row r="14" spans="1:12" ht="35.15" customHeight="1" x14ac:dyDescent="0.4">
      <c r="A14" s="11" t="s">
        <v>48</v>
      </c>
      <c r="B14" s="11" t="s">
        <v>49</v>
      </c>
      <c r="C14" s="11" t="s">
        <v>51</v>
      </c>
      <c r="D14" s="11" t="s">
        <v>50</v>
      </c>
      <c r="E14" s="18">
        <f>_xlfn.XLOOKUP(A14,'Current Month'!A:A,'Current Month'!I:I,"")</f>
        <v>6.7074531235739809E-2</v>
      </c>
      <c r="F14" s="21">
        <f>_xlfn.XLOOKUP(A14,'Prior Month'!A:A,'Prior Month'!I:I,"")</f>
        <v>7.2620104166036384E-2</v>
      </c>
      <c r="G14" s="18">
        <f>_xlfn.XLOOKUP(A14,'Year end 2024'!A:A,'Year end 2024'!I:I,"")</f>
        <v>6.8387474953778547E-4</v>
      </c>
      <c r="H14" s="19">
        <f>_xlfn.XLOOKUP(A14,'Current Month'!A:A,'Current Month'!E:E,0,0)</f>
        <v>32535.81</v>
      </c>
      <c r="I14" s="32">
        <f>_xlfn.XLOOKUP(A14,'Prior Month'!A:A,'Prior Month'!E:E,0,0)</f>
        <v>35284.800000000003</v>
      </c>
      <c r="J14" s="32">
        <f>_xlfn.XLOOKUP(A14,'Year end 2024'!A:A,'Year end 2024'!E:E,0,0)</f>
        <v>337.61</v>
      </c>
      <c r="K14" s="14">
        <f t="shared" si="0"/>
        <v>-2748.9900000000016</v>
      </c>
      <c r="L14" s="14">
        <f t="shared" si="1"/>
        <v>32198.2</v>
      </c>
    </row>
    <row r="15" spans="1:12" ht="35.15" customHeight="1" x14ac:dyDescent="0.4">
      <c r="A15" s="11" t="s">
        <v>52</v>
      </c>
      <c r="B15" s="11" t="s">
        <v>53</v>
      </c>
      <c r="C15" s="11" t="s">
        <v>19</v>
      </c>
      <c r="D15" s="11" t="s">
        <v>18</v>
      </c>
      <c r="E15" s="18" t="str">
        <f>_xlfn.XLOOKUP(A15,'Current Month'!A:A,'Current Month'!I:I,"")</f>
        <v/>
      </c>
      <c r="F15" s="21" t="str">
        <f>_xlfn.XLOOKUP(A15,'Prior Month'!A:A,'Prior Month'!I:I,"")</f>
        <v/>
      </c>
      <c r="G15" s="18" t="str">
        <f>_xlfn.XLOOKUP(A15,'Year end 2024'!A:A,'Year end 2024'!I:I,"")</f>
        <v/>
      </c>
      <c r="H15" s="19">
        <f>_xlfn.XLOOKUP(A15,'Current Month'!A:A,'Current Month'!E:E,0,0)</f>
        <v>4004.87</v>
      </c>
      <c r="I15" s="32">
        <f>_xlfn.XLOOKUP(A15,'Prior Month'!A:A,'Prior Month'!E:E,0,0)</f>
        <v>3565.5</v>
      </c>
      <c r="J15" s="32">
        <f>_xlfn.XLOOKUP(A15,'Year end 2024'!A:A,'Year end 2024'!E:E,0,0)</f>
        <v>4004.73</v>
      </c>
      <c r="K15" s="14">
        <f t="shared" si="0"/>
        <v>439.36999999999989</v>
      </c>
      <c r="L15" s="14">
        <f t="shared" si="1"/>
        <v>0.13999999999987267</v>
      </c>
    </row>
    <row r="16" spans="1:12" ht="35.15" customHeight="1" x14ac:dyDescent="0.4">
      <c r="A16" s="11" t="s">
        <v>54</v>
      </c>
      <c r="B16" s="11" t="s">
        <v>55</v>
      </c>
      <c r="C16" s="11" t="s">
        <v>57</v>
      </c>
      <c r="D16" s="11" t="s">
        <v>56</v>
      </c>
      <c r="E16" s="18">
        <f>_xlfn.XLOOKUP(A16,'Current Month'!A:A,'Current Month'!I:I,"")</f>
        <v>0.10390050000000001</v>
      </c>
      <c r="F16" s="21">
        <f>_xlfn.XLOOKUP(A16,'Prior Month'!A:A,'Prior Month'!I:I,"")</f>
        <v>3.1446711630430578E-2</v>
      </c>
      <c r="G16" s="18">
        <f>_xlfn.XLOOKUP(A16,'Year end 2024'!A:A,'Year end 2024'!I:I,"")</f>
        <v>7.0241694895001067E-2</v>
      </c>
      <c r="H16" s="19">
        <f>_xlfn.XLOOKUP(A16,'Current Month'!A:A,'Current Month'!E:E,0,0)</f>
        <v>8312.0400000000009</v>
      </c>
      <c r="I16" s="32">
        <f>_xlfn.XLOOKUP(A16,'Prior Month'!A:A,'Prior Month'!E:E,0,0)</f>
        <v>11513.41</v>
      </c>
      <c r="J16" s="32">
        <f>_xlfn.XLOOKUP(A16,'Year end 2024'!A:A,'Year end 2024'!E:E,0,0)</f>
        <v>25899.68</v>
      </c>
      <c r="K16" s="14">
        <f t="shared" si="0"/>
        <v>-3201.369999999999</v>
      </c>
      <c r="L16" s="14">
        <f t="shared" si="1"/>
        <v>-17587.64</v>
      </c>
    </row>
    <row r="17" spans="1:12" ht="35.15" customHeight="1" x14ac:dyDescent="0.4">
      <c r="A17" s="11" t="s">
        <v>58</v>
      </c>
      <c r="B17" s="11" t="s">
        <v>59</v>
      </c>
      <c r="C17" s="11" t="s">
        <v>41</v>
      </c>
      <c r="D17" s="11" t="s">
        <v>40</v>
      </c>
      <c r="E17" s="18">
        <f>_xlfn.XLOOKUP(A17,'Current Month'!A:A,'Current Month'!I:I,"")</f>
        <v>4.0861199999999995E-3</v>
      </c>
      <c r="F17" s="21">
        <f>_xlfn.XLOOKUP(A17,'Prior Month'!A:A,'Prior Month'!I:I,"")</f>
        <v>2.5546200000000001E-3</v>
      </c>
      <c r="G17" s="18">
        <f>_xlfn.XLOOKUP(A17,'Year end 2024'!A:A,'Year end 2024'!I:I,"")</f>
        <v>3.8710939999999999E-2</v>
      </c>
      <c r="H17" s="19">
        <f>_xlfn.XLOOKUP(A17,'Current Month'!A:A,'Current Month'!E:E,0,0)</f>
        <v>2043.06</v>
      </c>
      <c r="I17" s="32">
        <f>_xlfn.XLOOKUP(A17,'Prior Month'!A:A,'Prior Month'!E:E,0,0)</f>
        <v>1277.31</v>
      </c>
      <c r="J17" s="32">
        <f>_xlfn.XLOOKUP(A17,'Year end 2024'!A:A,'Year end 2024'!E:E,0,0)</f>
        <v>19355.47</v>
      </c>
      <c r="K17" s="14">
        <f t="shared" si="0"/>
        <v>765.75</v>
      </c>
      <c r="L17" s="14">
        <f t="shared" si="1"/>
        <v>-17312.41</v>
      </c>
    </row>
    <row r="18" spans="1:12" ht="35.15" customHeight="1" x14ac:dyDescent="0.4">
      <c r="A18" s="11" t="s">
        <v>60</v>
      </c>
      <c r="B18" s="11" t="s">
        <v>61</v>
      </c>
      <c r="C18" s="11" t="s">
        <v>19</v>
      </c>
      <c r="D18" s="11" t="s">
        <v>18</v>
      </c>
      <c r="E18" s="18">
        <f>_xlfn.XLOOKUP(A18,'Current Month'!A:A,'Current Month'!I:I,"")</f>
        <v>2.2588448964732933E-2</v>
      </c>
      <c r="F18" s="21">
        <f>_xlfn.XLOOKUP(A18,'Prior Month'!A:A,'Prior Month'!I:I,"")</f>
        <v>3.6579989127039601E-2</v>
      </c>
      <c r="G18" s="18">
        <f>_xlfn.XLOOKUP(A18,'Year end 2024'!A:A,'Year end 2024'!I:I,"")</f>
        <v>0.13069775248404444</v>
      </c>
      <c r="H18" s="19">
        <f>_xlfn.XLOOKUP(A18,'Current Month'!A:A,'Current Month'!E:E,0,0)</f>
        <v>5006.72</v>
      </c>
      <c r="I18" s="32">
        <f>_xlfn.XLOOKUP(A18,'Prior Month'!A:A,'Prior Month'!E:E,0,0)</f>
        <v>8144.99</v>
      </c>
      <c r="J18" s="32">
        <f>_xlfn.XLOOKUP(A18,'Year end 2024'!A:A,'Year end 2024'!E:E,0,0)</f>
        <v>30283.69</v>
      </c>
      <c r="K18" s="14">
        <f t="shared" si="0"/>
        <v>-3138.2699999999995</v>
      </c>
      <c r="L18" s="14">
        <f t="shared" si="1"/>
        <v>-25276.969999999998</v>
      </c>
    </row>
    <row r="19" spans="1:12" ht="35.15" customHeight="1" x14ac:dyDescent="0.4">
      <c r="A19" s="11" t="s">
        <v>62</v>
      </c>
      <c r="B19" s="11" t="s">
        <v>63</v>
      </c>
      <c r="C19" s="11" t="s">
        <v>51</v>
      </c>
      <c r="D19" s="11" t="s">
        <v>50</v>
      </c>
      <c r="E19" s="18">
        <f>_xlfn.XLOOKUP(A19,'Current Month'!A:A,'Current Month'!I:I,"")</f>
        <v>7.4238226297760924E-3</v>
      </c>
      <c r="F19" s="21">
        <f>_xlfn.XLOOKUP(A19,'Prior Month'!A:A,'Prior Month'!I:I,"")</f>
        <v>6.2546157168934073E-3</v>
      </c>
      <c r="G19" s="18">
        <f>_xlfn.XLOOKUP(A19,'Year end 2024'!A:A,'Year end 2024'!I:I,"")</f>
        <v>7.7679345426974206E-3</v>
      </c>
      <c r="H19" s="19">
        <f>_xlfn.XLOOKUP(A19,'Current Month'!A:A,'Current Month'!E:E,0,0)</f>
        <v>387.53</v>
      </c>
      <c r="I19" s="32">
        <f>_xlfn.XLOOKUP(A19,'Prior Month'!A:A,'Prior Month'!E:E,0,0)</f>
        <v>336.65</v>
      </c>
      <c r="J19" s="32">
        <f>_xlfn.XLOOKUP(A19,'Year end 2024'!A:A,'Year end 2024'!E:E,0,0)</f>
        <v>1413.21</v>
      </c>
      <c r="K19" s="14">
        <f t="shared" si="0"/>
        <v>50.879999999999995</v>
      </c>
      <c r="L19" s="14">
        <f t="shared" si="1"/>
        <v>-1025.68</v>
      </c>
    </row>
    <row r="20" spans="1:12" ht="35.15" customHeight="1" x14ac:dyDescent="0.4">
      <c r="A20" s="11" t="s">
        <v>64</v>
      </c>
      <c r="B20" s="11" t="s">
        <v>65</v>
      </c>
      <c r="C20" s="11" t="s">
        <v>67</v>
      </c>
      <c r="D20" s="11" t="s">
        <v>66</v>
      </c>
      <c r="E20" s="18" t="str">
        <f>_xlfn.XLOOKUP(A20,'Current Month'!A:A,'Current Month'!I:I,"")</f>
        <v/>
      </c>
      <c r="F20" s="21" t="str">
        <f>_xlfn.XLOOKUP(A20,'Prior Month'!A:A,'Prior Month'!I:I,"")</f>
        <v/>
      </c>
      <c r="G20" s="18" t="str">
        <f>_xlfn.XLOOKUP(A20,'Year end 2024'!A:A,'Year end 2024'!I:I,"")</f>
        <v/>
      </c>
      <c r="H20" s="19">
        <f>_xlfn.XLOOKUP(A20,'Current Month'!A:A,'Current Month'!E:E,0,0)</f>
        <v>152109.17000000001</v>
      </c>
      <c r="I20" s="32">
        <f>_xlfn.XLOOKUP(A20,'Prior Month'!A:A,'Prior Month'!E:E,0,0)</f>
        <v>147015.10999999999</v>
      </c>
      <c r="J20" s="32">
        <f>_xlfn.XLOOKUP(A20,'Year end 2024'!A:A,'Year end 2024'!E:E,0,0)</f>
        <v>188654.98</v>
      </c>
      <c r="K20" s="14">
        <f t="shared" si="0"/>
        <v>5094.0600000000268</v>
      </c>
      <c r="L20" s="14">
        <f t="shared" si="1"/>
        <v>-36545.81</v>
      </c>
    </row>
    <row r="21" spans="1:12" ht="35.15" customHeight="1" x14ac:dyDescent="0.4">
      <c r="A21" s="11" t="s">
        <v>68</v>
      </c>
      <c r="B21" s="11" t="s">
        <v>69</v>
      </c>
      <c r="C21" s="11" t="s">
        <v>33</v>
      </c>
      <c r="D21" s="11" t="s">
        <v>32</v>
      </c>
      <c r="E21" s="18" t="str">
        <f>_xlfn.XLOOKUP(A21,'Current Month'!A:A,'Current Month'!I:I,"")</f>
        <v/>
      </c>
      <c r="F21" s="21" t="str">
        <f>_xlfn.XLOOKUP(A21,'Prior Month'!A:A,'Prior Month'!I:I,"")</f>
        <v/>
      </c>
      <c r="G21" s="18" t="str">
        <f>_xlfn.XLOOKUP(A21,'Year end 2024'!A:A,'Year end 2024'!I:I,"")</f>
        <v/>
      </c>
      <c r="H21" s="19">
        <f>_xlfn.XLOOKUP(A21,'Current Month'!A:A,'Current Month'!E:E,0,0)</f>
        <v>186.9</v>
      </c>
      <c r="I21" s="32">
        <f>_xlfn.XLOOKUP(A21,'Prior Month'!A:A,'Prior Month'!E:E,0,0)</f>
        <v>196.9</v>
      </c>
      <c r="J21" s="32">
        <f>_xlfn.XLOOKUP(A21,'Year end 2024'!A:A,'Year end 2024'!E:E,0,0)</f>
        <v>286.89999999999998</v>
      </c>
      <c r="K21" s="14">
        <f t="shared" si="0"/>
        <v>-10</v>
      </c>
      <c r="L21" s="14">
        <f t="shared" si="1"/>
        <v>-99.999999999999972</v>
      </c>
    </row>
    <row r="22" spans="1:12" ht="35.15" customHeight="1" x14ac:dyDescent="0.4">
      <c r="A22" s="11" t="s">
        <v>70</v>
      </c>
      <c r="B22" s="11" t="s">
        <v>71</v>
      </c>
      <c r="C22" s="11" t="s">
        <v>73</v>
      </c>
      <c r="D22" s="11" t="s">
        <v>72</v>
      </c>
      <c r="E22" s="18" t="str">
        <f>_xlfn.XLOOKUP(A22,'Current Month'!A:A,'Current Month'!I:I,"")</f>
        <v/>
      </c>
      <c r="F22" s="21" t="str">
        <f>_xlfn.XLOOKUP(A22,'Prior Month'!A:A,'Prior Month'!I:I,"")</f>
        <v/>
      </c>
      <c r="G22" s="18" t="str">
        <f>_xlfn.XLOOKUP(A22,'Year end 2024'!A:A,'Year end 2024'!I:I,"")</f>
        <v/>
      </c>
      <c r="H22" s="19">
        <f>_xlfn.XLOOKUP(A22,'Current Month'!A:A,'Current Month'!E:E,0,0)</f>
        <v>109473.77</v>
      </c>
      <c r="I22" s="32">
        <f>_xlfn.XLOOKUP(A22,'Prior Month'!A:A,'Prior Month'!E:E,0,0)</f>
        <v>109106.1</v>
      </c>
      <c r="J22" s="32">
        <f>_xlfn.XLOOKUP(A22,'Year end 2024'!A:A,'Year end 2024'!E:E,0,0)</f>
        <v>105804.73</v>
      </c>
      <c r="K22" s="14">
        <f t="shared" si="0"/>
        <v>367.66999999999825</v>
      </c>
      <c r="L22" s="14">
        <f t="shared" si="1"/>
        <v>3669.0400000000081</v>
      </c>
    </row>
    <row r="23" spans="1:12" ht="35.15" customHeight="1" x14ac:dyDescent="0.4">
      <c r="A23" s="11" t="s">
        <v>74</v>
      </c>
      <c r="B23" s="11" t="s">
        <v>75</v>
      </c>
      <c r="C23" s="11" t="s">
        <v>77</v>
      </c>
      <c r="D23" s="11" t="s">
        <v>76</v>
      </c>
      <c r="E23" s="18" t="str">
        <f>_xlfn.XLOOKUP(A23,'Current Month'!A:A,'Current Month'!I:I,"")</f>
        <v/>
      </c>
      <c r="F23" s="21" t="str">
        <f>_xlfn.XLOOKUP(A23,'Prior Month'!A:A,'Prior Month'!I:I,"")</f>
        <v/>
      </c>
      <c r="G23" s="18" t="str">
        <f>_xlfn.XLOOKUP(A23,'Year end 2024'!A:A,'Year end 2024'!I:I,"")</f>
        <v/>
      </c>
      <c r="H23" s="19">
        <f>_xlfn.XLOOKUP(A23,'Current Month'!A:A,'Current Month'!E:E,0,0)</f>
        <v>65065.61</v>
      </c>
      <c r="I23" s="32">
        <f>_xlfn.XLOOKUP(A23,'Prior Month'!A:A,'Prior Month'!E:E,0,0)</f>
        <v>66169.490000000005</v>
      </c>
      <c r="J23" s="32">
        <f>_xlfn.XLOOKUP(A23,'Year end 2024'!A:A,'Year end 2024'!E:E,0,0)</f>
        <v>61127.35</v>
      </c>
      <c r="K23" s="14">
        <f t="shared" si="0"/>
        <v>-1103.8800000000047</v>
      </c>
      <c r="L23" s="14">
        <f t="shared" si="1"/>
        <v>3938.260000000002</v>
      </c>
    </row>
    <row r="24" spans="1:12" ht="35.15" customHeight="1" x14ac:dyDescent="0.4">
      <c r="A24" s="11" t="s">
        <v>78</v>
      </c>
      <c r="B24" s="11" t="s">
        <v>79</v>
      </c>
      <c r="C24" s="11" t="s">
        <v>33</v>
      </c>
      <c r="D24" s="11" t="s">
        <v>32</v>
      </c>
      <c r="E24" s="18" t="str">
        <f>_xlfn.XLOOKUP(A24,'Current Month'!A:A,'Current Month'!I:I,"")</f>
        <v/>
      </c>
      <c r="F24" s="21" t="str">
        <f>_xlfn.XLOOKUP(A24,'Prior Month'!A:A,'Prior Month'!I:I,"")</f>
        <v/>
      </c>
      <c r="G24" s="18" t="str">
        <f>_xlfn.XLOOKUP(A24,'Year end 2024'!A:A,'Year end 2024'!I:I,"")</f>
        <v/>
      </c>
      <c r="H24" s="19">
        <f>_xlfn.XLOOKUP(A24,'Current Month'!A:A,'Current Month'!E:E,0,0)</f>
        <v>185197.59</v>
      </c>
      <c r="I24" s="32">
        <f>_xlfn.XLOOKUP(A24,'Prior Month'!A:A,'Prior Month'!E:E,0,0)</f>
        <v>184605.58</v>
      </c>
      <c r="J24" s="32">
        <f>_xlfn.XLOOKUP(A24,'Year end 2024'!A:A,'Year end 2024'!E:E,0,0)</f>
        <v>269810.03999999998</v>
      </c>
      <c r="K24" s="14">
        <f t="shared" si="0"/>
        <v>592.01000000000931</v>
      </c>
      <c r="L24" s="14">
        <f t="shared" si="1"/>
        <v>-84612.449999999983</v>
      </c>
    </row>
    <row r="25" spans="1:12" ht="35.15" customHeight="1" x14ac:dyDescent="0.4">
      <c r="A25" s="11" t="s">
        <v>80</v>
      </c>
      <c r="B25" s="11" t="s">
        <v>81</v>
      </c>
      <c r="C25" s="11" t="s">
        <v>33</v>
      </c>
      <c r="D25" s="11" t="s">
        <v>32</v>
      </c>
      <c r="E25" s="18" t="str">
        <f>_xlfn.XLOOKUP(A25,'Current Month'!A:A,'Current Month'!I:I,"")</f>
        <v/>
      </c>
      <c r="F25" s="21" t="str">
        <f>_xlfn.XLOOKUP(A25,'Prior Month'!A:A,'Prior Month'!I:I,"")</f>
        <v/>
      </c>
      <c r="G25" s="18" t="str">
        <f>_xlfn.XLOOKUP(A25,'Year end 2024'!A:A,'Year end 2024'!I:I,"")</f>
        <v/>
      </c>
      <c r="H25" s="19">
        <f>_xlfn.XLOOKUP(A25,'Current Month'!A:A,'Current Month'!E:E,0,0)</f>
        <v>305229.83</v>
      </c>
      <c r="I25" s="32">
        <f>_xlfn.XLOOKUP(A25,'Prior Month'!A:A,'Prior Month'!E:E,0,0)</f>
        <v>304204.7</v>
      </c>
      <c r="J25" s="32">
        <f>_xlfn.XLOOKUP(A25,'Year end 2024'!A:A,'Year end 2024'!E:E,0,0)</f>
        <v>295000</v>
      </c>
      <c r="K25" s="14">
        <f t="shared" si="0"/>
        <v>1025.1300000000047</v>
      </c>
      <c r="L25" s="14">
        <f t="shared" si="1"/>
        <v>10229.830000000016</v>
      </c>
    </row>
    <row r="26" spans="1:12" ht="35.15" customHeight="1" x14ac:dyDescent="0.4">
      <c r="A26" s="11" t="s">
        <v>82</v>
      </c>
      <c r="B26" s="11" t="s">
        <v>83</v>
      </c>
      <c r="C26" s="11" t="s">
        <v>73</v>
      </c>
      <c r="D26" s="11" t="s">
        <v>72</v>
      </c>
      <c r="E26" s="18" t="str">
        <f>_xlfn.XLOOKUP(A26,'Current Month'!A:A,'Current Month'!I:I,"")</f>
        <v/>
      </c>
      <c r="F26" s="21" t="str">
        <f>_xlfn.XLOOKUP(A26,'Prior Month'!A:A,'Prior Month'!I:I,"")</f>
        <v/>
      </c>
      <c r="G26" s="18" t="str">
        <f>_xlfn.XLOOKUP(A26,'Year end 2024'!A:A,'Year end 2024'!I:I,"")</f>
        <v/>
      </c>
      <c r="H26" s="19">
        <f>_xlfn.XLOOKUP(A26,'Current Month'!A:A,'Current Month'!E:E,0,0)</f>
        <v>26271.27</v>
      </c>
      <c r="I26" s="32">
        <f>_xlfn.XLOOKUP(A26,'Prior Month'!A:A,'Prior Month'!E:E,0,0)</f>
        <v>70705.06</v>
      </c>
      <c r="J26" s="32">
        <f>_xlfn.XLOOKUP(A26,'Year end 2024'!A:A,'Year end 2024'!E:E,0,0)</f>
        <v>19534.27</v>
      </c>
      <c r="K26" s="14">
        <f t="shared" si="0"/>
        <v>-44433.789999999994</v>
      </c>
      <c r="L26" s="14">
        <f t="shared" si="1"/>
        <v>6737</v>
      </c>
    </row>
    <row r="27" spans="1:12" ht="35.15" customHeight="1" x14ac:dyDescent="0.4">
      <c r="A27" s="11" t="s">
        <v>84</v>
      </c>
      <c r="B27" s="11" t="s">
        <v>85</v>
      </c>
      <c r="C27" s="11" t="s">
        <v>29</v>
      </c>
      <c r="D27" s="11" t="s">
        <v>28</v>
      </c>
      <c r="E27" s="18" t="str">
        <f>_xlfn.XLOOKUP(A27,'Current Month'!A:A,'Current Month'!I:I,"")</f>
        <v/>
      </c>
      <c r="F27" s="21" t="str">
        <f>_xlfn.XLOOKUP(A27,'Prior Month'!A:A,'Prior Month'!I:I,"")</f>
        <v/>
      </c>
      <c r="G27" s="18" t="str">
        <f>_xlfn.XLOOKUP(A27,'Year end 2024'!A:A,'Year end 2024'!I:I,"")</f>
        <v/>
      </c>
      <c r="H27" s="19">
        <f>_xlfn.XLOOKUP(A27,'Current Month'!A:A,'Current Month'!E:E,0,0)</f>
        <v>858</v>
      </c>
      <c r="I27" s="32">
        <f>_xlfn.XLOOKUP(A27,'Prior Month'!A:A,'Prior Month'!E:E,0,0)</f>
        <v>858</v>
      </c>
      <c r="J27" s="32">
        <f>_xlfn.XLOOKUP(A27,'Year end 2024'!A:A,'Year end 2024'!E:E,0,0)</f>
        <v>1373</v>
      </c>
      <c r="K27" s="14">
        <f t="shared" si="0"/>
        <v>0</v>
      </c>
      <c r="L27" s="14">
        <f t="shared" si="1"/>
        <v>-515</v>
      </c>
    </row>
    <row r="28" spans="1:12" ht="35.15" customHeight="1" x14ac:dyDescent="0.4">
      <c r="A28" s="11" t="s">
        <v>86</v>
      </c>
      <c r="B28" s="11" t="s">
        <v>87</v>
      </c>
      <c r="C28" s="11" t="s">
        <v>73</v>
      </c>
      <c r="D28" s="11" t="s">
        <v>72</v>
      </c>
      <c r="E28" s="18" t="str">
        <f>_xlfn.XLOOKUP(A28,'Current Month'!A:A,'Current Month'!I:I,"")</f>
        <v/>
      </c>
      <c r="F28" s="21" t="str">
        <f>_xlfn.XLOOKUP(A28,'Prior Month'!A:A,'Prior Month'!I:I,"")</f>
        <v/>
      </c>
      <c r="G28" s="18" t="str">
        <f>_xlfn.XLOOKUP(A28,'Year end 2024'!A:A,'Year end 2024'!I:I,"")</f>
        <v/>
      </c>
      <c r="H28" s="19">
        <f>_xlfn.XLOOKUP(A28,'Current Month'!A:A,'Current Month'!E:E,0,0)</f>
        <v>3773.67</v>
      </c>
      <c r="I28" s="32">
        <f>_xlfn.XLOOKUP(A28,'Prior Month'!A:A,'Prior Month'!E:E,0,0)</f>
        <v>3803.67</v>
      </c>
      <c r="J28" s="32">
        <f>_xlfn.XLOOKUP(A28,'Year end 2024'!A:A,'Year end 2024'!E:E,0,0)</f>
        <v>1530.15</v>
      </c>
      <c r="K28" s="14">
        <f t="shared" si="0"/>
        <v>-30</v>
      </c>
      <c r="L28" s="14">
        <f t="shared" si="1"/>
        <v>2243.52</v>
      </c>
    </row>
    <row r="29" spans="1:12" ht="35.15" customHeight="1" x14ac:dyDescent="0.4">
      <c r="A29" s="11" t="s">
        <v>88</v>
      </c>
      <c r="B29" s="11" t="s">
        <v>89</v>
      </c>
      <c r="C29" s="11" t="s">
        <v>19</v>
      </c>
      <c r="D29" s="11" t="s">
        <v>18</v>
      </c>
      <c r="E29" s="18" t="str">
        <f>_xlfn.XLOOKUP(A29,'Current Month'!A:A,'Current Month'!I:I,"")</f>
        <v/>
      </c>
      <c r="F29" s="21" t="str">
        <f>_xlfn.XLOOKUP(A29,'Prior Month'!A:A,'Prior Month'!I:I,"")</f>
        <v/>
      </c>
      <c r="G29" s="18" t="str">
        <f>_xlfn.XLOOKUP(A29,'Year end 2024'!A:A,'Year end 2024'!I:I,"")</f>
        <v/>
      </c>
      <c r="H29" s="19">
        <f>_xlfn.XLOOKUP(A29,'Current Month'!A:A,'Current Month'!E:E,0,0)</f>
        <v>2084.15</v>
      </c>
      <c r="I29" s="32">
        <f>_xlfn.XLOOKUP(A29,'Prior Month'!A:A,'Prior Month'!E:E,0,0)</f>
        <v>2089.15</v>
      </c>
      <c r="J29" s="32">
        <f>_xlfn.XLOOKUP(A29,'Year end 2024'!A:A,'Year end 2024'!E:E,0,0)</f>
        <v>316.73</v>
      </c>
      <c r="K29" s="14">
        <f t="shared" si="0"/>
        <v>-5</v>
      </c>
      <c r="L29" s="14">
        <f t="shared" si="1"/>
        <v>1767.42</v>
      </c>
    </row>
    <row r="30" spans="1:12" ht="35.15" customHeight="1" x14ac:dyDescent="0.4">
      <c r="A30" s="11" t="s">
        <v>90</v>
      </c>
      <c r="B30" s="11" t="s">
        <v>91</v>
      </c>
      <c r="C30" s="11" t="s">
        <v>29</v>
      </c>
      <c r="D30" s="11" t="s">
        <v>28</v>
      </c>
      <c r="E30" s="18">
        <f>_xlfn.XLOOKUP(A30,'Current Month'!A:A,'Current Month'!I:I,"")</f>
        <v>6.8426846533224547E-2</v>
      </c>
      <c r="F30" s="21">
        <f>_xlfn.XLOOKUP(A30,'Prior Month'!A:A,'Prior Month'!I:I,"")</f>
        <v>6.4216897432592124E-2</v>
      </c>
      <c r="G30" s="18">
        <f>_xlfn.XLOOKUP(A30,'Year end 2024'!A:A,'Year end 2024'!I:I,"")</f>
        <v>4.4291756896237676E-2</v>
      </c>
      <c r="H30" s="19">
        <f>_xlfn.XLOOKUP(A30,'Current Month'!A:A,'Current Month'!E:E,0,0)</f>
        <v>2738.09</v>
      </c>
      <c r="I30" s="32">
        <f>_xlfn.XLOOKUP(A30,'Prior Month'!A:A,'Prior Month'!E:E,0,0)</f>
        <v>2744.88</v>
      </c>
      <c r="J30" s="32">
        <f>_xlfn.XLOOKUP(A30,'Year end 2024'!A:A,'Year end 2024'!E:E,0,0)</f>
        <v>2451.12</v>
      </c>
      <c r="K30" s="14">
        <f t="shared" si="0"/>
        <v>-6.7899999999999636</v>
      </c>
      <c r="L30" s="14">
        <f t="shared" si="1"/>
        <v>286.97000000000025</v>
      </c>
    </row>
    <row r="31" spans="1:12" ht="35.15" customHeight="1" x14ac:dyDescent="0.4">
      <c r="A31" s="11" t="s">
        <v>92</v>
      </c>
      <c r="B31" s="11" t="s">
        <v>93</v>
      </c>
      <c r="C31" s="11" t="s">
        <v>29</v>
      </c>
      <c r="D31" s="11" t="s">
        <v>28</v>
      </c>
      <c r="E31" s="18" t="str">
        <f>_xlfn.XLOOKUP(A31,'Current Month'!A:A,'Current Month'!I:I,"")</f>
        <v/>
      </c>
      <c r="F31" s="21" t="str">
        <f>_xlfn.XLOOKUP(A31,'Prior Month'!A:A,'Prior Month'!I:I,"")</f>
        <v/>
      </c>
      <c r="G31" s="18" t="str">
        <f>_xlfn.XLOOKUP(A31,'Year end 2024'!A:A,'Year end 2024'!I:I,"")</f>
        <v/>
      </c>
      <c r="H31" s="19">
        <f>_xlfn.XLOOKUP(A31,'Current Month'!A:A,'Current Month'!E:E,0,0)</f>
        <v>8.0299999999999994</v>
      </c>
      <c r="I31" s="32">
        <f>_xlfn.XLOOKUP(A31,'Prior Month'!A:A,'Prior Month'!E:E,0,0)</f>
        <v>8.0299999999999994</v>
      </c>
      <c r="J31" s="32">
        <f>_xlfn.XLOOKUP(A31,'Year end 2024'!A:A,'Year end 2024'!E:E,0,0)</f>
        <v>18.03</v>
      </c>
      <c r="K31" s="14">
        <f t="shared" si="0"/>
        <v>0</v>
      </c>
      <c r="L31" s="14">
        <f t="shared" si="1"/>
        <v>-10.000000000000002</v>
      </c>
    </row>
    <row r="32" spans="1:12" ht="35.15" customHeight="1" x14ac:dyDescent="0.4">
      <c r="A32" s="11" t="s">
        <v>94</v>
      </c>
      <c r="B32" s="11" t="s">
        <v>95</v>
      </c>
      <c r="C32" s="11" t="s">
        <v>19</v>
      </c>
      <c r="D32" s="11" t="s">
        <v>18</v>
      </c>
      <c r="E32" s="18" t="str">
        <f>_xlfn.XLOOKUP(A32,'Current Month'!A:A,'Current Month'!I:I,"")</f>
        <v/>
      </c>
      <c r="F32" s="21" t="str">
        <f>_xlfn.XLOOKUP(A32,'Prior Month'!A:A,'Prior Month'!I:I,"")</f>
        <v/>
      </c>
      <c r="G32" s="18" t="str">
        <f>_xlfn.XLOOKUP(A32,'Year end 2024'!A:A,'Year end 2024'!I:I,"")</f>
        <v/>
      </c>
      <c r="H32" s="19">
        <f>_xlfn.XLOOKUP(A32,'Current Month'!A:A,'Current Month'!E:E,0,0)</f>
        <v>227.52</v>
      </c>
      <c r="I32" s="32">
        <f>_xlfn.XLOOKUP(A32,'Prior Month'!A:A,'Prior Month'!E:E,0,0)</f>
        <v>776.89</v>
      </c>
      <c r="J32" s="32">
        <f>_xlfn.XLOOKUP(A32,'Year end 2024'!A:A,'Year end 2024'!E:E,0,0)</f>
        <v>152.15</v>
      </c>
      <c r="K32" s="14">
        <f t="shared" si="0"/>
        <v>-549.37</v>
      </c>
      <c r="L32" s="14">
        <f t="shared" si="1"/>
        <v>75.37</v>
      </c>
    </row>
    <row r="33" spans="1:12" ht="35.15" customHeight="1" x14ac:dyDescent="0.4">
      <c r="A33" s="11" t="s">
        <v>96</v>
      </c>
      <c r="B33" s="11" t="s">
        <v>97</v>
      </c>
      <c r="C33" s="11" t="s">
        <v>41</v>
      </c>
      <c r="D33" s="11" t="s">
        <v>40</v>
      </c>
      <c r="E33" s="18" t="str">
        <f>_xlfn.XLOOKUP(A33,'Current Month'!A:A,'Current Month'!I:I,"")</f>
        <v/>
      </c>
      <c r="F33" s="21" t="str">
        <f>_xlfn.XLOOKUP(A33,'Prior Month'!A:A,'Prior Month'!I:I,"")</f>
        <v/>
      </c>
      <c r="G33" s="18" t="str">
        <f>_xlfn.XLOOKUP(A33,'Year end 2024'!A:A,'Year end 2024'!I:I,"")</f>
        <v/>
      </c>
      <c r="H33" s="19">
        <f>_xlfn.XLOOKUP(A33,'Current Month'!A:A,'Current Month'!E:E,0,0)</f>
        <v>267819.74</v>
      </c>
      <c r="I33" s="32">
        <f>_xlfn.XLOOKUP(A33,'Prior Month'!A:A,'Prior Month'!E:E,0,0)</f>
        <v>162676.32</v>
      </c>
      <c r="J33" s="32">
        <f>_xlfn.XLOOKUP(A33,'Year end 2024'!A:A,'Year end 2024'!E:E,0,0)</f>
        <v>114653.79</v>
      </c>
      <c r="K33" s="14">
        <f t="shared" si="0"/>
        <v>105143.41999999998</v>
      </c>
      <c r="L33" s="14">
        <f t="shared" si="1"/>
        <v>153165.95000000001</v>
      </c>
    </row>
    <row r="34" spans="1:12" ht="35.15" customHeight="1" x14ac:dyDescent="0.4">
      <c r="A34" s="11" t="s">
        <v>98</v>
      </c>
      <c r="B34" s="11" t="s">
        <v>99</v>
      </c>
      <c r="C34" s="11" t="s">
        <v>101</v>
      </c>
      <c r="D34" s="11" t="s">
        <v>100</v>
      </c>
      <c r="E34" s="18">
        <f>_xlfn.XLOOKUP(A34,'Current Month'!A:A,'Current Month'!I:I,"")</f>
        <v>1.2496741485655662</v>
      </c>
      <c r="F34" s="21">
        <f>_xlfn.XLOOKUP(A34,'Prior Month'!A:A,'Prior Month'!I:I,"")</f>
        <v>1.2291826718684109</v>
      </c>
      <c r="G34" s="18">
        <f>_xlfn.XLOOKUP(A34,'Year end 2024'!A:A,'Year end 2024'!I:I,"")</f>
        <v>0.57052136267953002</v>
      </c>
      <c r="H34" s="19">
        <f>_xlfn.XLOOKUP(A34,'Current Month'!A:A,'Current Month'!E:E,0,0)</f>
        <v>2141560.44</v>
      </c>
      <c r="I34" s="32">
        <f>_xlfn.XLOOKUP(A34,'Prior Month'!A:A,'Prior Month'!E:E,0,0)</f>
        <v>2115363.0499999998</v>
      </c>
      <c r="J34" s="32">
        <f>_xlfn.XLOOKUP(A34,'Year end 2024'!A:A,'Year end 2024'!E:E,0,0)</f>
        <v>1013422.1</v>
      </c>
      <c r="K34" s="14">
        <f t="shared" si="0"/>
        <v>26197.39000000013</v>
      </c>
      <c r="L34" s="14">
        <f t="shared" si="1"/>
        <v>1128138.3399999999</v>
      </c>
    </row>
    <row r="35" spans="1:12" ht="35.15" customHeight="1" x14ac:dyDescent="0.4">
      <c r="A35" s="11" t="s">
        <v>102</v>
      </c>
      <c r="B35" s="11" t="s">
        <v>103</v>
      </c>
      <c r="C35" s="11" t="s">
        <v>101</v>
      </c>
      <c r="D35" s="11" t="s">
        <v>100</v>
      </c>
      <c r="E35" s="18" t="str">
        <f>_xlfn.XLOOKUP(A35,'Current Month'!A:A,'Current Month'!I:I,"")</f>
        <v/>
      </c>
      <c r="F35" s="21" t="str">
        <f>_xlfn.XLOOKUP(A35,'Prior Month'!A:A,'Prior Month'!I:I,"")</f>
        <v/>
      </c>
      <c r="G35" s="18" t="str">
        <f>_xlfn.XLOOKUP(A35,'Year end 2024'!A:A,'Year end 2024'!I:I,"")</f>
        <v/>
      </c>
      <c r="H35" s="19">
        <f>_xlfn.XLOOKUP(A35,'Current Month'!A:A,'Current Month'!E:E,0,0)</f>
        <v>632211.49</v>
      </c>
      <c r="I35" s="32">
        <f>_xlfn.XLOOKUP(A35,'Prior Month'!A:A,'Prior Month'!E:E,0,0)</f>
        <v>583650.25</v>
      </c>
      <c r="J35" s="32">
        <f>_xlfn.XLOOKUP(A35,'Year end 2024'!A:A,'Year end 2024'!E:E,0,0)</f>
        <v>688240.2</v>
      </c>
      <c r="K35" s="14">
        <f t="shared" si="0"/>
        <v>48561.239999999991</v>
      </c>
      <c r="L35" s="14">
        <f t="shared" si="1"/>
        <v>-56028.709999999963</v>
      </c>
    </row>
    <row r="36" spans="1:12" ht="35.15" customHeight="1" x14ac:dyDescent="0.4">
      <c r="A36" s="11" t="s">
        <v>104</v>
      </c>
      <c r="B36" s="11" t="s">
        <v>105</v>
      </c>
      <c r="C36" s="11" t="s">
        <v>29</v>
      </c>
      <c r="D36" s="11" t="s">
        <v>28</v>
      </c>
      <c r="E36" s="18" t="str">
        <f>_xlfn.XLOOKUP(A36,'Current Month'!A:A,'Current Month'!I:I,"")</f>
        <v/>
      </c>
      <c r="F36" s="21" t="str">
        <f>_xlfn.XLOOKUP(A36,'Prior Month'!A:A,'Prior Month'!I:I,"")</f>
        <v/>
      </c>
      <c r="G36" s="18" t="str">
        <f>_xlfn.XLOOKUP(A36,'Year end 2024'!A:A,'Year end 2024'!I:I,"")</f>
        <v/>
      </c>
      <c r="H36" s="19">
        <f>_xlfn.XLOOKUP(A36,'Current Month'!A:A,'Current Month'!E:E,0,0)</f>
        <v>37346.589999999997</v>
      </c>
      <c r="I36" s="32">
        <f>_xlfn.XLOOKUP(A36,'Prior Month'!A:A,'Prior Month'!E:E,0,0)</f>
        <v>37653.839999999997</v>
      </c>
      <c r="J36" s="32">
        <f>_xlfn.XLOOKUP(A36,'Year end 2024'!A:A,'Year end 2024'!E:E,0,0)</f>
        <v>42440.21</v>
      </c>
      <c r="K36" s="14">
        <f t="shared" si="0"/>
        <v>-307.25</v>
      </c>
      <c r="L36" s="14">
        <f t="shared" si="1"/>
        <v>-5093.6200000000026</v>
      </c>
    </row>
    <row r="37" spans="1:12" ht="35.15" customHeight="1" x14ac:dyDescent="0.4">
      <c r="A37" s="11" t="s">
        <v>106</v>
      </c>
      <c r="B37" s="11" t="s">
        <v>107</v>
      </c>
      <c r="C37" s="11" t="s">
        <v>109</v>
      </c>
      <c r="D37" s="11" t="s">
        <v>108</v>
      </c>
      <c r="E37" s="18" t="str">
        <f>_xlfn.XLOOKUP(A37,'Current Month'!A:A,'Current Month'!I:I,"")</f>
        <v/>
      </c>
      <c r="F37" s="21" t="str">
        <f>_xlfn.XLOOKUP(A37,'Prior Month'!A:A,'Prior Month'!I:I,"")</f>
        <v/>
      </c>
      <c r="G37" s="18" t="str">
        <f>_xlfn.XLOOKUP(A37,'Year end 2024'!A:A,'Year end 2024'!I:I,"")</f>
        <v/>
      </c>
      <c r="H37" s="19">
        <f>_xlfn.XLOOKUP(A37,'Current Month'!A:A,'Current Month'!E:E,0,0)</f>
        <v>110593.52</v>
      </c>
      <c r="I37" s="32">
        <f>_xlfn.XLOOKUP(A37,'Prior Month'!A:A,'Prior Month'!E:E,0,0)</f>
        <v>87576.48</v>
      </c>
      <c r="J37" s="32">
        <f>_xlfn.XLOOKUP(A37,'Year end 2024'!A:A,'Year end 2024'!E:E,0,0)</f>
        <v>52404.93</v>
      </c>
      <c r="K37" s="14">
        <f t="shared" si="0"/>
        <v>23017.040000000008</v>
      </c>
      <c r="L37" s="14">
        <f t="shared" si="1"/>
        <v>58188.590000000004</v>
      </c>
    </row>
    <row r="38" spans="1:12" ht="35.15" customHeight="1" x14ac:dyDescent="0.4">
      <c r="A38" s="11" t="s">
        <v>110</v>
      </c>
      <c r="B38" s="11" t="s">
        <v>111</v>
      </c>
      <c r="C38" s="11" t="s">
        <v>33</v>
      </c>
      <c r="D38" s="11" t="s">
        <v>32</v>
      </c>
      <c r="E38" s="18" t="str">
        <f>_xlfn.XLOOKUP(A38,'Current Month'!A:A,'Current Month'!I:I,"")</f>
        <v/>
      </c>
      <c r="F38" s="21" t="str">
        <f>_xlfn.XLOOKUP(A38,'Prior Month'!A:A,'Prior Month'!I:I,"")</f>
        <v/>
      </c>
      <c r="G38" s="18" t="str">
        <f>_xlfn.XLOOKUP(A38,'Year end 2024'!A:A,'Year end 2024'!I:I,"")</f>
        <v/>
      </c>
      <c r="H38" s="19">
        <f>_xlfn.XLOOKUP(A38,'Current Month'!A:A,'Current Month'!E:E,0,0)</f>
        <v>7773376.2999999998</v>
      </c>
      <c r="I38" s="32">
        <f>_xlfn.XLOOKUP(A38,'Prior Month'!A:A,'Prior Month'!E:E,0,0)</f>
        <v>7765155</v>
      </c>
      <c r="J38" s="32">
        <f>_xlfn.XLOOKUP(A38,'Year end 2024'!A:A,'Year end 2024'!E:E,0,0)</f>
        <v>5841672</v>
      </c>
      <c r="K38" s="14">
        <f t="shared" si="0"/>
        <v>8221.2999999998137</v>
      </c>
      <c r="L38" s="14">
        <f t="shared" si="1"/>
        <v>1931704.2999999998</v>
      </c>
    </row>
    <row r="39" spans="1:12" ht="35.15" customHeight="1" x14ac:dyDescent="0.4">
      <c r="A39" s="11" t="s">
        <v>112</v>
      </c>
      <c r="B39" s="11" t="s">
        <v>113</v>
      </c>
      <c r="C39" s="11" t="s">
        <v>15</v>
      </c>
      <c r="D39" s="11" t="s">
        <v>14</v>
      </c>
      <c r="E39" s="18">
        <f>_xlfn.XLOOKUP(A39,'Current Month'!A:A,'Current Month'!I:I,"")</f>
        <v>3.4232022999999998</v>
      </c>
      <c r="F39" s="21">
        <f>_xlfn.XLOOKUP(A39,'Prior Month'!A:A,'Prior Month'!I:I,"")</f>
        <v>2.1205034</v>
      </c>
      <c r="G39" s="18" t="str">
        <f>_xlfn.XLOOKUP(A39,'Year end 2024'!A:A,'Year end 2024'!I:I,"")</f>
        <v/>
      </c>
      <c r="H39" s="19">
        <f>_xlfn.XLOOKUP(A39,'Current Month'!A:A,'Current Month'!E:E,0,0)</f>
        <v>342320.23</v>
      </c>
      <c r="I39" s="32">
        <f>_xlfn.XLOOKUP(A39,'Prior Month'!A:A,'Prior Month'!E:E,0,0)</f>
        <v>212050.34</v>
      </c>
      <c r="J39" s="32">
        <f>_xlfn.XLOOKUP(A39,'Year end 2024'!A:A,'Year end 2024'!E:E,0,0)</f>
        <v>80774.759999999995</v>
      </c>
      <c r="K39" s="14">
        <f t="shared" si="0"/>
        <v>130269.88999999998</v>
      </c>
      <c r="L39" s="14">
        <f t="shared" si="1"/>
        <v>261545.46999999997</v>
      </c>
    </row>
    <row r="40" spans="1:12" ht="35.15" customHeight="1" x14ac:dyDescent="0.4">
      <c r="A40" s="11" t="s">
        <v>114</v>
      </c>
      <c r="B40" s="11" t="s">
        <v>115</v>
      </c>
      <c r="C40" s="11" t="s">
        <v>19</v>
      </c>
      <c r="D40" s="11" t="s">
        <v>18</v>
      </c>
      <c r="E40" s="18" t="str">
        <f>_xlfn.XLOOKUP(A40,'Current Month'!A:A,'Current Month'!I:I,"")</f>
        <v/>
      </c>
      <c r="F40" s="21" t="str">
        <f>_xlfn.XLOOKUP(A40,'Prior Month'!A:A,'Prior Month'!I:I,"")</f>
        <v/>
      </c>
      <c r="G40" s="18">
        <f>_xlfn.XLOOKUP(A40,'Year end 2024'!A:A,'Year end 2024'!I:I,"")</f>
        <v>1.7211428571428571E-3</v>
      </c>
      <c r="H40" s="19">
        <f>_xlfn.XLOOKUP(A40,'Current Month'!A:A,'Current Month'!E:E,0,0)</f>
        <v>340.72</v>
      </c>
      <c r="I40" s="32">
        <f>_xlfn.XLOOKUP(A40,'Prior Month'!A:A,'Prior Month'!E:E,0,0)</f>
        <v>340.65</v>
      </c>
      <c r="J40" s="32">
        <f>_xlfn.XLOOKUP(A40,'Year end 2024'!A:A,'Year end 2024'!E:E,0,0)</f>
        <v>301.2</v>
      </c>
      <c r="K40" s="14">
        <f t="shared" si="0"/>
        <v>7.0000000000050022E-2</v>
      </c>
      <c r="L40" s="14">
        <f t="shared" si="1"/>
        <v>39.520000000000039</v>
      </c>
    </row>
    <row r="41" spans="1:12" ht="35.15" customHeight="1" x14ac:dyDescent="0.4">
      <c r="A41" s="11" t="s">
        <v>116</v>
      </c>
      <c r="B41" s="11" t="s">
        <v>117</v>
      </c>
      <c r="C41" s="11" t="s">
        <v>77</v>
      </c>
      <c r="D41" s="11" t="s">
        <v>76</v>
      </c>
      <c r="E41" s="18">
        <f>_xlfn.XLOOKUP(A41,'Current Month'!A:A,'Current Month'!I:I,"")</f>
        <v>6.0610000000000004E-3</v>
      </c>
      <c r="F41" s="21">
        <f>_xlfn.XLOOKUP(A41,'Prior Month'!A:A,'Prior Month'!I:I,"")</f>
        <v>3.7409999999999999E-4</v>
      </c>
      <c r="G41" s="18">
        <f>_xlfn.XLOOKUP(A41,'Year end 2024'!A:A,'Year end 2024'!I:I,"")</f>
        <v>1.4480450000000001E-2</v>
      </c>
      <c r="H41" s="19">
        <f>_xlfn.XLOOKUP(A41,'Current Month'!A:A,'Current Month'!E:E,0,0)</f>
        <v>1212.2</v>
      </c>
      <c r="I41" s="32">
        <f>_xlfn.XLOOKUP(A41,'Prior Month'!A:A,'Prior Month'!E:E,0,0)</f>
        <v>74.819999999999993</v>
      </c>
      <c r="J41" s="32">
        <f>_xlfn.XLOOKUP(A41,'Year end 2024'!A:A,'Year end 2024'!E:E,0,0)</f>
        <v>2896.09</v>
      </c>
      <c r="K41" s="14">
        <f t="shared" si="0"/>
        <v>1137.3800000000001</v>
      </c>
      <c r="L41" s="14">
        <f t="shared" si="1"/>
        <v>-1683.89</v>
      </c>
    </row>
    <row r="42" spans="1:12" ht="35.15" customHeight="1" x14ac:dyDescent="0.4">
      <c r="A42" s="11" t="s">
        <v>118</v>
      </c>
      <c r="B42" s="11" t="s">
        <v>119</v>
      </c>
      <c r="C42" s="11" t="s">
        <v>121</v>
      </c>
      <c r="D42" s="11" t="s">
        <v>120</v>
      </c>
      <c r="E42" s="18">
        <f>_xlfn.XLOOKUP(A42,'Current Month'!A:A,'Current Month'!I:I,"")</f>
        <v>1.8338680300349049E-3</v>
      </c>
      <c r="F42" s="21">
        <f>_xlfn.XLOOKUP(A42,'Prior Month'!A:A,'Prior Month'!I:I,"")</f>
        <v>2.0673822733392501E-3</v>
      </c>
      <c r="G42" s="18">
        <f>_xlfn.XLOOKUP(A42,'Year end 2024'!A:A,'Year end 2024'!I:I,"")</f>
        <v>8.3606436103831521E-4</v>
      </c>
      <c r="H42" s="19">
        <f>_xlfn.XLOOKUP(A42,'Current Month'!A:A,'Current Month'!E:E,0,0)</f>
        <v>286.32</v>
      </c>
      <c r="I42" s="32">
        <f>_xlfn.XLOOKUP(A42,'Prior Month'!A:A,'Prior Month'!E:E,0,0)</f>
        <v>324.43</v>
      </c>
      <c r="J42" s="32">
        <f>_xlfn.XLOOKUP(A42,'Year end 2024'!A:A,'Year end 2024'!E:E,0,0)</f>
        <v>137.09</v>
      </c>
      <c r="K42" s="14">
        <f t="shared" si="0"/>
        <v>-38.110000000000014</v>
      </c>
      <c r="L42" s="14">
        <f t="shared" si="1"/>
        <v>149.22999999999999</v>
      </c>
    </row>
    <row r="43" spans="1:12" ht="35.15" customHeight="1" x14ac:dyDescent="0.4">
      <c r="A43" s="11" t="s">
        <v>122</v>
      </c>
      <c r="B43" s="11" t="s">
        <v>123</v>
      </c>
      <c r="C43" s="11" t="s">
        <v>33</v>
      </c>
      <c r="D43" s="11" t="s">
        <v>32</v>
      </c>
      <c r="E43" s="18">
        <f>_xlfn.XLOOKUP(A43,'Current Month'!A:A,'Current Month'!I:I,"")</f>
        <v>2.0261899585296131E-2</v>
      </c>
      <c r="F43" s="21">
        <f>_xlfn.XLOOKUP(A43,'Prior Month'!A:A,'Prior Month'!I:I,"")</f>
        <v>1.8497018361452847E-2</v>
      </c>
      <c r="G43" s="18">
        <f>_xlfn.XLOOKUP(A43,'Year end 2024'!A:A,'Year end 2024'!I:I,"")</f>
        <v>3.4308758263098996E-2</v>
      </c>
      <c r="H43" s="19">
        <f>_xlfn.XLOOKUP(A43,'Current Month'!A:A,'Current Month'!E:E,0,0)</f>
        <v>3145.28</v>
      </c>
      <c r="I43" s="32">
        <f>_xlfn.XLOOKUP(A43,'Prior Month'!A:A,'Prior Month'!E:E,0,0)</f>
        <v>2880.32</v>
      </c>
      <c r="J43" s="32">
        <f>_xlfn.XLOOKUP(A43,'Year end 2024'!A:A,'Year end 2024'!E:E,0,0)</f>
        <v>5489.73</v>
      </c>
      <c r="K43" s="14">
        <f t="shared" si="0"/>
        <v>264.96000000000004</v>
      </c>
      <c r="L43" s="14">
        <f t="shared" si="1"/>
        <v>-2344.4499999999994</v>
      </c>
    </row>
    <row r="44" spans="1:12" ht="35.15" customHeight="1" x14ac:dyDescent="0.4">
      <c r="A44" s="11" t="s">
        <v>124</v>
      </c>
      <c r="B44" s="11" t="s">
        <v>125</v>
      </c>
      <c r="C44" s="11" t="s">
        <v>19</v>
      </c>
      <c r="D44" s="11" t="s">
        <v>18</v>
      </c>
      <c r="E44" s="18">
        <f>_xlfn.XLOOKUP(A44,'Current Month'!A:A,'Current Month'!I:I,"")</f>
        <v>2.9690100152237183E-3</v>
      </c>
      <c r="F44" s="21">
        <f>_xlfn.XLOOKUP(A44,'Prior Month'!A:A,'Prior Month'!I:I,"")</f>
        <v>1.0452280309406325E-3</v>
      </c>
      <c r="G44" s="18">
        <f>_xlfn.XLOOKUP(A44,'Year end 2024'!A:A,'Year end 2024'!I:I,"")</f>
        <v>4.66205643885176E-3</v>
      </c>
      <c r="H44" s="19">
        <f>_xlfn.XLOOKUP(A44,'Current Month'!A:A,'Current Month'!E:E,0,0)</f>
        <v>755.84</v>
      </c>
      <c r="I44" s="32">
        <f>_xlfn.XLOOKUP(A44,'Prior Month'!A:A,'Prior Month'!E:E,0,0)</f>
        <v>266.45</v>
      </c>
      <c r="J44" s="32">
        <f>_xlfn.XLOOKUP(A44,'Year end 2024'!A:A,'Year end 2024'!E:E,0,0)</f>
        <v>1202.6500000000001</v>
      </c>
      <c r="K44" s="14">
        <f t="shared" si="0"/>
        <v>489.39000000000004</v>
      </c>
      <c r="L44" s="14">
        <f t="shared" si="1"/>
        <v>-446.81000000000006</v>
      </c>
    </row>
    <row r="45" spans="1:12" ht="35.15" customHeight="1" x14ac:dyDescent="0.4">
      <c r="A45" s="11" t="s">
        <v>126</v>
      </c>
      <c r="B45" s="11" t="s">
        <v>127</v>
      </c>
      <c r="C45" s="11" t="s">
        <v>19</v>
      </c>
      <c r="D45" s="11" t="s">
        <v>18</v>
      </c>
      <c r="E45" s="18">
        <f>_xlfn.XLOOKUP(A45,'Current Month'!A:A,'Current Month'!I:I,"")</f>
        <v>8.0532076221228405E-2</v>
      </c>
      <c r="F45" s="21">
        <f>_xlfn.XLOOKUP(A45,'Prior Month'!A:A,'Prior Month'!I:I,"")</f>
        <v>5.5386965161402756E-2</v>
      </c>
      <c r="G45" s="18">
        <f>_xlfn.XLOOKUP(A45,'Year end 2024'!A:A,'Year end 2024'!I:I,"")</f>
        <v>7.4230174370453733E-2</v>
      </c>
      <c r="H45" s="19">
        <f>_xlfn.XLOOKUP(A45,'Current Month'!A:A,'Current Month'!E:E,0,0)</f>
        <v>12070.15</v>
      </c>
      <c r="I45" s="32">
        <f>_xlfn.XLOOKUP(A45,'Prior Month'!A:A,'Prior Month'!E:E,0,0)</f>
        <v>8301.4</v>
      </c>
      <c r="J45" s="32">
        <f>_xlfn.XLOOKUP(A45,'Year end 2024'!A:A,'Year end 2024'!E:E,0,0)</f>
        <v>11497.58</v>
      </c>
      <c r="K45" s="14">
        <f t="shared" si="0"/>
        <v>3768.75</v>
      </c>
      <c r="L45" s="14">
        <f t="shared" si="1"/>
        <v>572.56999999999971</v>
      </c>
    </row>
    <row r="46" spans="1:12" ht="35.15" customHeight="1" x14ac:dyDescent="0.4">
      <c r="A46" s="11" t="s">
        <v>128</v>
      </c>
      <c r="B46" s="11" t="s">
        <v>129</v>
      </c>
      <c r="C46" s="11" t="s">
        <v>57</v>
      </c>
      <c r="D46" s="11" t="s">
        <v>56</v>
      </c>
      <c r="E46" s="18">
        <f>_xlfn.XLOOKUP(A46,'Current Month'!A:A,'Current Month'!I:I,"")</f>
        <v>6.6041361410543009E-2</v>
      </c>
      <c r="F46" s="21">
        <f>_xlfn.XLOOKUP(A46,'Prior Month'!A:A,'Prior Month'!I:I,"")</f>
        <v>8.9507330687975353E-2</v>
      </c>
      <c r="G46" s="18">
        <f>_xlfn.XLOOKUP(A46,'Year end 2024'!A:A,'Year end 2024'!I:I,"")</f>
        <v>6.827486666666667E-2</v>
      </c>
      <c r="H46" s="19">
        <f>_xlfn.XLOOKUP(A46,'Current Month'!A:A,'Current Month'!E:E,0,0)</f>
        <v>9198.82</v>
      </c>
      <c r="I46" s="32">
        <f>_xlfn.XLOOKUP(A46,'Prior Month'!A:A,'Prior Month'!E:E,0,0)</f>
        <v>12669.41</v>
      </c>
      <c r="J46" s="32">
        <f>_xlfn.XLOOKUP(A46,'Year end 2024'!A:A,'Year end 2024'!E:E,0,0)</f>
        <v>10241.23</v>
      </c>
      <c r="K46" s="14">
        <f t="shared" si="0"/>
        <v>-3470.59</v>
      </c>
      <c r="L46" s="14">
        <f t="shared" si="1"/>
        <v>-1042.4099999999999</v>
      </c>
    </row>
    <row r="47" spans="1:12" ht="35.15" customHeight="1" x14ac:dyDescent="0.4">
      <c r="A47" s="11" t="s">
        <v>130</v>
      </c>
      <c r="B47" s="11" t="s">
        <v>131</v>
      </c>
      <c r="C47" s="11" t="s">
        <v>19</v>
      </c>
      <c r="D47" s="11" t="s">
        <v>18</v>
      </c>
      <c r="E47" s="18" t="str">
        <f>_xlfn.XLOOKUP(A47,'Current Month'!A:A,'Current Month'!I:I,"")</f>
        <v/>
      </c>
      <c r="F47" s="21">
        <f>_xlfn.XLOOKUP(A47,'Prior Month'!A:A,'Prior Month'!I:I,"")</f>
        <v>8.2275521811038463E-3</v>
      </c>
      <c r="G47" s="18">
        <f>_xlfn.XLOOKUP(A47,'Year end 2024'!A:A,'Year end 2024'!I:I,"")</f>
        <v>6.4489801654015969E-3</v>
      </c>
      <c r="H47" s="19">
        <f>_xlfn.XLOOKUP(A47,'Current Month'!A:A,'Current Month'!E:E,0,0)</f>
        <v>177.18</v>
      </c>
      <c r="I47" s="32">
        <f>_xlfn.XLOOKUP(A47,'Prior Month'!A:A,'Prior Month'!E:E,0,0)</f>
        <v>1167.21</v>
      </c>
      <c r="J47" s="32">
        <f>_xlfn.XLOOKUP(A47,'Year end 2024'!A:A,'Year end 2024'!E:E,0,0)</f>
        <v>927.03</v>
      </c>
      <c r="K47" s="14">
        <f t="shared" si="0"/>
        <v>-990.03</v>
      </c>
      <c r="L47" s="14">
        <f t="shared" si="1"/>
        <v>-749.84999999999991</v>
      </c>
    </row>
    <row r="48" spans="1:12" ht="35.15" customHeight="1" x14ac:dyDescent="0.4">
      <c r="A48" s="11" t="s">
        <v>132</v>
      </c>
      <c r="B48" s="11" t="s">
        <v>133</v>
      </c>
      <c r="C48" s="11" t="s">
        <v>51</v>
      </c>
      <c r="D48" s="11" t="s">
        <v>50</v>
      </c>
      <c r="E48" s="18">
        <f>_xlfn.XLOOKUP(A48,'Current Month'!A:A,'Current Month'!I:I,"")</f>
        <v>1.5012408759124086E-3</v>
      </c>
      <c r="F48" s="21">
        <f>_xlfn.XLOOKUP(A48,'Prior Month'!A:A,'Prior Month'!I:I,"")</f>
        <v>1.9216934306569341E-2</v>
      </c>
      <c r="G48" s="18">
        <f>_xlfn.XLOOKUP(A48,'Year end 2024'!A:A,'Year end 2024'!I:I,"")</f>
        <v>8.9475912408759125E-3</v>
      </c>
      <c r="H48" s="19">
        <f>_xlfn.XLOOKUP(A48,'Current Month'!A:A,'Current Month'!E:E,0,0)</f>
        <v>205.67</v>
      </c>
      <c r="I48" s="32">
        <f>_xlfn.XLOOKUP(A48,'Prior Month'!A:A,'Prior Month'!E:E,0,0)</f>
        <v>2632.72</v>
      </c>
      <c r="J48" s="32">
        <f>_xlfn.XLOOKUP(A48,'Year end 2024'!A:A,'Year end 2024'!E:E,0,0)</f>
        <v>1225.82</v>
      </c>
      <c r="K48" s="14">
        <f t="shared" si="0"/>
        <v>-2427.0499999999997</v>
      </c>
      <c r="L48" s="14">
        <f t="shared" si="1"/>
        <v>-1020.15</v>
      </c>
    </row>
    <row r="49" spans="1:12" ht="35.15" customHeight="1" x14ac:dyDescent="0.4">
      <c r="A49" s="11" t="s">
        <v>134</v>
      </c>
      <c r="B49" s="11" t="s">
        <v>135</v>
      </c>
      <c r="C49" s="11" t="s">
        <v>51</v>
      </c>
      <c r="D49" s="11" t="s">
        <v>50</v>
      </c>
      <c r="E49" s="18">
        <f>_xlfn.XLOOKUP(A49,'Current Month'!A:A,'Current Month'!I:I,"")</f>
        <v>-2.4331903766510892E-3</v>
      </c>
      <c r="F49" s="21">
        <f>_xlfn.XLOOKUP(A49,'Prior Month'!A:A,'Prior Month'!I:I,"")</f>
        <v>-4.1463940551012311E-4</v>
      </c>
      <c r="G49" s="18">
        <f>_xlfn.XLOOKUP(A49,'Year end 2024'!A:A,'Year end 2024'!I:I,"")</f>
        <v>4.7286026301353876E-3</v>
      </c>
      <c r="H49" s="19">
        <f>_xlfn.XLOOKUP(A49,'Current Month'!A:A,'Current Month'!E:E,0,0)</f>
        <v>-288.48</v>
      </c>
      <c r="I49" s="32">
        <f>_xlfn.XLOOKUP(A49,'Prior Month'!A:A,'Prior Month'!E:E,0,0)</f>
        <v>-49.42</v>
      </c>
      <c r="J49" s="32">
        <f>_xlfn.XLOOKUP(A49,'Year end 2024'!A:A,'Year end 2024'!E:E,0,0)</f>
        <v>589.79</v>
      </c>
      <c r="K49" s="14">
        <f t="shared" si="0"/>
        <v>-239.06</v>
      </c>
      <c r="L49" s="14">
        <f t="shared" si="1"/>
        <v>-878.27</v>
      </c>
    </row>
    <row r="50" spans="1:12" ht="35.15" customHeight="1" x14ac:dyDescent="0.4">
      <c r="A50" s="11" t="s">
        <v>136</v>
      </c>
      <c r="B50" s="11" t="s">
        <v>137</v>
      </c>
      <c r="C50" s="11" t="s">
        <v>51</v>
      </c>
      <c r="D50" s="11" t="s">
        <v>50</v>
      </c>
      <c r="E50" s="18" t="str">
        <f>_xlfn.XLOOKUP(A50,'Current Month'!A:A,'Current Month'!I:I,"")</f>
        <v/>
      </c>
      <c r="F50" s="21" t="str">
        <f>_xlfn.XLOOKUP(A50,'Prior Month'!A:A,'Prior Month'!I:I,"")</f>
        <v/>
      </c>
      <c r="G50" s="18" t="str">
        <f>_xlfn.XLOOKUP(A50,'Year end 2024'!A:A,'Year end 2024'!I:I,"")</f>
        <v/>
      </c>
      <c r="H50" s="19">
        <f>_xlfn.XLOOKUP(A50,'Current Month'!A:A,'Current Month'!E:E,0,0)</f>
        <v>64086.83</v>
      </c>
      <c r="I50" s="32">
        <f>_xlfn.XLOOKUP(A50,'Prior Month'!A:A,'Prior Month'!E:E,0,0)</f>
        <v>58265.46</v>
      </c>
      <c r="J50" s="32">
        <f>_xlfn.XLOOKUP(A50,'Year end 2024'!A:A,'Year end 2024'!E:E,0,0)</f>
        <v>58315.82</v>
      </c>
      <c r="K50" s="14">
        <f t="shared" si="0"/>
        <v>5821.3700000000026</v>
      </c>
      <c r="L50" s="14">
        <f t="shared" si="1"/>
        <v>5771.010000000002</v>
      </c>
    </row>
    <row r="51" spans="1:12" ht="35.15" customHeight="1" x14ac:dyDescent="0.4">
      <c r="A51" s="11" t="s">
        <v>138</v>
      </c>
      <c r="B51" s="11" t="s">
        <v>139</v>
      </c>
      <c r="C51" s="11" t="s">
        <v>77</v>
      </c>
      <c r="D51" s="11" t="s">
        <v>76</v>
      </c>
      <c r="E51" s="18" t="str">
        <f>_xlfn.XLOOKUP(A51,'Current Month'!A:A,'Current Month'!I:I,"")</f>
        <v/>
      </c>
      <c r="F51" s="21" t="str">
        <f>_xlfn.XLOOKUP(A51,'Prior Month'!A:A,'Prior Month'!I:I,"")</f>
        <v/>
      </c>
      <c r="G51" s="18" t="str">
        <f>_xlfn.XLOOKUP(A51,'Year end 2024'!A:A,'Year end 2024'!I:I,"")</f>
        <v/>
      </c>
      <c r="H51" s="19">
        <f>_xlfn.XLOOKUP(A51,'Current Month'!A:A,'Current Month'!E:E,0,0)</f>
        <v>104546.2</v>
      </c>
      <c r="I51" s="32">
        <f>_xlfn.XLOOKUP(A51,'Prior Month'!A:A,'Prior Month'!E:E,0,0)</f>
        <v>102975.41</v>
      </c>
      <c r="J51" s="32">
        <f>_xlfn.XLOOKUP(A51,'Year end 2024'!A:A,'Year end 2024'!E:E,0,0)</f>
        <v>95798.22</v>
      </c>
      <c r="K51" s="14">
        <f t="shared" si="0"/>
        <v>1570.7899999999936</v>
      </c>
      <c r="L51" s="14">
        <f t="shared" si="1"/>
        <v>8747.9799999999959</v>
      </c>
    </row>
    <row r="52" spans="1:12" ht="35.15" customHeight="1" x14ac:dyDescent="0.4">
      <c r="A52" s="11" t="s">
        <v>140</v>
      </c>
      <c r="B52" s="11" t="s">
        <v>141</v>
      </c>
      <c r="C52" s="11" t="s">
        <v>57</v>
      </c>
      <c r="D52" s="11" t="s">
        <v>56</v>
      </c>
      <c r="E52" s="18" t="str">
        <f>_xlfn.XLOOKUP(A52,'Current Month'!A:A,'Current Month'!I:I,"")</f>
        <v/>
      </c>
      <c r="F52" s="21" t="str">
        <f>_xlfn.XLOOKUP(A52,'Prior Month'!A:A,'Prior Month'!I:I,"")</f>
        <v/>
      </c>
      <c r="G52" s="18" t="str">
        <f>_xlfn.XLOOKUP(A52,'Year end 2024'!A:A,'Year end 2024'!I:I,"")</f>
        <v/>
      </c>
      <c r="H52" s="19">
        <f>_xlfn.XLOOKUP(A52,'Current Month'!A:A,'Current Month'!E:E,0,0)</f>
        <v>24177.54</v>
      </c>
      <c r="I52" s="32">
        <f>_xlfn.XLOOKUP(A52,'Prior Month'!A:A,'Prior Month'!E:E,0,0)</f>
        <v>20790.169999999998</v>
      </c>
      <c r="J52" s="32">
        <f>_xlfn.XLOOKUP(A52,'Year end 2024'!A:A,'Year end 2024'!E:E,0,0)</f>
        <v>26567.07</v>
      </c>
      <c r="K52" s="14">
        <f t="shared" si="0"/>
        <v>3387.3700000000026</v>
      </c>
      <c r="L52" s="14">
        <f t="shared" si="1"/>
        <v>-2389.5299999999988</v>
      </c>
    </row>
    <row r="53" spans="1:12" ht="35.15" customHeight="1" x14ac:dyDescent="0.4">
      <c r="A53" s="11" t="s">
        <v>142</v>
      </c>
      <c r="B53" s="11" t="s">
        <v>143</v>
      </c>
      <c r="C53" s="11" t="s">
        <v>51</v>
      </c>
      <c r="D53" s="11" t="s">
        <v>50</v>
      </c>
      <c r="E53" s="18" t="str">
        <f>_xlfn.XLOOKUP(A53,'Current Month'!A:A,'Current Month'!I:I,"")</f>
        <v/>
      </c>
      <c r="F53" s="21" t="str">
        <f>_xlfn.XLOOKUP(A53,'Prior Month'!A:A,'Prior Month'!I:I,"")</f>
        <v/>
      </c>
      <c r="G53" s="18" t="str">
        <f>_xlfn.XLOOKUP(A53,'Year end 2024'!A:A,'Year end 2024'!I:I,"")</f>
        <v/>
      </c>
      <c r="H53" s="19">
        <f>_xlfn.XLOOKUP(A53,'Current Month'!A:A,'Current Month'!E:E,0,0)</f>
        <v>120746.65</v>
      </c>
      <c r="I53" s="32">
        <f>_xlfn.XLOOKUP(A53,'Prior Month'!A:A,'Prior Month'!E:E,0,0)</f>
        <v>117597.7</v>
      </c>
      <c r="J53" s="32">
        <f>_xlfn.XLOOKUP(A53,'Year end 2024'!A:A,'Year end 2024'!E:E,0,0)</f>
        <v>249235.13</v>
      </c>
      <c r="K53" s="14">
        <f t="shared" si="0"/>
        <v>3148.9499999999971</v>
      </c>
      <c r="L53" s="14">
        <f t="shared" si="1"/>
        <v>-128488.48000000001</v>
      </c>
    </row>
    <row r="54" spans="1:12" ht="35.15" customHeight="1" x14ac:dyDescent="0.4">
      <c r="A54" s="11" t="s">
        <v>144</v>
      </c>
      <c r="B54" s="11" t="s">
        <v>145</v>
      </c>
      <c r="C54" s="11" t="s">
        <v>19</v>
      </c>
      <c r="D54" s="11" t="s">
        <v>18</v>
      </c>
      <c r="E54" s="18">
        <f>_xlfn.XLOOKUP(A54,'Current Month'!A:A,'Current Month'!I:I,"")</f>
        <v>89.869088000000005</v>
      </c>
      <c r="F54" s="21">
        <f>_xlfn.XLOOKUP(A54,'Prior Month'!A:A,'Prior Month'!I:I,"")</f>
        <v>111.946552</v>
      </c>
      <c r="G54" s="18">
        <f>_xlfn.XLOOKUP(A54,'Year end 2024'!A:A,'Year end 2024'!I:I,"")</f>
        <v>208.4744</v>
      </c>
      <c r="H54" s="19">
        <f>_xlfn.XLOOKUP(A54,'Current Month'!A:A,'Current Month'!E:E,0,0)</f>
        <v>224672.72</v>
      </c>
      <c r="I54" s="32">
        <f>_xlfn.XLOOKUP(A54,'Prior Month'!A:A,'Prior Month'!E:E,0,0)</f>
        <v>279866.38</v>
      </c>
      <c r="J54" s="32">
        <f>_xlfn.XLOOKUP(A54,'Year end 2024'!A:A,'Year end 2024'!E:E,0,0)</f>
        <v>521186</v>
      </c>
      <c r="K54" s="14">
        <f t="shared" si="0"/>
        <v>-55193.66</v>
      </c>
      <c r="L54" s="14">
        <f t="shared" si="1"/>
        <v>-296513.28000000003</v>
      </c>
    </row>
    <row r="55" spans="1:12" ht="35.15" customHeight="1" x14ac:dyDescent="0.4">
      <c r="A55" s="11" t="s">
        <v>146</v>
      </c>
      <c r="B55" s="11" t="s">
        <v>147</v>
      </c>
      <c r="C55" s="11" t="s">
        <v>19</v>
      </c>
      <c r="D55" s="11" t="s">
        <v>18</v>
      </c>
      <c r="E55" s="18">
        <f>_xlfn.XLOOKUP(A55,'Current Month'!A:A,'Current Month'!I:I,"")</f>
        <v>332.07329999999996</v>
      </c>
      <c r="F55" s="21">
        <f>_xlfn.XLOOKUP(A55,'Prior Month'!A:A,'Prior Month'!I:I,"")</f>
        <v>348.31383</v>
      </c>
      <c r="G55" s="18">
        <f>_xlfn.XLOOKUP(A55,'Year end 2024'!A:A,'Year end 2024'!I:I,"")</f>
        <v>478.96055999999999</v>
      </c>
      <c r="H55" s="19">
        <f>_xlfn.XLOOKUP(A55,'Current Month'!A:A,'Current Month'!E:E,0,0)</f>
        <v>332073.3</v>
      </c>
      <c r="I55" s="32">
        <f>_xlfn.XLOOKUP(A55,'Prior Month'!A:A,'Prior Month'!E:E,0,0)</f>
        <v>348313.83</v>
      </c>
      <c r="J55" s="32">
        <f>_xlfn.XLOOKUP(A55,'Year end 2024'!A:A,'Year end 2024'!E:E,0,0)</f>
        <v>478960.56</v>
      </c>
      <c r="K55" s="14">
        <f t="shared" si="0"/>
        <v>-16240.530000000028</v>
      </c>
      <c r="L55" s="14">
        <f t="shared" si="1"/>
        <v>-146887.26</v>
      </c>
    </row>
    <row r="56" spans="1:12" ht="35.15" customHeight="1" x14ac:dyDescent="0.4">
      <c r="A56" s="11" t="s">
        <v>148</v>
      </c>
      <c r="B56" s="11" t="s">
        <v>149</v>
      </c>
      <c r="C56" s="11" t="s">
        <v>77</v>
      </c>
      <c r="D56" s="11" t="s">
        <v>76</v>
      </c>
      <c r="E56" s="18">
        <f>_xlfn.XLOOKUP(A56,'Current Month'!A:A,'Current Month'!I:I,"")</f>
        <v>0.12404560000000001</v>
      </c>
      <c r="F56" s="21">
        <f>_xlfn.XLOOKUP(A56,'Prior Month'!A:A,'Prior Month'!I:I,"")</f>
        <v>0.10219572</v>
      </c>
      <c r="G56" s="18">
        <f>_xlfn.XLOOKUP(A56,'Year end 2024'!A:A,'Year end 2024'!I:I,"")</f>
        <v>0.19939553333333335</v>
      </c>
      <c r="H56" s="19">
        <f>_xlfn.XLOOKUP(A56,'Current Month'!A:A,'Current Month'!E:E,0,0)</f>
        <v>31011.4</v>
      </c>
      <c r="I56" s="32">
        <f>_xlfn.XLOOKUP(A56,'Prior Month'!A:A,'Prior Month'!E:E,0,0)</f>
        <v>25548.93</v>
      </c>
      <c r="J56" s="32">
        <f>_xlfn.XLOOKUP(A56,'Year end 2024'!A:A,'Year end 2024'!E:E,0,0)</f>
        <v>29909.33</v>
      </c>
      <c r="K56" s="14">
        <f t="shared" si="0"/>
        <v>5462.4700000000012</v>
      </c>
      <c r="L56" s="14">
        <f t="shared" si="1"/>
        <v>1102.0699999999997</v>
      </c>
    </row>
    <row r="57" spans="1:12" ht="35.15" customHeight="1" x14ac:dyDescent="0.4">
      <c r="A57" s="11" t="s">
        <v>150</v>
      </c>
      <c r="B57" s="11" t="s">
        <v>151</v>
      </c>
      <c r="C57" s="11" t="s">
        <v>19</v>
      </c>
      <c r="D57" s="11" t="s">
        <v>18</v>
      </c>
      <c r="E57" s="18" t="str">
        <f>_xlfn.XLOOKUP(A57,'Current Month'!A:A,'Current Month'!I:I,"")</f>
        <v/>
      </c>
      <c r="F57" s="21" t="str">
        <f>_xlfn.XLOOKUP(A57,'Prior Month'!A:A,'Prior Month'!I:I,"")</f>
        <v/>
      </c>
      <c r="G57" s="18" t="str">
        <f>_xlfn.XLOOKUP(A57,'Year end 2024'!A:A,'Year end 2024'!I:I,"")</f>
        <v/>
      </c>
      <c r="H57" s="19">
        <f>_xlfn.XLOOKUP(A57,'Current Month'!A:A,'Current Month'!E:E,0,0)</f>
        <v>16494.84</v>
      </c>
      <c r="I57" s="32">
        <f>_xlfn.XLOOKUP(A57,'Prior Month'!A:A,'Prior Month'!E:E,0,0)</f>
        <v>10502.24</v>
      </c>
      <c r="J57" s="32">
        <f>_xlfn.XLOOKUP(A57,'Year end 2024'!A:A,'Year end 2024'!E:E,0,0)</f>
        <v>40480.49</v>
      </c>
      <c r="K57" s="14">
        <f t="shared" si="0"/>
        <v>5992.6</v>
      </c>
      <c r="L57" s="14">
        <f t="shared" si="1"/>
        <v>-23985.649999999998</v>
      </c>
    </row>
    <row r="58" spans="1:12" ht="35.15" customHeight="1" x14ac:dyDescent="0.4">
      <c r="A58" s="11" t="s">
        <v>152</v>
      </c>
      <c r="B58" s="11" t="s">
        <v>153</v>
      </c>
      <c r="C58" s="11" t="s">
        <v>109</v>
      </c>
      <c r="D58" s="11" t="s">
        <v>108</v>
      </c>
      <c r="E58" s="18" t="str">
        <f>_xlfn.XLOOKUP(A58,'Current Month'!A:A,'Current Month'!I:I,"")</f>
        <v/>
      </c>
      <c r="F58" s="21" t="str">
        <f>_xlfn.XLOOKUP(A58,'Prior Month'!A:A,'Prior Month'!I:I,"")</f>
        <v/>
      </c>
      <c r="G58" s="18" t="str">
        <f>_xlfn.XLOOKUP(A58,'Year end 2024'!A:A,'Year end 2024'!I:I,"")</f>
        <v/>
      </c>
      <c r="H58" s="19">
        <f>_xlfn.XLOOKUP(A58,'Current Month'!A:A,'Current Month'!E:E,0,0)</f>
        <v>115343.22</v>
      </c>
      <c r="I58" s="32">
        <f>_xlfn.XLOOKUP(A58,'Prior Month'!A:A,'Prior Month'!E:E,0,0)</f>
        <v>116218.09</v>
      </c>
      <c r="J58" s="32">
        <f>_xlfn.XLOOKUP(A58,'Year end 2024'!A:A,'Year end 2024'!E:E,0,0)</f>
        <v>112014.28</v>
      </c>
      <c r="K58" s="14">
        <f t="shared" si="0"/>
        <v>-874.86999999999534</v>
      </c>
      <c r="L58" s="14">
        <f t="shared" si="1"/>
        <v>3328.9400000000023</v>
      </c>
    </row>
    <row r="59" spans="1:12" ht="35.15" customHeight="1" x14ac:dyDescent="0.4">
      <c r="A59" s="11" t="s">
        <v>154</v>
      </c>
      <c r="B59" s="11" t="s">
        <v>155</v>
      </c>
      <c r="C59" s="11" t="s">
        <v>51</v>
      </c>
      <c r="D59" s="11" t="s">
        <v>50</v>
      </c>
      <c r="E59" s="18" t="str">
        <f>_xlfn.XLOOKUP(A59,'Current Month'!A:A,'Current Month'!I:I,"")</f>
        <v/>
      </c>
      <c r="F59" s="21" t="str">
        <f>_xlfn.XLOOKUP(A59,'Prior Month'!A:A,'Prior Month'!I:I,"")</f>
        <v/>
      </c>
      <c r="G59" s="18" t="str">
        <f>_xlfn.XLOOKUP(A59,'Year end 2024'!A:A,'Year end 2024'!I:I,"")</f>
        <v/>
      </c>
      <c r="H59" s="19">
        <f>_xlfn.XLOOKUP(A59,'Current Month'!A:A,'Current Month'!E:E,0,0)</f>
        <v>315066.84999999998</v>
      </c>
      <c r="I59" s="32">
        <f>_xlfn.XLOOKUP(A59,'Prior Month'!A:A,'Prior Month'!E:E,0,0)</f>
        <v>326609.84000000003</v>
      </c>
      <c r="J59" s="32">
        <f>_xlfn.XLOOKUP(A59,'Year end 2024'!A:A,'Year end 2024'!E:E,0,0)</f>
        <v>293074.25</v>
      </c>
      <c r="K59" s="14">
        <f t="shared" si="0"/>
        <v>-11542.990000000049</v>
      </c>
      <c r="L59" s="14">
        <f t="shared" si="1"/>
        <v>21992.599999999977</v>
      </c>
    </row>
    <row r="60" spans="1:12" ht="35.15" customHeight="1" x14ac:dyDescent="0.4">
      <c r="A60" s="11" t="s">
        <v>156</v>
      </c>
      <c r="B60" s="11" t="s">
        <v>157</v>
      </c>
      <c r="C60" s="11" t="s">
        <v>109</v>
      </c>
      <c r="D60" s="11" t="s">
        <v>108</v>
      </c>
      <c r="E60" s="18" t="str">
        <f>_xlfn.XLOOKUP(A60,'Current Month'!A:A,'Current Month'!I:I,"")</f>
        <v/>
      </c>
      <c r="F60" s="21" t="str">
        <f>_xlfn.XLOOKUP(A60,'Prior Month'!A:A,'Prior Month'!I:I,"")</f>
        <v/>
      </c>
      <c r="G60" s="18" t="str">
        <f>_xlfn.XLOOKUP(A60,'Year end 2024'!A:A,'Year end 2024'!I:I,"")</f>
        <v/>
      </c>
      <c r="H60" s="19">
        <f>_xlfn.XLOOKUP(A60,'Current Month'!A:A,'Current Month'!E:E,0,0)</f>
        <v>29656.18</v>
      </c>
      <c r="I60" s="32">
        <f>_xlfn.XLOOKUP(A60,'Prior Month'!A:A,'Prior Month'!E:E,0,0)</f>
        <v>15879.7</v>
      </c>
      <c r="J60" s="32">
        <f>_xlfn.XLOOKUP(A60,'Year end 2024'!A:A,'Year end 2024'!E:E,0,0)</f>
        <v>23863.67</v>
      </c>
      <c r="K60" s="14">
        <f t="shared" si="0"/>
        <v>13776.48</v>
      </c>
      <c r="L60" s="14">
        <f t="shared" si="1"/>
        <v>5792.510000000002</v>
      </c>
    </row>
    <row r="61" spans="1:12" ht="35.15" customHeight="1" x14ac:dyDescent="0.4">
      <c r="A61" s="11" t="s">
        <v>158</v>
      </c>
      <c r="B61" s="11" t="s">
        <v>159</v>
      </c>
      <c r="C61" s="11" t="s">
        <v>51</v>
      </c>
      <c r="D61" s="11" t="s">
        <v>50</v>
      </c>
      <c r="E61" s="18" t="str">
        <f>_xlfn.XLOOKUP(A61,'Current Month'!A:A,'Current Month'!I:I,"")</f>
        <v/>
      </c>
      <c r="F61" s="21" t="str">
        <f>_xlfn.XLOOKUP(A61,'Prior Month'!A:A,'Prior Month'!I:I,"")</f>
        <v/>
      </c>
      <c r="G61" s="18" t="str">
        <f>_xlfn.XLOOKUP(A61,'Year end 2024'!A:A,'Year end 2024'!I:I,"")</f>
        <v/>
      </c>
      <c r="H61" s="19">
        <f>_xlfn.XLOOKUP(A61,'Current Month'!A:A,'Current Month'!E:E,0,0)</f>
        <v>12793.21</v>
      </c>
      <c r="I61" s="32">
        <f>_xlfn.XLOOKUP(A61,'Prior Month'!A:A,'Prior Month'!E:E,0,0)</f>
        <v>12260.82</v>
      </c>
      <c r="J61" s="32">
        <f>_xlfn.XLOOKUP(A61,'Year end 2024'!A:A,'Year end 2024'!E:E,0,0)</f>
        <v>11894.45</v>
      </c>
      <c r="K61" s="14">
        <f t="shared" si="0"/>
        <v>532.38999999999942</v>
      </c>
      <c r="L61" s="14">
        <f t="shared" si="1"/>
        <v>898.7599999999984</v>
      </c>
    </row>
    <row r="62" spans="1:12" ht="35.15" customHeight="1" x14ac:dyDescent="0.4">
      <c r="A62" s="11" t="s">
        <v>160</v>
      </c>
      <c r="B62" s="11" t="s">
        <v>161</v>
      </c>
      <c r="C62" s="11" t="s">
        <v>19</v>
      </c>
      <c r="D62" s="11" t="s">
        <v>18</v>
      </c>
      <c r="E62" s="18" t="str">
        <f>_xlfn.XLOOKUP(A62,'Current Month'!A:A,'Current Month'!I:I,"")</f>
        <v/>
      </c>
      <c r="F62" s="21" t="str">
        <f>_xlfn.XLOOKUP(A62,'Prior Month'!A:A,'Prior Month'!I:I,"")</f>
        <v/>
      </c>
      <c r="G62" s="18" t="str">
        <f>_xlfn.XLOOKUP(A62,'Year end 2024'!A:A,'Year end 2024'!I:I,"")</f>
        <v/>
      </c>
      <c r="H62" s="19">
        <f>_xlfn.XLOOKUP(A62,'Current Month'!A:A,'Current Month'!E:E,0,0)</f>
        <v>41804.25</v>
      </c>
      <c r="I62" s="32">
        <f>_xlfn.XLOOKUP(A62,'Prior Month'!A:A,'Prior Month'!E:E,0,0)</f>
        <v>42897.24</v>
      </c>
      <c r="J62" s="32">
        <f>_xlfn.XLOOKUP(A62,'Year end 2024'!A:A,'Year end 2024'!E:E,0,0)</f>
        <v>27761.51</v>
      </c>
      <c r="K62" s="14">
        <f t="shared" si="0"/>
        <v>-1092.989999999998</v>
      </c>
      <c r="L62" s="14">
        <f t="shared" si="1"/>
        <v>14042.740000000002</v>
      </c>
    </row>
    <row r="63" spans="1:12" ht="35.15" customHeight="1" x14ac:dyDescent="0.4">
      <c r="A63" s="11" t="s">
        <v>162</v>
      </c>
      <c r="B63" s="11" t="s">
        <v>163</v>
      </c>
      <c r="C63" s="11" t="s">
        <v>51</v>
      </c>
      <c r="D63" s="11" t="s">
        <v>50</v>
      </c>
      <c r="E63" s="18" t="str">
        <f>_xlfn.XLOOKUP(A63,'Current Month'!A:A,'Current Month'!I:I,"")</f>
        <v/>
      </c>
      <c r="F63" s="21" t="str">
        <f>_xlfn.XLOOKUP(A63,'Prior Month'!A:A,'Prior Month'!I:I,"")</f>
        <v/>
      </c>
      <c r="G63" s="18" t="str">
        <f>_xlfn.XLOOKUP(A63,'Year end 2024'!A:A,'Year end 2024'!I:I,"")</f>
        <v/>
      </c>
      <c r="H63" s="19">
        <f>_xlfn.XLOOKUP(A63,'Current Month'!A:A,'Current Month'!E:E,0,0)</f>
        <v>17357.13</v>
      </c>
      <c r="I63" s="32">
        <f>_xlfn.XLOOKUP(A63,'Prior Month'!A:A,'Prior Month'!E:E,0,0)</f>
        <v>17714.96</v>
      </c>
      <c r="J63" s="32">
        <f>_xlfn.XLOOKUP(A63,'Year end 2024'!A:A,'Year end 2024'!E:E,0,0)</f>
        <v>16396.37</v>
      </c>
      <c r="K63" s="14">
        <f t="shared" si="0"/>
        <v>-357.82999999999811</v>
      </c>
      <c r="L63" s="14">
        <f t="shared" si="1"/>
        <v>960.76000000000204</v>
      </c>
    </row>
    <row r="64" spans="1:12" ht="35.15" customHeight="1" x14ac:dyDescent="0.4">
      <c r="A64" s="11" t="s">
        <v>164</v>
      </c>
      <c r="B64" s="11" t="s">
        <v>165</v>
      </c>
      <c r="C64" s="11" t="s">
        <v>51</v>
      </c>
      <c r="D64" s="11" t="s">
        <v>50</v>
      </c>
      <c r="E64" s="18" t="str">
        <f>_xlfn.XLOOKUP(A64,'Current Month'!A:A,'Current Month'!I:I,"")</f>
        <v/>
      </c>
      <c r="F64" s="21" t="str">
        <f>_xlfn.XLOOKUP(A64,'Prior Month'!A:A,'Prior Month'!I:I,"")</f>
        <v/>
      </c>
      <c r="G64" s="18" t="str">
        <f>_xlfn.XLOOKUP(A64,'Year end 2024'!A:A,'Year end 2024'!I:I,"")</f>
        <v/>
      </c>
      <c r="H64" s="19">
        <f>_xlfn.XLOOKUP(A64,'Current Month'!A:A,'Current Month'!E:E,0,0)</f>
        <v>7651.16</v>
      </c>
      <c r="I64" s="32">
        <f>_xlfn.XLOOKUP(A64,'Prior Month'!A:A,'Prior Month'!E:E,0,0)</f>
        <v>7651.16</v>
      </c>
      <c r="J64" s="32">
        <f>_xlfn.XLOOKUP(A64,'Year end 2024'!A:A,'Year end 2024'!E:E,0,0)</f>
        <v>7111.16</v>
      </c>
      <c r="K64" s="14">
        <f t="shared" si="0"/>
        <v>0</v>
      </c>
      <c r="L64" s="14">
        <f t="shared" si="1"/>
        <v>540</v>
      </c>
    </row>
    <row r="65" spans="1:12" ht="35.15" customHeight="1" x14ac:dyDescent="0.4">
      <c r="A65" s="11" t="s">
        <v>166</v>
      </c>
      <c r="B65" s="11" t="s">
        <v>167</v>
      </c>
      <c r="C65" s="11" t="s">
        <v>51</v>
      </c>
      <c r="D65" s="11" t="s">
        <v>50</v>
      </c>
      <c r="E65" s="18" t="str">
        <f>_xlfn.XLOOKUP(A65,'Current Month'!A:A,'Current Month'!I:I,"")</f>
        <v/>
      </c>
      <c r="F65" s="21" t="str">
        <f>_xlfn.XLOOKUP(A65,'Prior Month'!A:A,'Prior Month'!I:I,"")</f>
        <v/>
      </c>
      <c r="G65" s="18" t="str">
        <f>_xlfn.XLOOKUP(A65,'Year end 2024'!A:A,'Year end 2024'!I:I,"")</f>
        <v/>
      </c>
      <c r="H65" s="19">
        <f>_xlfn.XLOOKUP(A65,'Current Month'!A:A,'Current Month'!E:E,0,0)</f>
        <v>154088.25</v>
      </c>
      <c r="I65" s="32">
        <f>_xlfn.XLOOKUP(A65,'Prior Month'!A:A,'Prior Month'!E:E,0,0)</f>
        <v>162371.88</v>
      </c>
      <c r="J65" s="32">
        <f>_xlfn.XLOOKUP(A65,'Year end 2024'!A:A,'Year end 2024'!E:E,0,0)</f>
        <v>680.16</v>
      </c>
      <c r="K65" s="14">
        <f t="shared" si="0"/>
        <v>-8283.6300000000047</v>
      </c>
      <c r="L65" s="14">
        <f t="shared" si="1"/>
        <v>153408.09</v>
      </c>
    </row>
    <row r="66" spans="1:12" ht="35.15" customHeight="1" x14ac:dyDescent="0.4">
      <c r="A66" s="11" t="s">
        <v>168</v>
      </c>
      <c r="B66" s="11" t="s">
        <v>169</v>
      </c>
      <c r="C66" s="11" t="s">
        <v>51</v>
      </c>
      <c r="D66" s="11" t="s">
        <v>50</v>
      </c>
      <c r="E66" s="18" t="str">
        <f>_xlfn.XLOOKUP(A66,'Current Month'!A:A,'Current Month'!I:I,"")</f>
        <v/>
      </c>
      <c r="F66" s="21" t="str">
        <f>_xlfn.XLOOKUP(A66,'Prior Month'!A:A,'Prior Month'!I:I,"")</f>
        <v/>
      </c>
      <c r="G66" s="18" t="str">
        <f>_xlfn.XLOOKUP(A66,'Year end 2024'!A:A,'Year end 2024'!I:I,"")</f>
        <v/>
      </c>
      <c r="H66" s="19">
        <f>_xlfn.XLOOKUP(A66,'Current Month'!A:A,'Current Month'!E:E,0,0)</f>
        <v>1293.8900000000001</v>
      </c>
      <c r="I66" s="32">
        <f>_xlfn.XLOOKUP(A66,'Prior Month'!A:A,'Prior Month'!E:E,0,0)</f>
        <v>594.03</v>
      </c>
      <c r="J66" s="32">
        <f>_xlfn.XLOOKUP(A66,'Year end 2024'!A:A,'Year end 2024'!E:E,0,0)</f>
        <v>2685.9</v>
      </c>
      <c r="K66" s="14">
        <f t="shared" ref="K66:K129" si="2">IFERROR(SUM(H66-I66),H66)</f>
        <v>699.86000000000013</v>
      </c>
      <c r="L66" s="14">
        <f t="shared" ref="L66:L129" si="3">IFERROR(SUM(H66-J66),H66)</f>
        <v>-1392.01</v>
      </c>
    </row>
    <row r="67" spans="1:12" ht="35.15" customHeight="1" x14ac:dyDescent="0.4">
      <c r="A67" s="11" t="s">
        <v>170</v>
      </c>
      <c r="B67" s="11" t="s">
        <v>171</v>
      </c>
      <c r="C67" s="11" t="s">
        <v>51</v>
      </c>
      <c r="D67" s="11" t="s">
        <v>50</v>
      </c>
      <c r="E67" s="18" t="str">
        <f>_xlfn.XLOOKUP(A67,'Current Month'!A:A,'Current Month'!I:I,"")</f>
        <v/>
      </c>
      <c r="F67" s="21" t="str">
        <f>_xlfn.XLOOKUP(A67,'Prior Month'!A:A,'Prior Month'!I:I,"")</f>
        <v/>
      </c>
      <c r="G67" s="18" t="str">
        <f>_xlfn.XLOOKUP(A67,'Year end 2024'!A:A,'Year end 2024'!I:I,"")</f>
        <v/>
      </c>
      <c r="H67" s="19">
        <f>_xlfn.XLOOKUP(A67,'Current Month'!A:A,'Current Month'!E:E,0,0)</f>
        <v>351751.02</v>
      </c>
      <c r="I67" s="32">
        <f>_xlfn.XLOOKUP(A67,'Prior Month'!A:A,'Prior Month'!E:E,0,0)</f>
        <v>168879.53</v>
      </c>
      <c r="J67" s="32">
        <f>_xlfn.XLOOKUP(A67,'Year end 2024'!A:A,'Year end 2024'!E:E,0,0)</f>
        <v>213138.36</v>
      </c>
      <c r="K67" s="14">
        <f t="shared" si="2"/>
        <v>182871.49000000002</v>
      </c>
      <c r="L67" s="14">
        <f t="shared" si="3"/>
        <v>138612.66000000003</v>
      </c>
    </row>
    <row r="68" spans="1:12" ht="35.15" customHeight="1" x14ac:dyDescent="0.4">
      <c r="A68" s="11" t="s">
        <v>172</v>
      </c>
      <c r="B68" s="11" t="s">
        <v>173</v>
      </c>
      <c r="C68" s="11" t="s">
        <v>51</v>
      </c>
      <c r="D68" s="11" t="s">
        <v>50</v>
      </c>
      <c r="E68" s="18" t="str">
        <f>_xlfn.XLOOKUP(A68,'Current Month'!A:A,'Current Month'!I:I,"")</f>
        <v/>
      </c>
      <c r="F68" s="21" t="str">
        <f>_xlfn.XLOOKUP(A68,'Prior Month'!A:A,'Prior Month'!I:I,"")</f>
        <v/>
      </c>
      <c r="G68" s="18" t="str">
        <f>_xlfn.XLOOKUP(A68,'Year end 2024'!A:A,'Year end 2024'!I:I,"")</f>
        <v/>
      </c>
      <c r="H68" s="19">
        <f>_xlfn.XLOOKUP(A68,'Current Month'!A:A,'Current Month'!E:E,0,0)</f>
        <v>32128.04</v>
      </c>
      <c r="I68" s="32">
        <f>_xlfn.XLOOKUP(A68,'Prior Month'!A:A,'Prior Month'!E:E,0,0)</f>
        <v>30638.37</v>
      </c>
      <c r="J68" s="32">
        <f>_xlfn.XLOOKUP(A68,'Year end 2024'!A:A,'Year end 2024'!E:E,0,0)</f>
        <v>16310.65</v>
      </c>
      <c r="K68" s="14">
        <f t="shared" si="2"/>
        <v>1489.6700000000019</v>
      </c>
      <c r="L68" s="14">
        <f t="shared" si="3"/>
        <v>15817.390000000001</v>
      </c>
    </row>
    <row r="69" spans="1:12" ht="35.15" customHeight="1" x14ac:dyDescent="0.4">
      <c r="A69" s="11" t="s">
        <v>174</v>
      </c>
      <c r="B69" s="11" t="s">
        <v>175</v>
      </c>
      <c r="C69" s="11" t="s">
        <v>19</v>
      </c>
      <c r="D69" s="11" t="s">
        <v>18</v>
      </c>
      <c r="E69" s="18" t="str">
        <f>_xlfn.XLOOKUP(A69,'Current Month'!A:A,'Current Month'!I:I,"")</f>
        <v/>
      </c>
      <c r="F69" s="21" t="str">
        <f>_xlfn.XLOOKUP(A69,'Prior Month'!A:A,'Prior Month'!I:I,"")</f>
        <v/>
      </c>
      <c r="G69" s="18" t="str">
        <f>_xlfn.XLOOKUP(A69,'Year end 2024'!A:A,'Year end 2024'!I:I,"")</f>
        <v/>
      </c>
      <c r="H69" s="19">
        <f>_xlfn.XLOOKUP(A69,'Current Month'!A:A,'Current Month'!E:E,0,0)</f>
        <v>527.79999999999995</v>
      </c>
      <c r="I69" s="32">
        <f>_xlfn.XLOOKUP(A69,'Prior Month'!A:A,'Prior Month'!E:E,0,0)</f>
        <v>532.79999999999995</v>
      </c>
      <c r="J69" s="32">
        <f>_xlfn.XLOOKUP(A69,'Year end 2024'!A:A,'Year end 2024'!E:E,0,0)</f>
        <v>577.79999999999995</v>
      </c>
      <c r="K69" s="14">
        <f t="shared" si="2"/>
        <v>-5</v>
      </c>
      <c r="L69" s="14">
        <f t="shared" si="3"/>
        <v>-50</v>
      </c>
    </row>
    <row r="70" spans="1:12" ht="35.15" customHeight="1" x14ac:dyDescent="0.4">
      <c r="A70" s="11" t="s">
        <v>176</v>
      </c>
      <c r="B70" s="11" t="s">
        <v>177</v>
      </c>
      <c r="C70" s="11" t="s">
        <v>51</v>
      </c>
      <c r="D70" s="11" t="s">
        <v>50</v>
      </c>
      <c r="E70" s="18" t="str">
        <f>_xlfn.XLOOKUP(A70,'Current Month'!A:A,'Current Month'!I:I,"")</f>
        <v/>
      </c>
      <c r="F70" s="21" t="str">
        <f>_xlfn.XLOOKUP(A70,'Prior Month'!A:A,'Prior Month'!I:I,"")</f>
        <v/>
      </c>
      <c r="G70" s="18" t="str">
        <f>_xlfn.XLOOKUP(A70,'Year end 2024'!A:A,'Year end 2024'!I:I,"")</f>
        <v/>
      </c>
      <c r="H70" s="19">
        <f>_xlfn.XLOOKUP(A70,'Current Month'!A:A,'Current Month'!E:E,0,0)</f>
        <v>141604.20000000001</v>
      </c>
      <c r="I70" s="32">
        <f>_xlfn.XLOOKUP(A70,'Prior Month'!A:A,'Prior Month'!E:E,0,0)</f>
        <v>175282.33</v>
      </c>
      <c r="J70" s="32">
        <f>_xlfn.XLOOKUP(A70,'Year end 2024'!A:A,'Year end 2024'!E:E,0,0)</f>
        <v>147390.10999999999</v>
      </c>
      <c r="K70" s="14">
        <f t="shared" si="2"/>
        <v>-33678.129999999976</v>
      </c>
      <c r="L70" s="14">
        <f t="shared" si="3"/>
        <v>-5785.9099999999744</v>
      </c>
    </row>
    <row r="71" spans="1:12" ht="35.15" customHeight="1" x14ac:dyDescent="0.4">
      <c r="A71" s="11" t="s">
        <v>178</v>
      </c>
      <c r="B71" s="11" t="s">
        <v>179</v>
      </c>
      <c r="C71" s="11" t="s">
        <v>57</v>
      </c>
      <c r="D71" s="11" t="s">
        <v>56</v>
      </c>
      <c r="E71" s="18" t="str">
        <f>_xlfn.XLOOKUP(A71,'Current Month'!A:A,'Current Month'!I:I,"")</f>
        <v/>
      </c>
      <c r="F71" s="21" t="str">
        <f>_xlfn.XLOOKUP(A71,'Prior Month'!A:A,'Prior Month'!I:I,"")</f>
        <v/>
      </c>
      <c r="G71" s="18" t="str">
        <f>_xlfn.XLOOKUP(A71,'Year end 2024'!A:A,'Year end 2024'!I:I,"")</f>
        <v/>
      </c>
      <c r="H71" s="19">
        <f>_xlfn.XLOOKUP(A71,'Current Month'!A:A,'Current Month'!E:E,0,0)</f>
        <v>2733590.87</v>
      </c>
      <c r="I71" s="32">
        <f>_xlfn.XLOOKUP(A71,'Prior Month'!A:A,'Prior Month'!E:E,0,0)</f>
        <v>2788352.45</v>
      </c>
      <c r="J71" s="32">
        <f>_xlfn.XLOOKUP(A71,'Year end 2024'!A:A,'Year end 2024'!E:E,0,0)</f>
        <v>1195149.9099999999</v>
      </c>
      <c r="K71" s="14">
        <f t="shared" si="2"/>
        <v>-54761.580000000075</v>
      </c>
      <c r="L71" s="14">
        <f t="shared" si="3"/>
        <v>1538440.9600000002</v>
      </c>
    </row>
    <row r="72" spans="1:12" ht="35.15" customHeight="1" x14ac:dyDescent="0.4">
      <c r="A72" s="11" t="s">
        <v>180</v>
      </c>
      <c r="B72" s="11" t="s">
        <v>181</v>
      </c>
      <c r="C72" s="11" t="s">
        <v>51</v>
      </c>
      <c r="D72" s="11" t="s">
        <v>50</v>
      </c>
      <c r="E72" s="18" t="str">
        <f>_xlfn.XLOOKUP(A72,'Current Month'!A:A,'Current Month'!I:I,"")</f>
        <v/>
      </c>
      <c r="F72" s="21" t="str">
        <f>_xlfn.XLOOKUP(A72,'Prior Month'!A:A,'Prior Month'!I:I,"")</f>
        <v/>
      </c>
      <c r="G72" s="18" t="str">
        <f>_xlfn.XLOOKUP(A72,'Year end 2024'!A:A,'Year end 2024'!I:I,"")</f>
        <v/>
      </c>
      <c r="H72" s="19">
        <f>_xlfn.XLOOKUP(A72,'Current Month'!A:A,'Current Month'!E:E,0,0)</f>
        <v>236340.52</v>
      </c>
      <c r="I72" s="32">
        <f>_xlfn.XLOOKUP(A72,'Prior Month'!A:A,'Prior Month'!E:E,0,0)</f>
        <v>309766.27</v>
      </c>
      <c r="J72" s="32">
        <f>_xlfn.XLOOKUP(A72,'Year end 2024'!A:A,'Year end 2024'!E:E,0,0)</f>
        <v>176826.61</v>
      </c>
      <c r="K72" s="14">
        <f t="shared" si="2"/>
        <v>-73425.750000000029</v>
      </c>
      <c r="L72" s="14">
        <f t="shared" si="3"/>
        <v>59513.91</v>
      </c>
    </row>
    <row r="73" spans="1:12" ht="35.15" customHeight="1" x14ac:dyDescent="0.4">
      <c r="A73" s="11" t="s">
        <v>182</v>
      </c>
      <c r="B73" s="11" t="s">
        <v>183</v>
      </c>
      <c r="C73" s="11" t="s">
        <v>185</v>
      </c>
      <c r="D73" s="11" t="s">
        <v>184</v>
      </c>
      <c r="E73" s="18">
        <f>_xlfn.XLOOKUP(A73,'Current Month'!A:A,'Current Month'!I:I,"")</f>
        <v>1.4302690344676371E-2</v>
      </c>
      <c r="F73" s="21">
        <f>_xlfn.XLOOKUP(A73,'Prior Month'!A:A,'Prior Month'!I:I,"")</f>
        <v>1.1986378581326892E-2</v>
      </c>
      <c r="G73" s="18">
        <f>_xlfn.XLOOKUP(A73,'Year end 2024'!A:A,'Year end 2024'!I:I,"")</f>
        <v>1.4915668756412929E-2</v>
      </c>
      <c r="H73" s="19">
        <f>_xlfn.XLOOKUP(A73,'Current Month'!A:A,'Current Month'!E:E,0,0)</f>
        <v>4815.37</v>
      </c>
      <c r="I73" s="32">
        <f>_xlfn.XLOOKUP(A73,'Prior Month'!A:A,'Prior Month'!E:E,0,0)</f>
        <v>4051.15</v>
      </c>
      <c r="J73" s="32">
        <f>_xlfn.XLOOKUP(A73,'Year end 2024'!A:A,'Year end 2024'!E:E,0,0)</f>
        <v>5188.88</v>
      </c>
      <c r="K73" s="14">
        <f t="shared" si="2"/>
        <v>764.2199999999998</v>
      </c>
      <c r="L73" s="14">
        <f t="shared" si="3"/>
        <v>-373.51000000000022</v>
      </c>
    </row>
    <row r="74" spans="1:12" ht="35.15" customHeight="1" x14ac:dyDescent="0.4">
      <c r="A74" s="11" t="s">
        <v>186</v>
      </c>
      <c r="B74" s="11" t="s">
        <v>187</v>
      </c>
      <c r="C74" s="11" t="s">
        <v>19</v>
      </c>
      <c r="D74" s="11" t="s">
        <v>18</v>
      </c>
      <c r="E74" s="18">
        <f>_xlfn.XLOOKUP(A74,'Current Month'!A:A,'Current Month'!I:I,"")</f>
        <v>6.3602709163346613E-3</v>
      </c>
      <c r="F74" s="21">
        <f>_xlfn.XLOOKUP(A74,'Prior Month'!A:A,'Prior Month'!I:I,"")</f>
        <v>6.9662629482071716E-3</v>
      </c>
      <c r="G74" s="18">
        <f>_xlfn.XLOOKUP(A74,'Year end 2024'!A:A,'Year end 2024'!I:I,"")</f>
        <v>0.21856339999999999</v>
      </c>
      <c r="H74" s="19">
        <f>_xlfn.XLOOKUP(A74,'Current Month'!A:A,'Current Month'!E:E,0,0)</f>
        <v>3991.07</v>
      </c>
      <c r="I74" s="32">
        <f>_xlfn.XLOOKUP(A74,'Prior Month'!A:A,'Prior Month'!E:E,0,0)</f>
        <v>4371.33</v>
      </c>
      <c r="J74" s="32">
        <f>_xlfn.XLOOKUP(A74,'Year end 2024'!A:A,'Year end 2024'!E:E,0,0)</f>
        <v>10928.17</v>
      </c>
      <c r="K74" s="14">
        <f t="shared" si="2"/>
        <v>-380.25999999999976</v>
      </c>
      <c r="L74" s="14">
        <f t="shared" si="3"/>
        <v>-6937.1</v>
      </c>
    </row>
    <row r="75" spans="1:12" ht="35.15" customHeight="1" x14ac:dyDescent="0.4">
      <c r="A75" s="11" t="s">
        <v>188</v>
      </c>
      <c r="B75" s="11" t="s">
        <v>189</v>
      </c>
      <c r="C75" s="11" t="s">
        <v>77</v>
      </c>
      <c r="D75" s="11" t="s">
        <v>76</v>
      </c>
      <c r="E75" s="18">
        <f>_xlfn.XLOOKUP(A75,'Current Month'!A:A,'Current Month'!I:I,"")</f>
        <v>4.63667622576233E-3</v>
      </c>
      <c r="F75" s="21">
        <f>_xlfn.XLOOKUP(A75,'Prior Month'!A:A,'Prior Month'!I:I,"")</f>
        <v>4.8932118281656375E-2</v>
      </c>
      <c r="G75" s="18">
        <f>_xlfn.XLOOKUP(A75,'Year end 2024'!A:A,'Year end 2024'!I:I,"")</f>
        <v>2.7067371489859864E-2</v>
      </c>
      <c r="H75" s="19">
        <f>_xlfn.XLOOKUP(A75,'Current Month'!A:A,'Current Month'!E:E,0,0)</f>
        <v>1182.82</v>
      </c>
      <c r="I75" s="32">
        <f>_xlfn.XLOOKUP(A75,'Prior Month'!A:A,'Prior Month'!E:E,0,0)</f>
        <v>12590.9</v>
      </c>
      <c r="J75" s="32">
        <f>_xlfn.XLOOKUP(A75,'Year end 2024'!A:A,'Year end 2024'!E:E,0,0)</f>
        <v>7480.61</v>
      </c>
      <c r="K75" s="14">
        <f t="shared" si="2"/>
        <v>-11408.08</v>
      </c>
      <c r="L75" s="14">
        <f t="shared" si="3"/>
        <v>-6297.79</v>
      </c>
    </row>
    <row r="76" spans="1:12" ht="35.15" customHeight="1" x14ac:dyDescent="0.4">
      <c r="A76" s="11" t="s">
        <v>190</v>
      </c>
      <c r="B76" s="11" t="s">
        <v>191</v>
      </c>
      <c r="C76" s="11" t="s">
        <v>51</v>
      </c>
      <c r="D76" s="11" t="s">
        <v>50</v>
      </c>
      <c r="E76" s="18" t="str">
        <f>_xlfn.XLOOKUP(A76,'Current Month'!A:A,'Current Month'!I:I,"")</f>
        <v/>
      </c>
      <c r="F76" s="21" t="str">
        <f>_xlfn.XLOOKUP(A76,'Prior Month'!A:A,'Prior Month'!I:I,"")</f>
        <v/>
      </c>
      <c r="G76" s="18" t="str">
        <f>_xlfn.XLOOKUP(A76,'Year end 2024'!A:A,'Year end 2024'!I:I,"")</f>
        <v/>
      </c>
      <c r="H76" s="19">
        <f>_xlfn.XLOOKUP(A76,'Current Month'!A:A,'Current Month'!E:E,0,0)</f>
        <v>35189.07</v>
      </c>
      <c r="I76" s="32">
        <f>_xlfn.XLOOKUP(A76,'Prior Month'!A:A,'Prior Month'!E:E,0,0)</f>
        <v>146273.39000000001</v>
      </c>
      <c r="J76" s="32">
        <f>_xlfn.XLOOKUP(A76,'Year end 2024'!A:A,'Year end 2024'!E:E,0,0)</f>
        <v>81033.87</v>
      </c>
      <c r="K76" s="14">
        <f t="shared" si="2"/>
        <v>-111084.32</v>
      </c>
      <c r="L76" s="14">
        <f t="shared" si="3"/>
        <v>-45844.799999999996</v>
      </c>
    </row>
    <row r="77" spans="1:12" ht="35.15" customHeight="1" x14ac:dyDescent="0.4">
      <c r="A77" s="11" t="s">
        <v>192</v>
      </c>
      <c r="B77" s="11" t="s">
        <v>193</v>
      </c>
      <c r="C77" s="11" t="s">
        <v>15</v>
      </c>
      <c r="D77" s="11" t="s">
        <v>14</v>
      </c>
      <c r="E77" s="18">
        <f>_xlfn.XLOOKUP(A77,'Current Month'!A:A,'Current Month'!I:I,"")</f>
        <v>2.6441759281437123</v>
      </c>
      <c r="F77" s="21">
        <f>_xlfn.XLOOKUP(A77,'Prior Month'!A:A,'Prior Month'!I:I,"")</f>
        <v>2.0391498528780381</v>
      </c>
      <c r="G77" s="18">
        <f>_xlfn.XLOOKUP(A77,'Year end 2024'!A:A,'Year end 2024'!I:I,"")</f>
        <v>9.3262959125551443</v>
      </c>
      <c r="H77" s="19">
        <f>_xlfn.XLOOKUP(A77,'Current Month'!A:A,'Current Month'!E:E,0,0)</f>
        <v>1324732.1399999999</v>
      </c>
      <c r="I77" s="32">
        <f>_xlfn.XLOOKUP(A77,'Prior Month'!A:A,'Prior Month'!E:E,0,0)</f>
        <v>1619572.34</v>
      </c>
      <c r="J77" s="32">
        <f>_xlfn.XLOOKUP(A77,'Year end 2024'!A:A,'Year end 2024'!E:E,0,0)</f>
        <v>6821213.6600000001</v>
      </c>
      <c r="K77" s="14">
        <f t="shared" si="2"/>
        <v>-294840.20000000019</v>
      </c>
      <c r="L77" s="14">
        <f t="shared" si="3"/>
        <v>-5496481.5200000005</v>
      </c>
    </row>
    <row r="78" spans="1:12" ht="35.15" customHeight="1" x14ac:dyDescent="0.4">
      <c r="A78" s="11" t="s">
        <v>194</v>
      </c>
      <c r="B78" s="11" t="s">
        <v>195</v>
      </c>
      <c r="C78" s="11" t="s">
        <v>19</v>
      </c>
      <c r="D78" s="11" t="s">
        <v>18</v>
      </c>
      <c r="E78" s="18" t="str">
        <f>_xlfn.XLOOKUP(A78,'Current Month'!A:A,'Current Month'!I:I,"")</f>
        <v/>
      </c>
      <c r="F78" s="21" t="str">
        <f>_xlfn.XLOOKUP(A78,'Prior Month'!A:A,'Prior Month'!I:I,"")</f>
        <v/>
      </c>
      <c r="G78" s="18" t="str">
        <f>_xlfn.XLOOKUP(A78,'Year end 2024'!A:A,'Year end 2024'!I:I,"")</f>
        <v/>
      </c>
      <c r="H78" s="19">
        <f>_xlfn.XLOOKUP(A78,'Current Month'!A:A,'Current Month'!E:E,0,0)</f>
        <v>869103.75</v>
      </c>
      <c r="I78" s="32">
        <f>_xlfn.XLOOKUP(A78,'Prior Month'!A:A,'Prior Month'!E:E,0,0)</f>
        <v>890792.58</v>
      </c>
      <c r="J78" s="32">
        <f>_xlfn.XLOOKUP(A78,'Year end 2024'!A:A,'Year end 2024'!E:E,0,0)</f>
        <v>856217.23</v>
      </c>
      <c r="K78" s="14">
        <f t="shared" si="2"/>
        <v>-21688.829999999958</v>
      </c>
      <c r="L78" s="14">
        <f t="shared" si="3"/>
        <v>12886.520000000019</v>
      </c>
    </row>
    <row r="79" spans="1:12" ht="35.15" customHeight="1" x14ac:dyDescent="0.4">
      <c r="A79" s="11" t="s">
        <v>196</v>
      </c>
      <c r="B79" s="11" t="s">
        <v>197</v>
      </c>
      <c r="C79" s="11" t="s">
        <v>51</v>
      </c>
      <c r="D79" s="11" t="s">
        <v>50</v>
      </c>
      <c r="E79" s="18" t="str">
        <f>_xlfn.XLOOKUP(A79,'Current Month'!A:A,'Current Month'!I:I,"")</f>
        <v/>
      </c>
      <c r="F79" s="21" t="str">
        <f>_xlfn.XLOOKUP(A79,'Prior Month'!A:A,'Prior Month'!I:I,"")</f>
        <v/>
      </c>
      <c r="G79" s="18" t="str">
        <f>_xlfn.XLOOKUP(A79,'Year end 2024'!A:A,'Year end 2024'!I:I,"")</f>
        <v/>
      </c>
      <c r="H79" s="19">
        <f>_xlfn.XLOOKUP(A79,'Current Month'!A:A,'Current Month'!E:E,0,0)</f>
        <v>23998.21</v>
      </c>
      <c r="I79" s="32">
        <f>_xlfn.XLOOKUP(A79,'Prior Month'!A:A,'Prior Month'!E:E,0,0)</f>
        <v>25879.41</v>
      </c>
      <c r="J79" s="32">
        <f>_xlfn.XLOOKUP(A79,'Year end 2024'!A:A,'Year end 2024'!E:E,0,0)</f>
        <v>22545.46</v>
      </c>
      <c r="K79" s="14">
        <f t="shared" si="2"/>
        <v>-1881.2000000000007</v>
      </c>
      <c r="L79" s="14">
        <f t="shared" si="3"/>
        <v>1452.75</v>
      </c>
    </row>
    <row r="80" spans="1:12" ht="35.15" customHeight="1" x14ac:dyDescent="0.4">
      <c r="A80" s="11" t="s">
        <v>198</v>
      </c>
      <c r="B80" s="11" t="s">
        <v>199</v>
      </c>
      <c r="C80" s="11" t="s">
        <v>109</v>
      </c>
      <c r="D80" s="11" t="s">
        <v>108</v>
      </c>
      <c r="E80" s="18" t="str">
        <f>_xlfn.XLOOKUP(A80,'Current Month'!A:A,'Current Month'!I:I,"")</f>
        <v/>
      </c>
      <c r="F80" s="21" t="str">
        <f>_xlfn.XLOOKUP(A80,'Prior Month'!A:A,'Prior Month'!I:I,"")</f>
        <v/>
      </c>
      <c r="G80" s="18" t="str">
        <f>_xlfn.XLOOKUP(A80,'Year end 2024'!A:A,'Year end 2024'!I:I,"")</f>
        <v/>
      </c>
      <c r="H80" s="19">
        <f>_xlfn.XLOOKUP(A80,'Current Month'!A:A,'Current Month'!E:E,0,0)</f>
        <v>44528.1</v>
      </c>
      <c r="I80" s="32">
        <f>_xlfn.XLOOKUP(A80,'Prior Month'!A:A,'Prior Month'!E:E,0,0)</f>
        <v>43795.42</v>
      </c>
      <c r="J80" s="32">
        <f>_xlfn.XLOOKUP(A80,'Year end 2024'!A:A,'Year end 2024'!E:E,0,0)</f>
        <v>45158.95</v>
      </c>
      <c r="K80" s="14">
        <f t="shared" si="2"/>
        <v>732.68000000000029</v>
      </c>
      <c r="L80" s="14">
        <f t="shared" si="3"/>
        <v>-630.84999999999854</v>
      </c>
    </row>
    <row r="81" spans="1:12" ht="35.15" customHeight="1" x14ac:dyDescent="0.4">
      <c r="A81" s="11" t="s">
        <v>200</v>
      </c>
      <c r="B81" s="11" t="s">
        <v>201</v>
      </c>
      <c r="C81" s="11" t="s">
        <v>51</v>
      </c>
      <c r="D81" s="11" t="s">
        <v>50</v>
      </c>
      <c r="E81" s="18" t="str">
        <f>_xlfn.XLOOKUP(A81,'Current Month'!A:A,'Current Month'!I:I,"")</f>
        <v/>
      </c>
      <c r="F81" s="21" t="str">
        <f>_xlfn.XLOOKUP(A81,'Prior Month'!A:A,'Prior Month'!I:I,"")</f>
        <v/>
      </c>
      <c r="G81" s="18" t="str">
        <f>_xlfn.XLOOKUP(A81,'Year end 2024'!A:A,'Year end 2024'!I:I,"")</f>
        <v/>
      </c>
      <c r="H81" s="19">
        <f>_xlfn.XLOOKUP(A81,'Current Month'!A:A,'Current Month'!E:E,0,0)</f>
        <v>73008.31</v>
      </c>
      <c r="I81" s="32">
        <f>_xlfn.XLOOKUP(A81,'Prior Month'!A:A,'Prior Month'!E:E,0,0)</f>
        <v>72746.09</v>
      </c>
      <c r="J81" s="32">
        <f>_xlfn.XLOOKUP(A81,'Year end 2024'!A:A,'Year end 2024'!E:E,0,0)</f>
        <v>38939.050000000003</v>
      </c>
      <c r="K81" s="14">
        <f t="shared" si="2"/>
        <v>262.22000000000116</v>
      </c>
      <c r="L81" s="14">
        <f t="shared" si="3"/>
        <v>34069.259999999995</v>
      </c>
    </row>
    <row r="82" spans="1:12" ht="35.15" customHeight="1" x14ac:dyDescent="0.4">
      <c r="A82" s="11" t="s">
        <v>202</v>
      </c>
      <c r="B82" s="11" t="s">
        <v>203</v>
      </c>
      <c r="C82" s="11" t="s">
        <v>19</v>
      </c>
      <c r="D82" s="11" t="s">
        <v>18</v>
      </c>
      <c r="E82" s="18" t="str">
        <f>_xlfn.XLOOKUP(A82,'Current Month'!A:A,'Current Month'!I:I,"")</f>
        <v/>
      </c>
      <c r="F82" s="21" t="str">
        <f>_xlfn.XLOOKUP(A82,'Prior Month'!A:A,'Prior Month'!I:I,"")</f>
        <v/>
      </c>
      <c r="G82" s="18" t="str">
        <f>_xlfn.XLOOKUP(A82,'Year end 2024'!A:A,'Year end 2024'!I:I,"")</f>
        <v/>
      </c>
      <c r="H82" s="19">
        <f>_xlfn.XLOOKUP(A82,'Current Month'!A:A,'Current Month'!E:E,0,0)</f>
        <v>73948.039999999994</v>
      </c>
      <c r="I82" s="32">
        <f>_xlfn.XLOOKUP(A82,'Prior Month'!A:A,'Prior Month'!E:E,0,0)</f>
        <v>76046.87</v>
      </c>
      <c r="J82" s="32">
        <f>_xlfn.XLOOKUP(A82,'Year end 2024'!A:A,'Year end 2024'!E:E,0,0)</f>
        <v>87199.83</v>
      </c>
      <c r="K82" s="14">
        <f t="shared" si="2"/>
        <v>-2098.8300000000017</v>
      </c>
      <c r="L82" s="14">
        <f t="shared" si="3"/>
        <v>-13251.790000000008</v>
      </c>
    </row>
    <row r="83" spans="1:12" ht="35.15" customHeight="1" x14ac:dyDescent="0.4">
      <c r="A83" s="11" t="s">
        <v>204</v>
      </c>
      <c r="B83" s="11" t="s">
        <v>205</v>
      </c>
      <c r="C83" s="11" t="s">
        <v>19</v>
      </c>
      <c r="D83" s="11" t="s">
        <v>18</v>
      </c>
      <c r="E83" s="18" t="str">
        <f>_xlfn.XLOOKUP(A83,'Current Month'!A:A,'Current Month'!I:I,"")</f>
        <v/>
      </c>
      <c r="F83" s="21" t="str">
        <f>_xlfn.XLOOKUP(A83,'Prior Month'!A:A,'Prior Month'!I:I,"")</f>
        <v/>
      </c>
      <c r="G83" s="18" t="str">
        <f>_xlfn.XLOOKUP(A83,'Year end 2024'!A:A,'Year end 2024'!I:I,"")</f>
        <v/>
      </c>
      <c r="H83" s="19">
        <f>_xlfn.XLOOKUP(A83,'Current Month'!A:A,'Current Month'!E:E,0,0)</f>
        <v>41189.980000000003</v>
      </c>
      <c r="I83" s="32">
        <f>_xlfn.XLOOKUP(A83,'Prior Month'!A:A,'Prior Month'!E:E,0,0)</f>
        <v>40750.839999999997</v>
      </c>
      <c r="J83" s="32">
        <f>_xlfn.XLOOKUP(A83,'Year end 2024'!A:A,'Year end 2024'!E:E,0,0)</f>
        <v>40722.81</v>
      </c>
      <c r="K83" s="14">
        <f t="shared" si="2"/>
        <v>439.14000000000669</v>
      </c>
      <c r="L83" s="14">
        <f t="shared" si="3"/>
        <v>467.17000000000553</v>
      </c>
    </row>
    <row r="84" spans="1:12" ht="35.15" customHeight="1" x14ac:dyDescent="0.4">
      <c r="A84" s="11" t="s">
        <v>206</v>
      </c>
      <c r="B84" s="11" t="s">
        <v>207</v>
      </c>
      <c r="C84" s="11" t="s">
        <v>51</v>
      </c>
      <c r="D84" s="11" t="s">
        <v>50</v>
      </c>
      <c r="E84" s="18" t="str">
        <f>_xlfn.XLOOKUP(A84,'Current Month'!A:A,'Current Month'!I:I,"")</f>
        <v/>
      </c>
      <c r="F84" s="21" t="str">
        <f>_xlfn.XLOOKUP(A84,'Prior Month'!A:A,'Prior Month'!I:I,"")</f>
        <v/>
      </c>
      <c r="G84" s="18" t="str">
        <f>_xlfn.XLOOKUP(A84,'Year end 2024'!A:A,'Year end 2024'!I:I,"")</f>
        <v/>
      </c>
      <c r="H84" s="19">
        <f>_xlfn.XLOOKUP(A84,'Current Month'!A:A,'Current Month'!E:E,0,0)</f>
        <v>601.92999999999995</v>
      </c>
      <c r="I84" s="32">
        <f>_xlfn.XLOOKUP(A84,'Prior Month'!A:A,'Prior Month'!E:E,0,0)</f>
        <v>601.80999999999995</v>
      </c>
      <c r="J84" s="32">
        <f>_xlfn.XLOOKUP(A84,'Year end 2024'!A:A,'Year end 2024'!E:E,0,0)</f>
        <v>0</v>
      </c>
      <c r="K84" s="14">
        <f t="shared" si="2"/>
        <v>0.12000000000000455</v>
      </c>
      <c r="L84" s="14">
        <f t="shared" si="3"/>
        <v>601.92999999999995</v>
      </c>
    </row>
    <row r="85" spans="1:12" ht="35.15" customHeight="1" x14ac:dyDescent="0.4">
      <c r="A85" s="11" t="s">
        <v>208</v>
      </c>
      <c r="B85" s="11" t="s">
        <v>209</v>
      </c>
      <c r="C85" s="11" t="s">
        <v>15</v>
      </c>
      <c r="D85" s="11" t="s">
        <v>14</v>
      </c>
      <c r="E85" s="18">
        <f>_xlfn.XLOOKUP(A85,'Current Month'!A:A,'Current Month'!I:I,"")</f>
        <v>7.8205206745965344E-2</v>
      </c>
      <c r="F85" s="21">
        <f>_xlfn.XLOOKUP(A85,'Prior Month'!A:A,'Prior Month'!I:I,"")</f>
        <v>7.2250072239557858E-2</v>
      </c>
      <c r="G85" s="18">
        <f>_xlfn.XLOOKUP(A85,'Year end 2024'!A:A,'Year end 2024'!I:I,"")</f>
        <v>0.36682089080301172</v>
      </c>
      <c r="H85" s="19">
        <f>_xlfn.XLOOKUP(A85,'Current Month'!A:A,'Current Month'!E:E,0,0)</f>
        <v>638439.52</v>
      </c>
      <c r="I85" s="32">
        <f>_xlfn.XLOOKUP(A85,'Prior Month'!A:A,'Prior Month'!E:E,0,0)</f>
        <v>593563.88</v>
      </c>
      <c r="J85" s="32">
        <f>_xlfn.XLOOKUP(A85,'Year end 2024'!A:A,'Year end 2024'!E:E,0,0)</f>
        <v>2821497.36</v>
      </c>
      <c r="K85" s="14">
        <f t="shared" si="2"/>
        <v>44875.640000000014</v>
      </c>
      <c r="L85" s="14">
        <f t="shared" si="3"/>
        <v>-2183057.84</v>
      </c>
    </row>
    <row r="86" spans="1:12" ht="35.15" customHeight="1" x14ac:dyDescent="0.4">
      <c r="A86" s="11" t="s">
        <v>210</v>
      </c>
      <c r="B86" s="11" t="s">
        <v>211</v>
      </c>
      <c r="C86" s="11" t="s">
        <v>213</v>
      </c>
      <c r="D86" s="11" t="s">
        <v>212</v>
      </c>
      <c r="E86" s="18">
        <f>_xlfn.XLOOKUP(A86,'Current Month'!A:A,'Current Month'!I:I,"")</f>
        <v>5.8296740405175754E-3</v>
      </c>
      <c r="F86" s="21">
        <f>_xlfn.XLOOKUP(A86,'Prior Month'!A:A,'Prior Month'!I:I,"")</f>
        <v>9.7076977766287473E-2</v>
      </c>
      <c r="G86" s="18">
        <f>_xlfn.XLOOKUP(A86,'Year end 2024'!A:A,'Year end 2024'!I:I,"")</f>
        <v>3.8018427740752689E-2</v>
      </c>
      <c r="H86" s="19">
        <f>_xlfn.XLOOKUP(A86,'Current Month'!A:A,'Current Month'!E:E,0,0)</f>
        <v>71.73</v>
      </c>
      <c r="I86" s="32">
        <f>_xlfn.XLOOKUP(A86,'Prior Month'!A:A,'Prior Month'!E:E,0,0)</f>
        <v>1201.58</v>
      </c>
      <c r="J86" s="32">
        <f>_xlfn.XLOOKUP(A86,'Year end 2024'!A:A,'Year end 2024'!E:E,0,0)</f>
        <v>483.18</v>
      </c>
      <c r="K86" s="14">
        <f t="shared" si="2"/>
        <v>-1129.8499999999999</v>
      </c>
      <c r="L86" s="14">
        <f t="shared" si="3"/>
        <v>-411.45</v>
      </c>
    </row>
    <row r="87" spans="1:12" ht="35.15" customHeight="1" x14ac:dyDescent="0.4">
      <c r="A87" s="11" t="s">
        <v>214</v>
      </c>
      <c r="B87" s="11" t="s">
        <v>215</v>
      </c>
      <c r="C87" s="11" t="s">
        <v>51</v>
      </c>
      <c r="D87" s="11" t="s">
        <v>50</v>
      </c>
      <c r="E87" s="18" t="str">
        <f>_xlfn.XLOOKUP(A87,'Current Month'!A:A,'Current Month'!I:I,"")</f>
        <v/>
      </c>
      <c r="F87" s="21" t="str">
        <f>_xlfn.XLOOKUP(A87,'Prior Month'!A:A,'Prior Month'!I:I,"")</f>
        <v/>
      </c>
      <c r="G87" s="18" t="str">
        <f>_xlfn.XLOOKUP(A87,'Year end 2024'!A:A,'Year end 2024'!I:I,"")</f>
        <v/>
      </c>
      <c r="H87" s="19">
        <f>_xlfn.XLOOKUP(A87,'Current Month'!A:A,'Current Month'!E:E,0,0)</f>
        <v>29035.5</v>
      </c>
      <c r="I87" s="32">
        <f>_xlfn.XLOOKUP(A87,'Prior Month'!A:A,'Prior Month'!E:E,0,0)</f>
        <v>25841.35</v>
      </c>
      <c r="J87" s="32">
        <f>_xlfn.XLOOKUP(A87,'Year end 2024'!A:A,'Year end 2024'!E:E,0,0)</f>
        <v>22030.49</v>
      </c>
      <c r="K87" s="14">
        <f t="shared" si="2"/>
        <v>3194.1500000000015</v>
      </c>
      <c r="L87" s="14">
        <f t="shared" si="3"/>
        <v>7005.0099999999984</v>
      </c>
    </row>
    <row r="88" spans="1:12" ht="35.15" customHeight="1" x14ac:dyDescent="0.4">
      <c r="A88" s="11" t="s">
        <v>216</v>
      </c>
      <c r="B88" s="11" t="s">
        <v>217</v>
      </c>
      <c r="C88" s="11" t="s">
        <v>67</v>
      </c>
      <c r="D88" s="11" t="s">
        <v>66</v>
      </c>
      <c r="E88" s="18" t="str">
        <f>_xlfn.XLOOKUP(A88,'Current Month'!A:A,'Current Month'!I:I,"")</f>
        <v/>
      </c>
      <c r="F88" s="21" t="str">
        <f>_xlfn.XLOOKUP(A88,'Prior Month'!A:A,'Prior Month'!I:I,"")</f>
        <v/>
      </c>
      <c r="G88" s="18" t="str">
        <f>_xlfn.XLOOKUP(A88,'Year end 2024'!A:A,'Year end 2024'!I:I,"")</f>
        <v/>
      </c>
      <c r="H88" s="19">
        <f>_xlfn.XLOOKUP(A88,'Current Month'!A:A,'Current Month'!E:E,0,0)</f>
        <v>24672.57</v>
      </c>
      <c r="I88" s="32">
        <f>_xlfn.XLOOKUP(A88,'Prior Month'!A:A,'Prior Month'!E:E,0,0)</f>
        <v>25789.07</v>
      </c>
      <c r="J88" s="32">
        <f>_xlfn.XLOOKUP(A88,'Year end 2024'!A:A,'Year end 2024'!E:E,0,0)</f>
        <v>29848.95</v>
      </c>
      <c r="K88" s="14">
        <f t="shared" si="2"/>
        <v>-1116.5</v>
      </c>
      <c r="L88" s="14">
        <f t="shared" si="3"/>
        <v>-5176.380000000001</v>
      </c>
    </row>
    <row r="89" spans="1:12" ht="35.15" customHeight="1" x14ac:dyDescent="0.4">
      <c r="A89" s="11" t="s">
        <v>218</v>
      </c>
      <c r="B89" s="11" t="s">
        <v>219</v>
      </c>
      <c r="C89" s="11" t="s">
        <v>51</v>
      </c>
      <c r="D89" s="11" t="s">
        <v>50</v>
      </c>
      <c r="E89" s="18" t="str">
        <f>_xlfn.XLOOKUP(A89,'Current Month'!A:A,'Current Month'!I:I,"")</f>
        <v/>
      </c>
      <c r="F89" s="21" t="str">
        <f>_xlfn.XLOOKUP(A89,'Prior Month'!A:A,'Prior Month'!I:I,"")</f>
        <v/>
      </c>
      <c r="G89" s="18" t="str">
        <f>_xlfn.XLOOKUP(A89,'Year end 2024'!A:A,'Year end 2024'!I:I,"")</f>
        <v/>
      </c>
      <c r="H89" s="19">
        <f>_xlfn.XLOOKUP(A89,'Current Month'!A:A,'Current Month'!E:E,0,0)</f>
        <v>25728.35</v>
      </c>
      <c r="I89" s="32">
        <f>_xlfn.XLOOKUP(A89,'Prior Month'!A:A,'Prior Month'!E:E,0,0)</f>
        <v>22099.62</v>
      </c>
      <c r="J89" s="32">
        <f>_xlfn.XLOOKUP(A89,'Year end 2024'!A:A,'Year end 2024'!E:E,0,0)</f>
        <v>15803.62</v>
      </c>
      <c r="K89" s="14">
        <f t="shared" si="2"/>
        <v>3628.7299999999996</v>
      </c>
      <c r="L89" s="14">
        <f t="shared" si="3"/>
        <v>9924.7299999999977</v>
      </c>
    </row>
    <row r="90" spans="1:12" ht="35.15" customHeight="1" x14ac:dyDescent="0.4">
      <c r="A90" s="11" t="s">
        <v>220</v>
      </c>
      <c r="B90" s="11" t="s">
        <v>221</v>
      </c>
      <c r="C90" s="11" t="s">
        <v>51</v>
      </c>
      <c r="D90" s="11" t="s">
        <v>50</v>
      </c>
      <c r="E90" s="18" t="str">
        <f>_xlfn.XLOOKUP(A90,'Current Month'!A:A,'Current Month'!I:I,"")</f>
        <v/>
      </c>
      <c r="F90" s="21" t="str">
        <f>_xlfn.XLOOKUP(A90,'Prior Month'!A:A,'Prior Month'!I:I,"")</f>
        <v/>
      </c>
      <c r="G90" s="18" t="str">
        <f>_xlfn.XLOOKUP(A90,'Year end 2024'!A:A,'Year end 2024'!I:I,"")</f>
        <v/>
      </c>
      <c r="H90" s="19">
        <f>_xlfn.XLOOKUP(A90,'Current Month'!A:A,'Current Month'!E:E,0,0)</f>
        <v>30267.78</v>
      </c>
      <c r="I90" s="32">
        <f>_xlfn.XLOOKUP(A90,'Prior Month'!A:A,'Prior Month'!E:E,0,0)</f>
        <v>28095.360000000001</v>
      </c>
      <c r="J90" s="32">
        <f>_xlfn.XLOOKUP(A90,'Year end 2024'!A:A,'Year end 2024'!E:E,0,0)</f>
        <v>52996.93</v>
      </c>
      <c r="K90" s="14">
        <f t="shared" si="2"/>
        <v>2172.4199999999983</v>
      </c>
      <c r="L90" s="14">
        <f t="shared" si="3"/>
        <v>-22729.15</v>
      </c>
    </row>
    <row r="91" spans="1:12" ht="35.15" customHeight="1" x14ac:dyDescent="0.4">
      <c r="A91" s="11" t="s">
        <v>222</v>
      </c>
      <c r="B91" s="11" t="s">
        <v>223</v>
      </c>
      <c r="C91" s="11" t="s">
        <v>67</v>
      </c>
      <c r="D91" s="11" t="s">
        <v>66</v>
      </c>
      <c r="E91" s="18" t="str">
        <f>_xlfn.XLOOKUP(A91,'Current Month'!A:A,'Current Month'!I:I,"")</f>
        <v/>
      </c>
      <c r="F91" s="21" t="str">
        <f>_xlfn.XLOOKUP(A91,'Prior Month'!A:A,'Prior Month'!I:I,"")</f>
        <v/>
      </c>
      <c r="G91" s="18" t="str">
        <f>_xlfn.XLOOKUP(A91,'Year end 2024'!A:A,'Year end 2024'!I:I,"")</f>
        <v/>
      </c>
      <c r="H91" s="19">
        <f>_xlfn.XLOOKUP(A91,'Current Month'!A:A,'Current Month'!E:E,0,0)</f>
        <v>3169.7</v>
      </c>
      <c r="I91" s="32">
        <f>_xlfn.XLOOKUP(A91,'Prior Month'!A:A,'Prior Month'!E:E,0,0)</f>
        <v>3174.7</v>
      </c>
      <c r="J91" s="32">
        <f>_xlfn.XLOOKUP(A91,'Year end 2024'!A:A,'Year end 2024'!E:E,0,0)</f>
        <v>3219.7</v>
      </c>
      <c r="K91" s="14">
        <f t="shared" si="2"/>
        <v>-5</v>
      </c>
      <c r="L91" s="14">
        <f t="shared" si="3"/>
        <v>-50</v>
      </c>
    </row>
    <row r="92" spans="1:12" ht="35.15" customHeight="1" x14ac:dyDescent="0.4">
      <c r="A92" s="11" t="s">
        <v>224</v>
      </c>
      <c r="B92" s="11" t="s">
        <v>225</v>
      </c>
      <c r="C92" s="11" t="s">
        <v>67</v>
      </c>
      <c r="D92" s="11" t="s">
        <v>66</v>
      </c>
      <c r="E92" s="18" t="str">
        <f>_xlfn.XLOOKUP(A92,'Current Month'!A:A,'Current Month'!I:I,"")</f>
        <v/>
      </c>
      <c r="F92" s="21" t="str">
        <f>_xlfn.XLOOKUP(A92,'Prior Month'!A:A,'Prior Month'!I:I,"")</f>
        <v/>
      </c>
      <c r="G92" s="18" t="str">
        <f>_xlfn.XLOOKUP(A92,'Year end 2024'!A:A,'Year end 2024'!I:I,"")</f>
        <v/>
      </c>
      <c r="H92" s="19">
        <f>_xlfn.XLOOKUP(A92,'Current Month'!A:A,'Current Month'!E:E,0,0)</f>
        <v>1443.15</v>
      </c>
      <c r="I92" s="32">
        <f>_xlfn.XLOOKUP(A92,'Prior Month'!A:A,'Prior Month'!E:E,0,0)</f>
        <v>28161.46</v>
      </c>
      <c r="J92" s="32">
        <f>_xlfn.XLOOKUP(A92,'Year end 2024'!A:A,'Year end 2024'!E:E,0,0)</f>
        <v>74805.759999999995</v>
      </c>
      <c r="K92" s="14">
        <f t="shared" si="2"/>
        <v>-26718.309999999998</v>
      </c>
      <c r="L92" s="14">
        <f t="shared" si="3"/>
        <v>-73362.61</v>
      </c>
    </row>
    <row r="93" spans="1:12" ht="35.15" customHeight="1" x14ac:dyDescent="0.4">
      <c r="A93" s="11" t="s">
        <v>226</v>
      </c>
      <c r="B93" s="11" t="s">
        <v>227</v>
      </c>
      <c r="C93" s="11" t="s">
        <v>51</v>
      </c>
      <c r="D93" s="11" t="s">
        <v>50</v>
      </c>
      <c r="E93" s="18" t="str">
        <f>_xlfn.XLOOKUP(A93,'Current Month'!A:A,'Current Month'!I:I,"")</f>
        <v/>
      </c>
      <c r="F93" s="21" t="str">
        <f>_xlfn.XLOOKUP(A93,'Prior Month'!A:A,'Prior Month'!I:I,"")</f>
        <v/>
      </c>
      <c r="G93" s="18" t="str">
        <f>_xlfn.XLOOKUP(A93,'Year end 2024'!A:A,'Year end 2024'!I:I,"")</f>
        <v/>
      </c>
      <c r="H93" s="19">
        <f>_xlfn.XLOOKUP(A93,'Current Month'!A:A,'Current Month'!E:E,0,0)</f>
        <v>16283.06</v>
      </c>
      <c r="I93" s="32">
        <f>_xlfn.XLOOKUP(A93,'Prior Month'!A:A,'Prior Month'!E:E,0,0)</f>
        <v>4999.6000000000004</v>
      </c>
      <c r="J93" s="32">
        <f>_xlfn.XLOOKUP(A93,'Year end 2024'!A:A,'Year end 2024'!E:E,0,0)</f>
        <v>30862.55</v>
      </c>
      <c r="K93" s="14">
        <f t="shared" si="2"/>
        <v>11283.46</v>
      </c>
      <c r="L93" s="14">
        <f t="shared" si="3"/>
        <v>-14579.49</v>
      </c>
    </row>
    <row r="94" spans="1:12" ht="35.15" customHeight="1" x14ac:dyDescent="0.4">
      <c r="A94" s="11" t="s">
        <v>228</v>
      </c>
      <c r="B94" s="11" t="s">
        <v>229</v>
      </c>
      <c r="C94" s="11" t="s">
        <v>57</v>
      </c>
      <c r="D94" s="11" t="s">
        <v>56</v>
      </c>
      <c r="E94" s="18">
        <f>_xlfn.XLOOKUP(A94,'Current Month'!A:A,'Current Month'!I:I,"")</f>
        <v>42.284394200000001</v>
      </c>
      <c r="F94" s="21">
        <f>_xlfn.XLOOKUP(A94,'Prior Month'!A:A,'Prior Month'!I:I,"")</f>
        <v>49.181956200000002</v>
      </c>
      <c r="G94" s="18">
        <f>_xlfn.XLOOKUP(A94,'Year end 2024'!A:A,'Year end 2024'!I:I,"")</f>
        <v>91.460279999999997</v>
      </c>
      <c r="H94" s="19">
        <f>_xlfn.XLOOKUP(A94,'Current Month'!A:A,'Current Month'!E:E,0,0)</f>
        <v>2114219.71</v>
      </c>
      <c r="I94" s="32">
        <f>_xlfn.XLOOKUP(A94,'Prior Month'!A:A,'Prior Month'!E:E,0,0)</f>
        <v>2459097.81</v>
      </c>
      <c r="J94" s="32">
        <f>_xlfn.XLOOKUP(A94,'Year end 2024'!A:A,'Year end 2024'!E:E,0,0)</f>
        <v>4573014</v>
      </c>
      <c r="K94" s="14">
        <f t="shared" si="2"/>
        <v>-344878.10000000009</v>
      </c>
      <c r="L94" s="14">
        <f t="shared" si="3"/>
        <v>-2458794.29</v>
      </c>
    </row>
    <row r="95" spans="1:12" ht="35.15" customHeight="1" x14ac:dyDescent="0.4">
      <c r="A95" s="11" t="s">
        <v>230</v>
      </c>
      <c r="B95" s="11" t="s">
        <v>231</v>
      </c>
      <c r="C95" s="11" t="s">
        <v>29</v>
      </c>
      <c r="D95" s="11" t="s">
        <v>28</v>
      </c>
      <c r="E95" s="18" t="str">
        <f>_xlfn.XLOOKUP(A95,'Current Month'!A:A,'Current Month'!I:I,"")</f>
        <v/>
      </c>
      <c r="F95" s="21" t="str">
        <f>_xlfn.XLOOKUP(A95,'Prior Month'!A:A,'Prior Month'!I:I,"")</f>
        <v/>
      </c>
      <c r="G95" s="18" t="str">
        <f>_xlfn.XLOOKUP(A95,'Year end 2024'!A:A,'Year end 2024'!I:I,"")</f>
        <v/>
      </c>
      <c r="H95" s="19">
        <f>_xlfn.XLOOKUP(A95,'Current Month'!A:A,'Current Month'!E:E,0,0)</f>
        <v>109119.61</v>
      </c>
      <c r="I95" s="32">
        <f>_xlfn.XLOOKUP(A95,'Prior Month'!A:A,'Prior Month'!E:E,0,0)</f>
        <v>108803.68</v>
      </c>
      <c r="J95" s="32">
        <f>_xlfn.XLOOKUP(A95,'Year end 2024'!A:A,'Year end 2024'!E:E,0,0)</f>
        <v>98401.52</v>
      </c>
      <c r="K95" s="14">
        <f t="shared" si="2"/>
        <v>315.93000000000757</v>
      </c>
      <c r="L95" s="14">
        <f t="shared" si="3"/>
        <v>10718.089999999997</v>
      </c>
    </row>
    <row r="96" spans="1:12" ht="35.15" customHeight="1" x14ac:dyDescent="0.4">
      <c r="A96" s="11" t="s">
        <v>232</v>
      </c>
      <c r="B96" s="11" t="s">
        <v>233</v>
      </c>
      <c r="C96" s="11" t="s">
        <v>77</v>
      </c>
      <c r="D96" s="11" t="s">
        <v>76</v>
      </c>
      <c r="E96" s="18" t="str">
        <f>_xlfn.XLOOKUP(A96,'Current Month'!A:A,'Current Month'!I:I,"")</f>
        <v/>
      </c>
      <c r="F96" s="21" t="str">
        <f>_xlfn.XLOOKUP(A96,'Prior Month'!A:A,'Prior Month'!I:I,"")</f>
        <v/>
      </c>
      <c r="G96" s="18" t="str">
        <f>_xlfn.XLOOKUP(A96,'Year end 2024'!A:A,'Year end 2024'!I:I,"")</f>
        <v/>
      </c>
      <c r="H96" s="19">
        <f>_xlfn.XLOOKUP(A96,'Current Month'!A:A,'Current Month'!E:E,0,0)</f>
        <v>960908.32</v>
      </c>
      <c r="I96" s="32">
        <f>_xlfn.XLOOKUP(A96,'Prior Month'!A:A,'Prior Month'!E:E,0,0)</f>
        <v>1006717.67</v>
      </c>
      <c r="J96" s="32">
        <f>_xlfn.XLOOKUP(A96,'Year end 2024'!A:A,'Year end 2024'!E:E,0,0)</f>
        <v>492154.5</v>
      </c>
      <c r="K96" s="14">
        <f t="shared" si="2"/>
        <v>-45809.350000000093</v>
      </c>
      <c r="L96" s="14">
        <f t="shared" si="3"/>
        <v>468753.81999999995</v>
      </c>
    </row>
    <row r="97" spans="1:12" ht="35.15" customHeight="1" x14ac:dyDescent="0.4">
      <c r="A97" s="11" t="s">
        <v>234</v>
      </c>
      <c r="B97" s="11" t="s">
        <v>235</v>
      </c>
      <c r="C97" s="11" t="s">
        <v>109</v>
      </c>
      <c r="D97" s="11" t="s">
        <v>108</v>
      </c>
      <c r="E97" s="18" t="str">
        <f>_xlfn.XLOOKUP(A97,'Current Month'!A:A,'Current Month'!I:I,"")</f>
        <v/>
      </c>
      <c r="F97" s="21" t="str">
        <f>_xlfn.XLOOKUP(A97,'Prior Month'!A:A,'Prior Month'!I:I,"")</f>
        <v/>
      </c>
      <c r="G97" s="18" t="str">
        <f>_xlfn.XLOOKUP(A97,'Year end 2024'!A:A,'Year end 2024'!I:I,"")</f>
        <v/>
      </c>
      <c r="H97" s="19">
        <f>_xlfn.XLOOKUP(A97,'Current Month'!A:A,'Current Month'!E:E,0,0)</f>
        <v>154607.28</v>
      </c>
      <c r="I97" s="32">
        <f>_xlfn.XLOOKUP(A97,'Prior Month'!A:A,'Prior Month'!E:E,0,0)</f>
        <v>150760.57</v>
      </c>
      <c r="J97" s="32">
        <f>_xlfn.XLOOKUP(A97,'Year end 2024'!A:A,'Year end 2024'!E:E,0,0)</f>
        <v>554505.18999999994</v>
      </c>
      <c r="K97" s="14">
        <f t="shared" si="2"/>
        <v>3846.7099999999919</v>
      </c>
      <c r="L97" s="14">
        <f t="shared" si="3"/>
        <v>-399897.90999999992</v>
      </c>
    </row>
    <row r="98" spans="1:12" ht="35.15" customHeight="1" x14ac:dyDescent="0.4">
      <c r="A98" s="11" t="s">
        <v>236</v>
      </c>
      <c r="B98" s="11" t="s">
        <v>237</v>
      </c>
      <c r="C98" s="11" t="s">
        <v>77</v>
      </c>
      <c r="D98" s="11" t="s">
        <v>76</v>
      </c>
      <c r="E98" s="18" t="str">
        <f>_xlfn.XLOOKUP(A98,'Current Month'!A:A,'Current Month'!I:I,"")</f>
        <v/>
      </c>
      <c r="F98" s="21" t="str">
        <f>_xlfn.XLOOKUP(A98,'Prior Month'!A:A,'Prior Month'!I:I,"")</f>
        <v/>
      </c>
      <c r="G98" s="18" t="str">
        <f>_xlfn.XLOOKUP(A98,'Year end 2024'!A:A,'Year end 2024'!I:I,"")</f>
        <v/>
      </c>
      <c r="H98" s="19">
        <f>_xlfn.XLOOKUP(A98,'Current Month'!A:A,'Current Month'!E:E,0,0)</f>
        <v>31602.46</v>
      </c>
      <c r="I98" s="32">
        <f>_xlfn.XLOOKUP(A98,'Prior Month'!A:A,'Prior Month'!E:E,0,0)</f>
        <v>33166.33</v>
      </c>
      <c r="J98" s="32">
        <f>_xlfn.XLOOKUP(A98,'Year end 2024'!A:A,'Year end 2024'!E:E,0,0)</f>
        <v>43902.38</v>
      </c>
      <c r="K98" s="14">
        <f t="shared" si="2"/>
        <v>-1563.8700000000026</v>
      </c>
      <c r="L98" s="14">
        <f t="shared" si="3"/>
        <v>-12299.919999999998</v>
      </c>
    </row>
    <row r="99" spans="1:12" ht="35.15" customHeight="1" x14ac:dyDescent="0.4">
      <c r="A99" s="11" t="s">
        <v>238</v>
      </c>
      <c r="B99" s="11" t="s">
        <v>239</v>
      </c>
      <c r="C99" s="11" t="s">
        <v>19</v>
      </c>
      <c r="D99" s="11" t="s">
        <v>18</v>
      </c>
      <c r="E99" s="18" t="str">
        <f>_xlfn.XLOOKUP(A99,'Current Month'!A:A,'Current Month'!I:I,"")</f>
        <v/>
      </c>
      <c r="F99" s="21" t="str">
        <f>_xlfn.XLOOKUP(A99,'Prior Month'!A:A,'Prior Month'!I:I,"")</f>
        <v/>
      </c>
      <c r="G99" s="18" t="str">
        <f>_xlfn.XLOOKUP(A99,'Year end 2024'!A:A,'Year end 2024'!I:I,"")</f>
        <v/>
      </c>
      <c r="H99" s="19">
        <f>_xlfn.XLOOKUP(A99,'Current Month'!A:A,'Current Month'!E:E,0,0)</f>
        <v>7251.33</v>
      </c>
      <c r="I99" s="32">
        <f>_xlfn.XLOOKUP(A99,'Prior Month'!A:A,'Prior Month'!E:E,0,0)</f>
        <v>5763.51</v>
      </c>
      <c r="J99" s="32">
        <f>_xlfn.XLOOKUP(A99,'Year end 2024'!A:A,'Year end 2024'!E:E,0,0)</f>
        <v>914.89</v>
      </c>
      <c r="K99" s="14">
        <f t="shared" si="2"/>
        <v>1487.8199999999997</v>
      </c>
      <c r="L99" s="14">
        <f t="shared" si="3"/>
        <v>6336.44</v>
      </c>
    </row>
    <row r="100" spans="1:12" ht="35.15" customHeight="1" x14ac:dyDescent="0.4">
      <c r="A100" s="11" t="s">
        <v>240</v>
      </c>
      <c r="B100" s="11" t="s">
        <v>241</v>
      </c>
      <c r="C100" s="11" t="s">
        <v>77</v>
      </c>
      <c r="D100" s="11" t="s">
        <v>76</v>
      </c>
      <c r="E100" s="18" t="str">
        <f>_xlfn.XLOOKUP(A100,'Current Month'!A:A,'Current Month'!I:I,"")</f>
        <v/>
      </c>
      <c r="F100" s="21" t="str">
        <f>_xlfn.XLOOKUP(A100,'Prior Month'!A:A,'Prior Month'!I:I,"")</f>
        <v/>
      </c>
      <c r="G100" s="18" t="str">
        <f>_xlfn.XLOOKUP(A100,'Year end 2024'!A:A,'Year end 2024'!I:I,"")</f>
        <v/>
      </c>
      <c r="H100" s="19">
        <f>_xlfn.XLOOKUP(A100,'Current Month'!A:A,'Current Month'!E:E,0,0)</f>
        <v>2187.15</v>
      </c>
      <c r="I100" s="32">
        <f>_xlfn.XLOOKUP(A100,'Prior Month'!A:A,'Prior Month'!E:E,0,0)</f>
        <v>2111.62</v>
      </c>
      <c r="J100" s="32">
        <f>_xlfn.XLOOKUP(A100,'Year end 2024'!A:A,'Year end 2024'!E:E,0,0)</f>
        <v>2830.28</v>
      </c>
      <c r="K100" s="14">
        <f t="shared" si="2"/>
        <v>75.5300000000002</v>
      </c>
      <c r="L100" s="14">
        <f t="shared" si="3"/>
        <v>-643.13000000000011</v>
      </c>
    </row>
    <row r="101" spans="1:12" ht="35.15" customHeight="1" x14ac:dyDescent="0.4">
      <c r="A101" s="11" t="s">
        <v>242</v>
      </c>
      <c r="B101" s="11" t="s">
        <v>243</v>
      </c>
      <c r="C101" s="11" t="s">
        <v>19</v>
      </c>
      <c r="D101" s="11" t="s">
        <v>18</v>
      </c>
      <c r="E101" s="18" t="str">
        <f>_xlfn.XLOOKUP(A101,'Current Month'!A:A,'Current Month'!I:I,"")</f>
        <v/>
      </c>
      <c r="F101" s="21" t="str">
        <f>_xlfn.XLOOKUP(A101,'Prior Month'!A:A,'Prior Month'!I:I,"")</f>
        <v/>
      </c>
      <c r="G101" s="18" t="str">
        <f>_xlfn.XLOOKUP(A101,'Year end 2024'!A:A,'Year end 2024'!I:I,"")</f>
        <v/>
      </c>
      <c r="H101" s="19">
        <f>_xlfn.XLOOKUP(A101,'Current Month'!A:A,'Current Month'!E:E,0,0)</f>
        <v>28874.87</v>
      </c>
      <c r="I101" s="32">
        <f>_xlfn.XLOOKUP(A101,'Prior Month'!A:A,'Prior Month'!E:E,0,0)</f>
        <v>27786.71</v>
      </c>
      <c r="J101" s="32">
        <f>_xlfn.XLOOKUP(A101,'Year end 2024'!A:A,'Year end 2024'!E:E,0,0)</f>
        <v>193633.11</v>
      </c>
      <c r="K101" s="14">
        <f t="shared" si="2"/>
        <v>1088.1599999999999</v>
      </c>
      <c r="L101" s="14">
        <f t="shared" si="3"/>
        <v>-164758.24</v>
      </c>
    </row>
    <row r="102" spans="1:12" ht="35.15" customHeight="1" x14ac:dyDescent="0.4">
      <c r="A102" s="11" t="s">
        <v>244</v>
      </c>
      <c r="B102" s="11" t="s">
        <v>245</v>
      </c>
      <c r="C102" s="11" t="s">
        <v>109</v>
      </c>
      <c r="D102" s="11" t="s">
        <v>108</v>
      </c>
      <c r="E102" s="18" t="str">
        <f>_xlfn.XLOOKUP(A102,'Current Month'!A:A,'Current Month'!I:I,"")</f>
        <v/>
      </c>
      <c r="F102" s="21" t="str">
        <f>_xlfn.XLOOKUP(A102,'Prior Month'!A:A,'Prior Month'!I:I,"")</f>
        <v/>
      </c>
      <c r="G102" s="18" t="str">
        <f>_xlfn.XLOOKUP(A102,'Year end 2024'!A:A,'Year end 2024'!I:I,"")</f>
        <v/>
      </c>
      <c r="H102" s="19">
        <f>_xlfn.XLOOKUP(A102,'Current Month'!A:A,'Current Month'!E:E,0,0)</f>
        <v>4650.04</v>
      </c>
      <c r="I102" s="32">
        <f>_xlfn.XLOOKUP(A102,'Prior Month'!A:A,'Prior Month'!E:E,0,0)</f>
        <v>5632.23</v>
      </c>
      <c r="J102" s="32">
        <f>_xlfn.XLOOKUP(A102,'Year end 2024'!A:A,'Year end 2024'!E:E,0,0)</f>
        <v>764.1</v>
      </c>
      <c r="K102" s="14">
        <f t="shared" si="2"/>
        <v>-982.1899999999996</v>
      </c>
      <c r="L102" s="14">
        <f t="shared" si="3"/>
        <v>3885.94</v>
      </c>
    </row>
    <row r="103" spans="1:12" ht="35.15" customHeight="1" x14ac:dyDescent="0.4">
      <c r="A103" s="11" t="s">
        <v>246</v>
      </c>
      <c r="B103" s="11" t="s">
        <v>247</v>
      </c>
      <c r="C103" s="11" t="s">
        <v>29</v>
      </c>
      <c r="D103" s="11" t="s">
        <v>28</v>
      </c>
      <c r="E103" s="18" t="str">
        <f>_xlfn.XLOOKUP(A103,'Current Month'!A:A,'Current Month'!I:I,"")</f>
        <v/>
      </c>
      <c r="F103" s="21" t="str">
        <f>_xlfn.XLOOKUP(A103,'Prior Month'!A:A,'Prior Month'!I:I,"")</f>
        <v/>
      </c>
      <c r="G103" s="18" t="str">
        <f>_xlfn.XLOOKUP(A103,'Year end 2024'!A:A,'Year end 2024'!I:I,"")</f>
        <v/>
      </c>
      <c r="H103" s="19">
        <f>_xlfn.XLOOKUP(A103,'Current Month'!A:A,'Current Month'!E:E,0,0)</f>
        <v>232113.98</v>
      </c>
      <c r="I103" s="32">
        <f>_xlfn.XLOOKUP(A103,'Prior Month'!A:A,'Prior Month'!E:E,0,0)</f>
        <v>216509.98</v>
      </c>
      <c r="J103" s="32">
        <f>_xlfn.XLOOKUP(A103,'Year end 2024'!A:A,'Year end 2024'!E:E,0,0)</f>
        <v>154042.14000000001</v>
      </c>
      <c r="K103" s="14">
        <f t="shared" si="2"/>
        <v>15604</v>
      </c>
      <c r="L103" s="14">
        <f t="shared" si="3"/>
        <v>78071.839999999997</v>
      </c>
    </row>
    <row r="104" spans="1:12" ht="35.15" customHeight="1" x14ac:dyDescent="0.4">
      <c r="A104" s="11" t="s">
        <v>248</v>
      </c>
      <c r="B104" s="11" t="s">
        <v>249</v>
      </c>
      <c r="C104" s="11" t="s">
        <v>33</v>
      </c>
      <c r="D104" s="11" t="s">
        <v>32</v>
      </c>
      <c r="E104" s="18" t="str">
        <f>_xlfn.XLOOKUP(A104,'Current Month'!A:A,'Current Month'!I:I,"")</f>
        <v/>
      </c>
      <c r="F104" s="21" t="str">
        <f>_xlfn.XLOOKUP(A104,'Prior Month'!A:A,'Prior Month'!I:I,"")</f>
        <v/>
      </c>
      <c r="G104" s="18" t="str">
        <f>_xlfn.XLOOKUP(A104,'Year end 2024'!A:A,'Year end 2024'!I:I,"")</f>
        <v/>
      </c>
      <c r="H104" s="19">
        <f>_xlfn.XLOOKUP(A104,'Current Month'!A:A,'Current Month'!E:E,0,0)</f>
        <v>3191.81</v>
      </c>
      <c r="I104" s="32">
        <f>_xlfn.XLOOKUP(A104,'Prior Month'!A:A,'Prior Month'!E:E,0,0)</f>
        <v>2218</v>
      </c>
      <c r="J104" s="32">
        <f>_xlfn.XLOOKUP(A104,'Year end 2024'!A:A,'Year end 2024'!E:E,0,0)</f>
        <v>7</v>
      </c>
      <c r="K104" s="14">
        <f t="shared" si="2"/>
        <v>973.81</v>
      </c>
      <c r="L104" s="14">
        <f t="shared" si="3"/>
        <v>3184.81</v>
      </c>
    </row>
    <row r="105" spans="1:12" ht="35.15" customHeight="1" x14ac:dyDescent="0.4">
      <c r="A105" s="11" t="s">
        <v>250</v>
      </c>
      <c r="B105" s="11" t="s">
        <v>251</v>
      </c>
      <c r="C105" s="11" t="s">
        <v>253</v>
      </c>
      <c r="D105" s="11" t="s">
        <v>252</v>
      </c>
      <c r="E105" s="18">
        <f>_xlfn.XLOOKUP(A105,'Current Month'!A:A,'Current Month'!I:I,"")</f>
        <v>1.0781588551734016</v>
      </c>
      <c r="F105" s="21">
        <f>_xlfn.XLOOKUP(A105,'Prior Month'!A:A,'Prior Month'!I:I,"")</f>
        <v>1.470905224974786</v>
      </c>
      <c r="G105" s="18">
        <f>_xlfn.XLOOKUP(A105,'Year end 2024'!A:A,'Year end 2024'!I:I,"")</f>
        <v>1.5544104687776057</v>
      </c>
      <c r="H105" s="19">
        <f>_xlfn.XLOOKUP(A105,'Current Month'!A:A,'Current Month'!E:E,0,0)</f>
        <v>983346.18</v>
      </c>
      <c r="I105" s="32">
        <f>_xlfn.XLOOKUP(A105,'Prior Month'!A:A,'Prior Month'!E:E,0,0)</f>
        <v>1352193.23</v>
      </c>
      <c r="J105" s="32">
        <f>_xlfn.XLOOKUP(A105,'Year end 2024'!A:A,'Year end 2024'!E:E,0,0)</f>
        <v>1099496.53</v>
      </c>
      <c r="K105" s="14">
        <f t="shared" si="2"/>
        <v>-368847.04999999993</v>
      </c>
      <c r="L105" s="14">
        <f t="shared" si="3"/>
        <v>-116150.34999999998</v>
      </c>
    </row>
    <row r="106" spans="1:12" ht="35.15" customHeight="1" x14ac:dyDescent="0.4">
      <c r="A106" s="11" t="s">
        <v>254</v>
      </c>
      <c r="B106" s="11" t="s">
        <v>255</v>
      </c>
      <c r="C106" s="11" t="s">
        <v>101</v>
      </c>
      <c r="D106" s="11" t="s">
        <v>100</v>
      </c>
      <c r="E106" s="18">
        <f>_xlfn.XLOOKUP(A106,'Current Month'!A:A,'Current Month'!I:I,"")</f>
        <v>5.9346120377084845E-3</v>
      </c>
      <c r="F106" s="21">
        <f>_xlfn.XLOOKUP(A106,'Prior Month'!A:A,'Prior Month'!I:I,"")</f>
        <v>3.0450725163161715E-2</v>
      </c>
      <c r="G106" s="18">
        <f>_xlfn.XLOOKUP(A106,'Year end 2024'!A:A,'Year end 2024'!I:I,"")</f>
        <v>1.1060043509789703E-3</v>
      </c>
      <c r="H106" s="19">
        <f>_xlfn.XLOOKUP(A106,'Current Month'!A:A,'Current Month'!E:E,0,0)</f>
        <v>8183.83</v>
      </c>
      <c r="I106" s="32">
        <f>_xlfn.XLOOKUP(A106,'Prior Month'!A:A,'Prior Month'!E:E,0,0)</f>
        <v>41991.55</v>
      </c>
      <c r="J106" s="32">
        <f>_xlfn.XLOOKUP(A106,'Year end 2024'!A:A,'Year end 2024'!E:E,0,0)</f>
        <v>1525.18</v>
      </c>
      <c r="K106" s="14">
        <f t="shared" si="2"/>
        <v>-33807.72</v>
      </c>
      <c r="L106" s="14">
        <f t="shared" si="3"/>
        <v>6658.65</v>
      </c>
    </row>
    <row r="107" spans="1:12" ht="35.15" customHeight="1" x14ac:dyDescent="0.4">
      <c r="A107" s="11" t="s">
        <v>256</v>
      </c>
      <c r="B107" s="11" t="s">
        <v>257</v>
      </c>
      <c r="C107" s="11" t="s">
        <v>259</v>
      </c>
      <c r="D107" s="11" t="s">
        <v>258</v>
      </c>
      <c r="E107" s="18">
        <f>_xlfn.XLOOKUP(A107,'Current Month'!A:A,'Current Month'!I:I,"")</f>
        <v>1.6106248718211862E-2</v>
      </c>
      <c r="F107" s="21">
        <f>_xlfn.XLOOKUP(A107,'Prior Month'!A:A,'Prior Month'!I:I,"")</f>
        <v>1.4052485588363962E-2</v>
      </c>
      <c r="G107" s="18">
        <f>_xlfn.XLOOKUP(A107,'Year end 2024'!A:A,'Year end 2024'!I:I,"")</f>
        <v>1.3494388998882586E-2</v>
      </c>
      <c r="H107" s="19">
        <f>_xlfn.XLOOKUP(A107,'Current Month'!A:A,'Current Month'!E:E,0,0)</f>
        <v>11682.73</v>
      </c>
      <c r="I107" s="32">
        <f>_xlfn.XLOOKUP(A107,'Prior Month'!A:A,'Prior Month'!E:E,0,0)</f>
        <v>10211.76</v>
      </c>
      <c r="J107" s="32">
        <f>_xlfn.XLOOKUP(A107,'Year end 2024'!A:A,'Year end 2024'!E:E,0,0)</f>
        <v>9930.94</v>
      </c>
      <c r="K107" s="14">
        <f t="shared" si="2"/>
        <v>1470.9699999999993</v>
      </c>
      <c r="L107" s="14">
        <f t="shared" si="3"/>
        <v>1751.7899999999991</v>
      </c>
    </row>
    <row r="108" spans="1:12" ht="35.15" customHeight="1" x14ac:dyDescent="0.4">
      <c r="A108" s="11" t="s">
        <v>260</v>
      </c>
      <c r="B108" s="11" t="s">
        <v>261</v>
      </c>
      <c r="C108" s="11" t="s">
        <v>51</v>
      </c>
      <c r="D108" s="11" t="s">
        <v>50</v>
      </c>
      <c r="E108" s="18" t="str">
        <f>_xlfn.XLOOKUP(A108,'Current Month'!A:A,'Current Month'!I:I,"")</f>
        <v/>
      </c>
      <c r="F108" s="21" t="str">
        <f>_xlfn.XLOOKUP(A108,'Prior Month'!A:A,'Prior Month'!I:I,"")</f>
        <v/>
      </c>
      <c r="G108" s="18" t="str">
        <f>_xlfn.XLOOKUP(A108,'Year end 2024'!A:A,'Year end 2024'!I:I,"")</f>
        <v/>
      </c>
      <c r="H108" s="19">
        <f>_xlfn.XLOOKUP(A108,'Current Month'!A:A,'Current Month'!E:E,0,0)</f>
        <v>1184189.17</v>
      </c>
      <c r="I108" s="32">
        <f>_xlfn.XLOOKUP(A108,'Prior Month'!A:A,'Prior Month'!E:E,0,0)</f>
        <v>1149282.3899999999</v>
      </c>
      <c r="J108" s="32">
        <f>_xlfn.XLOOKUP(A108,'Year end 2024'!A:A,'Year end 2024'!E:E,0,0)</f>
        <v>1599405.68</v>
      </c>
      <c r="K108" s="14">
        <f t="shared" si="2"/>
        <v>34906.780000000028</v>
      </c>
      <c r="L108" s="14">
        <f t="shared" si="3"/>
        <v>-415216.51</v>
      </c>
    </row>
    <row r="109" spans="1:12" ht="35.15" customHeight="1" x14ac:dyDescent="0.4">
      <c r="A109" s="11" t="s">
        <v>262</v>
      </c>
      <c r="B109" s="11" t="s">
        <v>263</v>
      </c>
      <c r="C109" s="11" t="s">
        <v>33</v>
      </c>
      <c r="D109" s="11" t="s">
        <v>32</v>
      </c>
      <c r="E109" s="18" t="str">
        <f>_xlfn.XLOOKUP(A109,'Current Month'!A:A,'Current Month'!I:I,"")</f>
        <v/>
      </c>
      <c r="F109" s="21" t="str">
        <f>_xlfn.XLOOKUP(A109,'Prior Month'!A:A,'Prior Month'!I:I,"")</f>
        <v/>
      </c>
      <c r="G109" s="18" t="str">
        <f>_xlfn.XLOOKUP(A109,'Year end 2024'!A:A,'Year end 2024'!I:I,"")</f>
        <v/>
      </c>
      <c r="H109" s="19">
        <f>_xlfn.XLOOKUP(A109,'Current Month'!A:A,'Current Month'!E:E,0,0)</f>
        <v>81304.600000000006</v>
      </c>
      <c r="I109" s="32">
        <f>_xlfn.XLOOKUP(A109,'Prior Month'!A:A,'Prior Month'!E:E,0,0)</f>
        <v>226304.6</v>
      </c>
      <c r="J109" s="32">
        <f>_xlfn.XLOOKUP(A109,'Year end 2024'!A:A,'Year end 2024'!E:E,0,0)</f>
        <v>378847.65</v>
      </c>
      <c r="K109" s="14">
        <f t="shared" si="2"/>
        <v>-145000</v>
      </c>
      <c r="L109" s="14">
        <f t="shared" si="3"/>
        <v>-297543.05000000005</v>
      </c>
    </row>
    <row r="110" spans="1:12" ht="35.15" customHeight="1" x14ac:dyDescent="0.4">
      <c r="A110" s="11" t="s">
        <v>264</v>
      </c>
      <c r="B110" s="11" t="s">
        <v>265</v>
      </c>
      <c r="C110" s="11" t="s">
        <v>57</v>
      </c>
      <c r="D110" s="11" t="s">
        <v>56</v>
      </c>
      <c r="E110" s="18" t="str">
        <f>_xlfn.XLOOKUP(A110,'Current Month'!A:A,'Current Month'!I:I,"")</f>
        <v/>
      </c>
      <c r="F110" s="21" t="str">
        <f>_xlfn.XLOOKUP(A110,'Prior Month'!A:A,'Prior Month'!I:I,"")</f>
        <v/>
      </c>
      <c r="G110" s="18" t="str">
        <f>_xlfn.XLOOKUP(A110,'Year end 2024'!A:A,'Year end 2024'!I:I,"")</f>
        <v/>
      </c>
      <c r="H110" s="19">
        <f>_xlfn.XLOOKUP(A110,'Current Month'!A:A,'Current Month'!E:E,0,0)</f>
        <v>40</v>
      </c>
      <c r="I110" s="32">
        <f>_xlfn.XLOOKUP(A110,'Prior Month'!A:A,'Prior Month'!E:E,0,0)</f>
        <v>40</v>
      </c>
      <c r="J110" s="32">
        <f>_xlfn.XLOOKUP(A110,'Year end 2024'!A:A,'Year end 2024'!E:E,0,0)</f>
        <v>40</v>
      </c>
      <c r="K110" s="14">
        <f t="shared" si="2"/>
        <v>0</v>
      </c>
      <c r="L110" s="14">
        <f t="shared" si="3"/>
        <v>0</v>
      </c>
    </row>
    <row r="111" spans="1:12" ht="35.15" customHeight="1" x14ac:dyDescent="0.4">
      <c r="A111" s="11" t="s">
        <v>266</v>
      </c>
      <c r="B111" s="11" t="s">
        <v>267</v>
      </c>
      <c r="C111" s="11" t="s">
        <v>77</v>
      </c>
      <c r="D111" s="11" t="s">
        <v>76</v>
      </c>
      <c r="E111" s="18" t="str">
        <f>_xlfn.XLOOKUP(A111,'Current Month'!A:A,'Current Month'!I:I,"")</f>
        <v/>
      </c>
      <c r="F111" s="21" t="str">
        <f>_xlfn.XLOOKUP(A111,'Prior Month'!A:A,'Prior Month'!I:I,"")</f>
        <v/>
      </c>
      <c r="G111" s="18" t="str">
        <f>_xlfn.XLOOKUP(A111,'Year end 2024'!A:A,'Year end 2024'!I:I,"")</f>
        <v/>
      </c>
      <c r="H111" s="19">
        <f>_xlfn.XLOOKUP(A111,'Current Month'!A:A,'Current Month'!E:E,0,0)</f>
        <v>70483.02</v>
      </c>
      <c r="I111" s="32">
        <f>_xlfn.XLOOKUP(A111,'Prior Month'!A:A,'Prior Month'!E:E,0,0)</f>
        <v>77395.69</v>
      </c>
      <c r="J111" s="32">
        <f>_xlfn.XLOOKUP(A111,'Year end 2024'!A:A,'Year end 2024'!E:E,0,0)</f>
        <v>78307.759999999995</v>
      </c>
      <c r="K111" s="14">
        <f t="shared" si="2"/>
        <v>-6912.6699999999983</v>
      </c>
      <c r="L111" s="14">
        <f t="shared" si="3"/>
        <v>-7824.7399999999907</v>
      </c>
    </row>
    <row r="112" spans="1:12" ht="35.15" customHeight="1" x14ac:dyDescent="0.4">
      <c r="A112" s="11" t="s">
        <v>268</v>
      </c>
      <c r="B112" s="11" t="s">
        <v>269</v>
      </c>
      <c r="C112" s="11" t="s">
        <v>77</v>
      </c>
      <c r="D112" s="11" t="s">
        <v>76</v>
      </c>
      <c r="E112" s="18">
        <f>_xlfn.XLOOKUP(A112,'Current Month'!A:A,'Current Month'!I:I,"")</f>
        <v>8.7865786061826975E-2</v>
      </c>
      <c r="F112" s="21">
        <f>_xlfn.XLOOKUP(A112,'Prior Month'!A:A,'Prior Month'!I:I,"")</f>
        <v>0.17443249539311415</v>
      </c>
      <c r="G112" s="18">
        <f>_xlfn.XLOOKUP(A112,'Year end 2024'!A:A,'Year end 2024'!I:I,"")</f>
        <v>0.29551033667890142</v>
      </c>
      <c r="H112" s="19">
        <f>_xlfn.XLOOKUP(A112,'Current Month'!A:A,'Current Month'!E:E,0,0)</f>
        <v>1253.0899999999999</v>
      </c>
      <c r="I112" s="32">
        <f>_xlfn.XLOOKUP(A112,'Prior Month'!A:A,'Prior Month'!E:E,0,0)</f>
        <v>2572.8200000000002</v>
      </c>
      <c r="J112" s="32">
        <f>_xlfn.XLOOKUP(A112,'Year end 2024'!A:A,'Year end 2024'!E:E,0,0)</f>
        <v>5639.8</v>
      </c>
      <c r="K112" s="14">
        <f t="shared" si="2"/>
        <v>-1319.7300000000002</v>
      </c>
      <c r="L112" s="14">
        <f t="shared" si="3"/>
        <v>-4386.71</v>
      </c>
    </row>
    <row r="113" spans="1:12" ht="35.15" customHeight="1" x14ac:dyDescent="0.4">
      <c r="A113" s="11" t="s">
        <v>270</v>
      </c>
      <c r="B113" s="11" t="s">
        <v>271</v>
      </c>
      <c r="C113" s="11" t="s">
        <v>51</v>
      </c>
      <c r="D113" s="11" t="s">
        <v>50</v>
      </c>
      <c r="E113" s="18" t="str">
        <f>_xlfn.XLOOKUP(A113,'Current Month'!A:A,'Current Month'!I:I,"")</f>
        <v/>
      </c>
      <c r="F113" s="21" t="str">
        <f>_xlfn.XLOOKUP(A113,'Prior Month'!A:A,'Prior Month'!I:I,"")</f>
        <v/>
      </c>
      <c r="G113" s="18" t="str">
        <f>_xlfn.XLOOKUP(A113,'Year end 2024'!A:A,'Year end 2024'!I:I,"")</f>
        <v/>
      </c>
      <c r="H113" s="19">
        <f>_xlfn.XLOOKUP(A113,'Current Month'!A:A,'Current Month'!E:E,0,0)</f>
        <v>78155.710000000006</v>
      </c>
      <c r="I113" s="32">
        <f>_xlfn.XLOOKUP(A113,'Prior Month'!A:A,'Prior Month'!E:E,0,0)</f>
        <v>83537.73</v>
      </c>
      <c r="J113" s="32">
        <f>_xlfn.XLOOKUP(A113,'Year end 2024'!A:A,'Year end 2024'!E:E,0,0)</f>
        <v>51712.84</v>
      </c>
      <c r="K113" s="14">
        <f t="shared" si="2"/>
        <v>-5382.0199999999895</v>
      </c>
      <c r="L113" s="14">
        <f t="shared" si="3"/>
        <v>26442.87000000001</v>
      </c>
    </row>
    <row r="114" spans="1:12" ht="35.15" customHeight="1" x14ac:dyDescent="0.4">
      <c r="A114" s="11" t="s">
        <v>272</v>
      </c>
      <c r="B114" s="11" t="s">
        <v>273</v>
      </c>
      <c r="C114" s="11" t="s">
        <v>19</v>
      </c>
      <c r="D114" s="11" t="s">
        <v>18</v>
      </c>
      <c r="E114" s="18" t="str">
        <f>_xlfn.XLOOKUP(A114,'Current Month'!A:A,'Current Month'!I:I,"")</f>
        <v/>
      </c>
      <c r="F114" s="21" t="str">
        <f>_xlfn.XLOOKUP(A114,'Prior Month'!A:A,'Prior Month'!I:I,"")</f>
        <v/>
      </c>
      <c r="G114" s="18" t="str">
        <f>_xlfn.XLOOKUP(A114,'Year end 2024'!A:A,'Year end 2024'!I:I,"")</f>
        <v/>
      </c>
      <c r="H114" s="19">
        <f>_xlfn.XLOOKUP(A114,'Current Month'!A:A,'Current Month'!E:E,0,0)</f>
        <v>587294.13</v>
      </c>
      <c r="I114" s="32">
        <f>_xlfn.XLOOKUP(A114,'Prior Month'!A:A,'Prior Month'!E:E,0,0)</f>
        <v>560158.18000000005</v>
      </c>
      <c r="J114" s="32">
        <f>_xlfn.XLOOKUP(A114,'Year end 2024'!A:A,'Year end 2024'!E:E,0,0)</f>
        <v>476285.86</v>
      </c>
      <c r="K114" s="14">
        <f t="shared" si="2"/>
        <v>27135.949999999953</v>
      </c>
      <c r="L114" s="14">
        <f t="shared" si="3"/>
        <v>111008.27000000002</v>
      </c>
    </row>
    <row r="115" spans="1:12" ht="35.15" customHeight="1" x14ac:dyDescent="0.4">
      <c r="A115" s="11" t="s">
        <v>274</v>
      </c>
      <c r="B115" s="11" t="s">
        <v>275</v>
      </c>
      <c r="C115" s="11" t="s">
        <v>51</v>
      </c>
      <c r="D115" s="11" t="s">
        <v>50</v>
      </c>
      <c r="E115" s="18">
        <f>_xlfn.XLOOKUP(A115,'Current Month'!A:A,'Current Month'!I:I,"")</f>
        <v>131.16735</v>
      </c>
      <c r="F115" s="21">
        <f>_xlfn.XLOOKUP(A115,'Prior Month'!A:A,'Prior Month'!I:I,"")</f>
        <v>98.515699999999995</v>
      </c>
      <c r="G115" s="18">
        <f>_xlfn.XLOOKUP(A115,'Year end 2024'!A:A,'Year end 2024'!I:I,"")</f>
        <v>74.780029999999996</v>
      </c>
      <c r="H115" s="19">
        <f>_xlfn.XLOOKUP(A115,'Current Month'!A:A,'Current Month'!E:E,0,0)</f>
        <v>131167.35</v>
      </c>
      <c r="I115" s="32">
        <f>_xlfn.XLOOKUP(A115,'Prior Month'!A:A,'Prior Month'!E:E,0,0)</f>
        <v>98515.7</v>
      </c>
      <c r="J115" s="32">
        <f>_xlfn.XLOOKUP(A115,'Year end 2024'!A:A,'Year end 2024'!E:E,0,0)</f>
        <v>74780.03</v>
      </c>
      <c r="K115" s="14">
        <f t="shared" si="2"/>
        <v>32651.650000000009</v>
      </c>
      <c r="L115" s="14">
        <f t="shared" si="3"/>
        <v>56387.320000000007</v>
      </c>
    </row>
    <row r="116" spans="1:12" ht="35.15" customHeight="1" x14ac:dyDescent="0.4">
      <c r="A116" s="11" t="s">
        <v>276</v>
      </c>
      <c r="B116" s="11" t="s">
        <v>277</v>
      </c>
      <c r="C116" s="11" t="s">
        <v>51</v>
      </c>
      <c r="D116" s="11" t="s">
        <v>50</v>
      </c>
      <c r="E116" s="18">
        <f>_xlfn.XLOOKUP(A116,'Current Month'!A:A,'Current Month'!I:I,"")</f>
        <v>0.94629999999999992</v>
      </c>
      <c r="F116" s="21">
        <f>_xlfn.XLOOKUP(A116,'Prior Month'!A:A,'Prior Month'!I:I,"")</f>
        <v>1.69441</v>
      </c>
      <c r="G116" s="18">
        <f>_xlfn.XLOOKUP(A116,'Year end 2024'!A:A,'Year end 2024'!I:I,"")</f>
        <v>0.41768</v>
      </c>
      <c r="H116" s="19">
        <f>_xlfn.XLOOKUP(A116,'Current Month'!A:A,'Current Month'!E:E,0,0)</f>
        <v>946.3</v>
      </c>
      <c r="I116" s="32">
        <f>_xlfn.XLOOKUP(A116,'Prior Month'!A:A,'Prior Month'!E:E,0,0)</f>
        <v>1694.41</v>
      </c>
      <c r="J116" s="32">
        <f>_xlfn.XLOOKUP(A116,'Year end 2024'!A:A,'Year end 2024'!E:E,0,0)</f>
        <v>417.68</v>
      </c>
      <c r="K116" s="14">
        <f t="shared" si="2"/>
        <v>-748.11000000000013</v>
      </c>
      <c r="L116" s="14">
        <f t="shared" si="3"/>
        <v>528.61999999999989</v>
      </c>
    </row>
    <row r="117" spans="1:12" ht="35.15" customHeight="1" x14ac:dyDescent="0.4">
      <c r="A117" s="11" t="s">
        <v>278</v>
      </c>
      <c r="B117" s="11" t="s">
        <v>279</v>
      </c>
      <c r="C117" s="11" t="s">
        <v>51</v>
      </c>
      <c r="D117" s="11" t="s">
        <v>50</v>
      </c>
      <c r="E117" s="18">
        <f>_xlfn.XLOOKUP(A117,'Current Month'!A:A,'Current Month'!I:I,"")</f>
        <v>243.27610999999999</v>
      </c>
      <c r="F117" s="21">
        <f>_xlfn.XLOOKUP(A117,'Prior Month'!A:A,'Prior Month'!I:I,"")</f>
        <v>238.43591000000001</v>
      </c>
      <c r="G117" s="18">
        <f>_xlfn.XLOOKUP(A117,'Year end 2024'!A:A,'Year end 2024'!I:I,"")</f>
        <v>230.04885999999999</v>
      </c>
      <c r="H117" s="19">
        <f>_xlfn.XLOOKUP(A117,'Current Month'!A:A,'Current Month'!E:E,0,0)</f>
        <v>243276.11</v>
      </c>
      <c r="I117" s="32">
        <f>_xlfn.XLOOKUP(A117,'Prior Month'!A:A,'Prior Month'!E:E,0,0)</f>
        <v>238435.91</v>
      </c>
      <c r="J117" s="32">
        <f>_xlfn.XLOOKUP(A117,'Year end 2024'!A:A,'Year end 2024'!E:E,0,0)</f>
        <v>230048.86</v>
      </c>
      <c r="K117" s="14">
        <f t="shared" si="2"/>
        <v>4840.1999999999825</v>
      </c>
      <c r="L117" s="14">
        <f t="shared" si="3"/>
        <v>13227.25</v>
      </c>
    </row>
    <row r="118" spans="1:12" ht="35.15" customHeight="1" x14ac:dyDescent="0.4">
      <c r="A118" s="11" t="s">
        <v>280</v>
      </c>
      <c r="B118" s="11" t="s">
        <v>281</v>
      </c>
      <c r="C118" s="11" t="s">
        <v>19</v>
      </c>
      <c r="D118" s="11" t="s">
        <v>18</v>
      </c>
      <c r="E118" s="18" t="str">
        <f>_xlfn.XLOOKUP(A118,'Current Month'!A:A,'Current Month'!I:I,"")</f>
        <v/>
      </c>
      <c r="F118" s="21" t="str">
        <f>_xlfn.XLOOKUP(A118,'Prior Month'!A:A,'Prior Month'!I:I,"")</f>
        <v/>
      </c>
      <c r="G118" s="18" t="str">
        <f>_xlfn.XLOOKUP(A118,'Year end 2024'!A:A,'Year end 2024'!I:I,"")</f>
        <v/>
      </c>
      <c r="H118" s="19">
        <f>_xlfn.XLOOKUP(A118,'Current Month'!A:A,'Current Month'!E:E,0,0)</f>
        <v>88088.639999999999</v>
      </c>
      <c r="I118" s="32">
        <f>_xlfn.XLOOKUP(A118,'Prior Month'!A:A,'Prior Month'!E:E,0,0)</f>
        <v>89640.72</v>
      </c>
      <c r="J118" s="32">
        <f>_xlfn.XLOOKUP(A118,'Year end 2024'!A:A,'Year end 2024'!E:E,0,0)</f>
        <v>90670.12</v>
      </c>
      <c r="K118" s="14">
        <f t="shared" si="2"/>
        <v>-1552.0800000000017</v>
      </c>
      <c r="L118" s="14">
        <f t="shared" si="3"/>
        <v>-2581.4799999999959</v>
      </c>
    </row>
    <row r="119" spans="1:12" ht="35.15" customHeight="1" x14ac:dyDescent="0.4">
      <c r="A119" s="11" t="s">
        <v>282</v>
      </c>
      <c r="B119" s="11" t="s">
        <v>283</v>
      </c>
      <c r="C119" s="11" t="s">
        <v>19</v>
      </c>
      <c r="D119" s="11" t="s">
        <v>18</v>
      </c>
      <c r="E119" s="18" t="str">
        <f>_xlfn.XLOOKUP(A119,'Current Month'!A:A,'Current Month'!I:I,"")</f>
        <v/>
      </c>
      <c r="F119" s="21" t="str">
        <f>_xlfn.XLOOKUP(A119,'Prior Month'!A:A,'Prior Month'!I:I,"")</f>
        <v/>
      </c>
      <c r="G119" s="18" t="str">
        <f>_xlfn.XLOOKUP(A119,'Year end 2024'!A:A,'Year end 2024'!I:I,"")</f>
        <v/>
      </c>
      <c r="H119" s="19">
        <f>_xlfn.XLOOKUP(A119,'Current Month'!A:A,'Current Month'!E:E,0,0)</f>
        <v>11032.94</v>
      </c>
      <c r="I119" s="32">
        <f>_xlfn.XLOOKUP(A119,'Prior Month'!A:A,'Prior Month'!E:E,0,0)</f>
        <v>11959.39</v>
      </c>
      <c r="J119" s="32">
        <f>_xlfn.XLOOKUP(A119,'Year end 2024'!A:A,'Year end 2024'!E:E,0,0)</f>
        <v>18941.77</v>
      </c>
      <c r="K119" s="14">
        <f t="shared" si="2"/>
        <v>-926.44999999999891</v>
      </c>
      <c r="L119" s="14">
        <f t="shared" si="3"/>
        <v>-7908.83</v>
      </c>
    </row>
    <row r="120" spans="1:12" ht="35.15" customHeight="1" x14ac:dyDescent="0.4">
      <c r="A120" s="11" t="s">
        <v>284</v>
      </c>
      <c r="B120" s="11" t="s">
        <v>285</v>
      </c>
      <c r="C120" s="11" t="s">
        <v>77</v>
      </c>
      <c r="D120" s="11" t="s">
        <v>76</v>
      </c>
      <c r="E120" s="18">
        <f>_xlfn.XLOOKUP(A120,'Current Month'!A:A,'Current Month'!I:I,"")</f>
        <v>13.22288</v>
      </c>
      <c r="F120" s="21">
        <f>_xlfn.XLOOKUP(A120,'Prior Month'!A:A,'Prior Month'!I:I,"")</f>
        <v>13.349309999999999</v>
      </c>
      <c r="G120" s="18">
        <f>_xlfn.XLOOKUP(A120,'Year end 2024'!A:A,'Year end 2024'!I:I,"")</f>
        <v>9.3837799999999998</v>
      </c>
      <c r="H120" s="19">
        <f>_xlfn.XLOOKUP(A120,'Current Month'!A:A,'Current Month'!E:E,0,0)</f>
        <v>13222.88</v>
      </c>
      <c r="I120" s="32">
        <f>_xlfn.XLOOKUP(A120,'Prior Month'!A:A,'Prior Month'!E:E,0,0)</f>
        <v>13349.31</v>
      </c>
      <c r="J120" s="32">
        <f>_xlfn.XLOOKUP(A120,'Year end 2024'!A:A,'Year end 2024'!E:E,0,0)</f>
        <v>9383.7800000000007</v>
      </c>
      <c r="K120" s="14">
        <f t="shared" si="2"/>
        <v>-126.43000000000029</v>
      </c>
      <c r="L120" s="14">
        <f t="shared" si="3"/>
        <v>3839.0999999999985</v>
      </c>
    </row>
    <row r="121" spans="1:12" ht="35.15" customHeight="1" x14ac:dyDescent="0.4">
      <c r="A121" s="11" t="s">
        <v>286</v>
      </c>
      <c r="B121" s="11" t="s">
        <v>287</v>
      </c>
      <c r="C121" s="11" t="s">
        <v>19</v>
      </c>
      <c r="D121" s="11" t="s">
        <v>18</v>
      </c>
      <c r="E121" s="18" t="str">
        <f>_xlfn.XLOOKUP(A121,'Current Month'!A:A,'Current Month'!I:I,"")</f>
        <v/>
      </c>
      <c r="F121" s="21" t="str">
        <f>_xlfn.XLOOKUP(A121,'Prior Month'!A:A,'Prior Month'!I:I,"")</f>
        <v/>
      </c>
      <c r="G121" s="18" t="str">
        <f>_xlfn.XLOOKUP(A121,'Year end 2024'!A:A,'Year end 2024'!I:I,"")</f>
        <v/>
      </c>
      <c r="H121" s="19">
        <f>_xlfn.XLOOKUP(A121,'Current Month'!A:A,'Current Month'!E:E,0,0)</f>
        <v>16470.12</v>
      </c>
      <c r="I121" s="32">
        <f>_xlfn.XLOOKUP(A121,'Prior Month'!A:A,'Prior Month'!E:E,0,0)</f>
        <v>3122.57</v>
      </c>
      <c r="J121" s="32">
        <f>_xlfn.XLOOKUP(A121,'Year end 2024'!A:A,'Year end 2024'!E:E,0,0)</f>
        <v>1798.64</v>
      </c>
      <c r="K121" s="14">
        <f t="shared" si="2"/>
        <v>13347.55</v>
      </c>
      <c r="L121" s="14">
        <f t="shared" si="3"/>
        <v>14671.48</v>
      </c>
    </row>
    <row r="122" spans="1:12" ht="35.15" customHeight="1" x14ac:dyDescent="0.4">
      <c r="A122" s="11" t="s">
        <v>288</v>
      </c>
      <c r="B122" s="11" t="s">
        <v>289</v>
      </c>
      <c r="C122" s="11" t="s">
        <v>109</v>
      </c>
      <c r="D122" s="11" t="s">
        <v>108</v>
      </c>
      <c r="E122" s="18" t="str">
        <f>_xlfn.XLOOKUP(A122,'Current Month'!A:A,'Current Month'!I:I,"")</f>
        <v/>
      </c>
      <c r="F122" s="21" t="str">
        <f>_xlfn.XLOOKUP(A122,'Prior Month'!A:A,'Prior Month'!I:I,"")</f>
        <v/>
      </c>
      <c r="G122" s="18" t="str">
        <f>_xlfn.XLOOKUP(A122,'Year end 2024'!A:A,'Year end 2024'!I:I,"")</f>
        <v/>
      </c>
      <c r="H122" s="19">
        <f>_xlfn.XLOOKUP(A122,'Current Month'!A:A,'Current Month'!E:E,0,0)</f>
        <v>8974.58</v>
      </c>
      <c r="I122" s="32">
        <f>_xlfn.XLOOKUP(A122,'Prior Month'!A:A,'Prior Month'!E:E,0,0)</f>
        <v>7773.29</v>
      </c>
      <c r="J122" s="32">
        <f>_xlfn.XLOOKUP(A122,'Year end 2024'!A:A,'Year end 2024'!E:E,0,0)</f>
        <v>6829.56</v>
      </c>
      <c r="K122" s="14">
        <f t="shared" si="2"/>
        <v>1201.29</v>
      </c>
      <c r="L122" s="14">
        <f t="shared" si="3"/>
        <v>2145.0199999999995</v>
      </c>
    </row>
    <row r="123" spans="1:12" ht="35.15" customHeight="1" x14ac:dyDescent="0.4">
      <c r="A123" s="11" t="s">
        <v>290</v>
      </c>
      <c r="B123" s="11" t="s">
        <v>291</v>
      </c>
      <c r="C123" s="11" t="s">
        <v>109</v>
      </c>
      <c r="D123" s="11" t="s">
        <v>108</v>
      </c>
      <c r="E123" s="18">
        <f>_xlfn.XLOOKUP(A123,'Current Month'!A:A,'Current Month'!I:I,"")</f>
        <v>0.37856746268656716</v>
      </c>
      <c r="F123" s="21">
        <f>_xlfn.XLOOKUP(A123,'Prior Month'!A:A,'Prior Month'!I:I,"")</f>
        <v>0.35889542288557214</v>
      </c>
      <c r="G123" s="18">
        <f>_xlfn.XLOOKUP(A123,'Year end 2024'!A:A,'Year end 2024'!I:I,"")</f>
        <v>0.19740885572139302</v>
      </c>
      <c r="H123" s="19">
        <f>_xlfn.XLOOKUP(A123,'Current Month'!A:A,'Current Month'!E:E,0,0)</f>
        <v>38046.03</v>
      </c>
      <c r="I123" s="32">
        <f>_xlfn.XLOOKUP(A123,'Prior Month'!A:A,'Prior Month'!E:E,0,0)</f>
        <v>36068.99</v>
      </c>
      <c r="J123" s="32">
        <f>_xlfn.XLOOKUP(A123,'Year end 2024'!A:A,'Year end 2024'!E:E,0,0)</f>
        <v>19839.59</v>
      </c>
      <c r="K123" s="14">
        <f t="shared" si="2"/>
        <v>1977.0400000000009</v>
      </c>
      <c r="L123" s="14">
        <f t="shared" si="3"/>
        <v>18206.439999999999</v>
      </c>
    </row>
    <row r="124" spans="1:12" ht="35.15" customHeight="1" x14ac:dyDescent="0.4">
      <c r="A124" s="11" t="s">
        <v>292</v>
      </c>
      <c r="B124" s="11" t="s">
        <v>293</v>
      </c>
      <c r="C124" s="11" t="s">
        <v>51</v>
      </c>
      <c r="D124" s="11" t="s">
        <v>50</v>
      </c>
      <c r="E124" s="18" t="str">
        <f>_xlfn.XLOOKUP(A124,'Current Month'!A:A,'Current Month'!I:I,"")</f>
        <v/>
      </c>
      <c r="F124" s="21" t="str">
        <f>_xlfn.XLOOKUP(A124,'Prior Month'!A:A,'Prior Month'!I:I,"")</f>
        <v/>
      </c>
      <c r="G124" s="18" t="str">
        <f>_xlfn.XLOOKUP(A124,'Year end 2024'!A:A,'Year end 2024'!I:I,"")</f>
        <v/>
      </c>
      <c r="H124" s="19">
        <f>_xlfn.XLOOKUP(A124,'Current Month'!A:A,'Current Month'!E:E,0,0)</f>
        <v>190536.21</v>
      </c>
      <c r="I124" s="32">
        <f>_xlfn.XLOOKUP(A124,'Prior Month'!A:A,'Prior Month'!E:E,0,0)</f>
        <v>196537.9</v>
      </c>
      <c r="J124" s="32">
        <f>_xlfn.XLOOKUP(A124,'Year end 2024'!A:A,'Year end 2024'!E:E,0,0)</f>
        <v>306804.53999999998</v>
      </c>
      <c r="K124" s="14">
        <f t="shared" si="2"/>
        <v>-6001.6900000000023</v>
      </c>
      <c r="L124" s="14">
        <f t="shared" si="3"/>
        <v>-116268.32999999999</v>
      </c>
    </row>
    <row r="125" spans="1:12" ht="35.15" customHeight="1" x14ac:dyDescent="0.4">
      <c r="A125" s="11" t="s">
        <v>294</v>
      </c>
      <c r="B125" s="11" t="s">
        <v>295</v>
      </c>
      <c r="C125" s="11" t="s">
        <v>19</v>
      </c>
      <c r="D125" s="11" t="s">
        <v>18</v>
      </c>
      <c r="E125" s="18" t="str">
        <f>_xlfn.XLOOKUP(A125,'Current Month'!A:A,'Current Month'!I:I,"")</f>
        <v/>
      </c>
      <c r="F125" s="21" t="str">
        <f>_xlfn.XLOOKUP(A125,'Prior Month'!A:A,'Prior Month'!I:I,"")</f>
        <v/>
      </c>
      <c r="G125" s="18" t="str">
        <f>_xlfn.XLOOKUP(A125,'Year end 2024'!A:A,'Year end 2024'!I:I,"")</f>
        <v/>
      </c>
      <c r="H125" s="19">
        <f>_xlfn.XLOOKUP(A125,'Current Month'!A:A,'Current Month'!E:E,0,0)</f>
        <v>13829.51</v>
      </c>
      <c r="I125" s="32">
        <f>_xlfn.XLOOKUP(A125,'Prior Month'!A:A,'Prior Month'!E:E,0,0)</f>
        <v>1484.98</v>
      </c>
      <c r="J125" s="32">
        <f>_xlfn.XLOOKUP(A125,'Year end 2024'!A:A,'Year end 2024'!E:E,0,0)</f>
        <v>9363</v>
      </c>
      <c r="K125" s="14">
        <f t="shared" si="2"/>
        <v>12344.53</v>
      </c>
      <c r="L125" s="14">
        <f t="shared" si="3"/>
        <v>4466.51</v>
      </c>
    </row>
    <row r="126" spans="1:12" ht="35.15" customHeight="1" x14ac:dyDescent="0.4">
      <c r="A126" s="11" t="s">
        <v>296</v>
      </c>
      <c r="B126" s="11" t="s">
        <v>297</v>
      </c>
      <c r="C126" s="11" t="s">
        <v>51</v>
      </c>
      <c r="D126" s="11" t="s">
        <v>50</v>
      </c>
      <c r="E126" s="18" t="str">
        <f>_xlfn.XLOOKUP(A126,'Current Month'!A:A,'Current Month'!I:I,"")</f>
        <v/>
      </c>
      <c r="F126" s="21" t="str">
        <f>_xlfn.XLOOKUP(A126,'Prior Month'!A:A,'Prior Month'!I:I,"")</f>
        <v/>
      </c>
      <c r="G126" s="18" t="str">
        <f>_xlfn.XLOOKUP(A126,'Year end 2024'!A:A,'Year end 2024'!I:I,"")</f>
        <v/>
      </c>
      <c r="H126" s="19">
        <f>_xlfn.XLOOKUP(A126,'Current Month'!A:A,'Current Month'!E:E,0,0)</f>
        <v>82998.22</v>
      </c>
      <c r="I126" s="32">
        <f>_xlfn.XLOOKUP(A126,'Prior Month'!A:A,'Prior Month'!E:E,0,0)</f>
        <v>82074.899999999994</v>
      </c>
      <c r="J126" s="32">
        <f>_xlfn.XLOOKUP(A126,'Year end 2024'!A:A,'Year end 2024'!E:E,0,0)</f>
        <v>62249.99</v>
      </c>
      <c r="K126" s="14">
        <f t="shared" si="2"/>
        <v>923.32000000000698</v>
      </c>
      <c r="L126" s="14">
        <f t="shared" si="3"/>
        <v>20748.230000000003</v>
      </c>
    </row>
    <row r="127" spans="1:12" ht="35.15" customHeight="1" x14ac:dyDescent="0.4">
      <c r="A127" s="11" t="s">
        <v>298</v>
      </c>
      <c r="B127" s="11" t="s">
        <v>299</v>
      </c>
      <c r="C127" s="11" t="s">
        <v>19</v>
      </c>
      <c r="D127" s="11" t="s">
        <v>18</v>
      </c>
      <c r="E127" s="18" t="str">
        <f>_xlfn.XLOOKUP(A127,'Current Month'!A:A,'Current Month'!I:I,"")</f>
        <v/>
      </c>
      <c r="F127" s="21" t="str">
        <f>_xlfn.XLOOKUP(A127,'Prior Month'!A:A,'Prior Month'!I:I,"")</f>
        <v/>
      </c>
      <c r="G127" s="18" t="str">
        <f>_xlfn.XLOOKUP(A127,'Year end 2024'!A:A,'Year end 2024'!I:I,"")</f>
        <v/>
      </c>
      <c r="H127" s="19">
        <f>_xlfn.XLOOKUP(A127,'Current Month'!A:A,'Current Month'!E:E,0,0)</f>
        <v>16096.36</v>
      </c>
      <c r="I127" s="32">
        <f>_xlfn.XLOOKUP(A127,'Prior Month'!A:A,'Prior Month'!E:E,0,0)</f>
        <v>20406.11</v>
      </c>
      <c r="J127" s="32">
        <f>_xlfn.XLOOKUP(A127,'Year end 2024'!A:A,'Year end 2024'!E:E,0,0)</f>
        <v>20247.36</v>
      </c>
      <c r="K127" s="14">
        <f t="shared" si="2"/>
        <v>-4309.75</v>
      </c>
      <c r="L127" s="14">
        <f t="shared" si="3"/>
        <v>-4151</v>
      </c>
    </row>
    <row r="128" spans="1:12" ht="35.15" customHeight="1" x14ac:dyDescent="0.4">
      <c r="A128" s="11" t="s">
        <v>300</v>
      </c>
      <c r="B128" s="11" t="s">
        <v>301</v>
      </c>
      <c r="C128" s="11" t="s">
        <v>11</v>
      </c>
      <c r="D128" s="11" t="s">
        <v>10</v>
      </c>
      <c r="E128" s="18">
        <f>_xlfn.XLOOKUP(A128,'Current Month'!A:A,'Current Month'!I:I,"")</f>
        <v>1.7641933940105825E-2</v>
      </c>
      <c r="F128" s="21">
        <f>_xlfn.XLOOKUP(A128,'Prior Month'!A:A,'Prior Month'!I:I,"")</f>
        <v>1.0255606807910775E-2</v>
      </c>
      <c r="G128" s="18">
        <f>_xlfn.XLOOKUP(A128,'Year end 2024'!A:A,'Year end 2024'!I:I,"")</f>
        <v>6.3913923398404597E-3</v>
      </c>
      <c r="H128" s="19">
        <f>_xlfn.XLOOKUP(A128,'Current Month'!A:A,'Current Month'!E:E,0,0)</f>
        <v>10812.6</v>
      </c>
      <c r="I128" s="32">
        <f>_xlfn.XLOOKUP(A128,'Prior Month'!A:A,'Prior Month'!E:E,0,0)</f>
        <v>6299.11</v>
      </c>
      <c r="J128" s="32">
        <f>_xlfn.XLOOKUP(A128,'Year end 2024'!A:A,'Year end 2024'!E:E,0,0)</f>
        <v>4318.1499999999996</v>
      </c>
      <c r="K128" s="14">
        <f t="shared" si="2"/>
        <v>4513.4900000000007</v>
      </c>
      <c r="L128" s="14">
        <f t="shared" si="3"/>
        <v>6494.4500000000007</v>
      </c>
    </row>
    <row r="129" spans="1:12" ht="35.15" customHeight="1" x14ac:dyDescent="0.4">
      <c r="A129" s="11" t="s">
        <v>302</v>
      </c>
      <c r="B129" s="11" t="s">
        <v>303</v>
      </c>
      <c r="C129" s="11" t="s">
        <v>77</v>
      </c>
      <c r="D129" s="11" t="s">
        <v>76</v>
      </c>
      <c r="E129" s="18" t="str">
        <f>_xlfn.XLOOKUP(A129,'Current Month'!A:A,'Current Month'!I:I,"")</f>
        <v/>
      </c>
      <c r="F129" s="21" t="str">
        <f>_xlfn.XLOOKUP(A129,'Prior Month'!A:A,'Prior Month'!I:I,"")</f>
        <v/>
      </c>
      <c r="G129" s="18" t="str">
        <f>_xlfn.XLOOKUP(A129,'Year end 2024'!A:A,'Year end 2024'!I:I,"")</f>
        <v/>
      </c>
      <c r="H129" s="19">
        <f>_xlfn.XLOOKUP(A129,'Current Month'!A:A,'Current Month'!E:E,0,0)</f>
        <v>82352.509999999995</v>
      </c>
      <c r="I129" s="32">
        <f>_xlfn.XLOOKUP(A129,'Prior Month'!A:A,'Prior Month'!E:E,0,0)</f>
        <v>92531.57</v>
      </c>
      <c r="J129" s="32">
        <f>_xlfn.XLOOKUP(A129,'Year end 2024'!A:A,'Year end 2024'!E:E,0,0)</f>
        <v>101120.57</v>
      </c>
      <c r="K129" s="14">
        <f t="shared" si="2"/>
        <v>-10179.060000000012</v>
      </c>
      <c r="L129" s="14">
        <f t="shared" si="3"/>
        <v>-18768.060000000012</v>
      </c>
    </row>
    <row r="130" spans="1:12" ht="35.15" customHeight="1" x14ac:dyDescent="0.4">
      <c r="A130" s="11" t="s">
        <v>304</v>
      </c>
      <c r="B130" s="11" t="s">
        <v>305</v>
      </c>
      <c r="C130" s="11" t="s">
        <v>51</v>
      </c>
      <c r="D130" s="11" t="s">
        <v>50</v>
      </c>
      <c r="E130" s="18" t="str">
        <f>_xlfn.XLOOKUP(A130,'Current Month'!A:A,'Current Month'!I:I,"")</f>
        <v/>
      </c>
      <c r="F130" s="21" t="str">
        <f>_xlfn.XLOOKUP(A130,'Prior Month'!A:A,'Prior Month'!I:I,"")</f>
        <v/>
      </c>
      <c r="G130" s="18" t="str">
        <f>_xlfn.XLOOKUP(A130,'Year end 2024'!A:A,'Year end 2024'!I:I,"")</f>
        <v/>
      </c>
      <c r="H130" s="19">
        <f>_xlfn.XLOOKUP(A130,'Current Month'!A:A,'Current Month'!E:E,0,0)</f>
        <v>111838.89</v>
      </c>
      <c r="I130" s="32">
        <f>_xlfn.XLOOKUP(A130,'Prior Month'!A:A,'Prior Month'!E:E,0,0)</f>
        <v>118938.94</v>
      </c>
      <c r="J130" s="32">
        <f>_xlfn.XLOOKUP(A130,'Year end 2024'!A:A,'Year end 2024'!E:E,0,0)</f>
        <v>159017.82</v>
      </c>
      <c r="K130" s="14">
        <f t="shared" ref="K130:K192" si="4">IFERROR(SUM(H130-I130),H130)</f>
        <v>-7100.0500000000029</v>
      </c>
      <c r="L130" s="14">
        <f t="shared" ref="L130:L192" si="5">IFERROR(SUM(H130-J130),H130)</f>
        <v>-47178.930000000008</v>
      </c>
    </row>
    <row r="131" spans="1:12" ht="35.15" customHeight="1" x14ac:dyDescent="0.4">
      <c r="A131" s="11" t="s">
        <v>306</v>
      </c>
      <c r="B131" s="11" t="s">
        <v>307</v>
      </c>
      <c r="C131" s="11" t="s">
        <v>57</v>
      </c>
      <c r="D131" s="11" t="s">
        <v>56</v>
      </c>
      <c r="E131" s="18" t="str">
        <f>_xlfn.XLOOKUP(A131,'Current Month'!A:A,'Current Month'!I:I,"")</f>
        <v/>
      </c>
      <c r="F131" s="21" t="str">
        <f>_xlfn.XLOOKUP(A131,'Prior Month'!A:A,'Prior Month'!I:I,"")</f>
        <v/>
      </c>
      <c r="G131" s="18" t="str">
        <f>_xlfn.XLOOKUP(A131,'Year end 2024'!A:A,'Year end 2024'!I:I,"")</f>
        <v/>
      </c>
      <c r="H131" s="19">
        <f>_xlfn.XLOOKUP(A131,'Current Month'!A:A,'Current Month'!E:E,0,0)</f>
        <v>180679.65</v>
      </c>
      <c r="I131" s="32">
        <f>_xlfn.XLOOKUP(A131,'Prior Month'!A:A,'Prior Month'!E:E,0,0)</f>
        <v>191809.74</v>
      </c>
      <c r="J131" s="32">
        <f>_xlfn.XLOOKUP(A131,'Year end 2024'!A:A,'Year end 2024'!E:E,0,0)</f>
        <v>236368.71</v>
      </c>
      <c r="K131" s="14">
        <f t="shared" si="4"/>
        <v>-11130.089999999997</v>
      </c>
      <c r="L131" s="14">
        <f t="shared" si="5"/>
        <v>-55689.06</v>
      </c>
    </row>
    <row r="132" spans="1:12" ht="35.15" customHeight="1" x14ac:dyDescent="0.4">
      <c r="A132" s="11" t="s">
        <v>308</v>
      </c>
      <c r="B132" s="11" t="s">
        <v>309</v>
      </c>
      <c r="C132" s="11" t="s">
        <v>19</v>
      </c>
      <c r="D132" s="11" t="s">
        <v>18</v>
      </c>
      <c r="E132" s="18" t="str">
        <f>_xlfn.XLOOKUP(A132,'Current Month'!A:A,'Current Month'!I:I,"")</f>
        <v/>
      </c>
      <c r="F132" s="21" t="str">
        <f>_xlfn.XLOOKUP(A132,'Prior Month'!A:A,'Prior Month'!I:I,"")</f>
        <v/>
      </c>
      <c r="G132" s="18" t="str">
        <f>_xlfn.XLOOKUP(A132,'Year end 2024'!A:A,'Year end 2024'!I:I,"")</f>
        <v/>
      </c>
      <c r="H132" s="19">
        <f>_xlfn.XLOOKUP(A132,'Current Month'!A:A,'Current Month'!E:E,0,0)</f>
        <v>167339.24</v>
      </c>
      <c r="I132" s="32">
        <f>_xlfn.XLOOKUP(A132,'Prior Month'!A:A,'Prior Month'!E:E,0,0)</f>
        <v>185726.4</v>
      </c>
      <c r="J132" s="32">
        <f>_xlfn.XLOOKUP(A132,'Year end 2024'!A:A,'Year end 2024'!E:E,0,0)</f>
        <v>273448.61</v>
      </c>
      <c r="K132" s="14">
        <f t="shared" si="4"/>
        <v>-18387.160000000003</v>
      </c>
      <c r="L132" s="14">
        <f t="shared" si="5"/>
        <v>-106109.37</v>
      </c>
    </row>
    <row r="133" spans="1:12" ht="35.15" customHeight="1" x14ac:dyDescent="0.4">
      <c r="A133" s="11" t="s">
        <v>310</v>
      </c>
      <c r="B133" s="11" t="s">
        <v>311</v>
      </c>
      <c r="C133" s="11" t="s">
        <v>313</v>
      </c>
      <c r="D133" s="11" t="s">
        <v>312</v>
      </c>
      <c r="E133" s="18" t="str">
        <f>_xlfn.XLOOKUP(A133,'Current Month'!A:A,'Current Month'!I:I,"")</f>
        <v/>
      </c>
      <c r="F133" s="21" t="str">
        <f>_xlfn.XLOOKUP(A133,'Prior Month'!A:A,'Prior Month'!I:I,"")</f>
        <v/>
      </c>
      <c r="G133" s="18" t="str">
        <f>_xlfn.XLOOKUP(A133,'Year end 2024'!A:A,'Year end 2024'!I:I,"")</f>
        <v/>
      </c>
      <c r="H133" s="19">
        <f>_xlfn.XLOOKUP(A133,'Current Month'!A:A,'Current Month'!E:E,0,0)</f>
        <v>51062.9</v>
      </c>
      <c r="I133" s="32">
        <f>_xlfn.XLOOKUP(A133,'Prior Month'!A:A,'Prior Month'!E:E,0,0)</f>
        <v>28389.65</v>
      </c>
      <c r="J133" s="32">
        <f>_xlfn.XLOOKUP(A133,'Year end 2024'!A:A,'Year end 2024'!E:E,0,0)</f>
        <v>58721.94</v>
      </c>
      <c r="K133" s="14">
        <f t="shared" si="4"/>
        <v>22673.25</v>
      </c>
      <c r="L133" s="14">
        <f t="shared" si="5"/>
        <v>-7659.0400000000009</v>
      </c>
    </row>
    <row r="134" spans="1:12" ht="35.15" customHeight="1" x14ac:dyDescent="0.4">
      <c r="A134" s="11" t="s">
        <v>314</v>
      </c>
      <c r="B134" s="11" t="s">
        <v>315</v>
      </c>
      <c r="C134" s="11" t="s">
        <v>67</v>
      </c>
      <c r="D134" s="11" t="s">
        <v>66</v>
      </c>
      <c r="E134" s="18" t="str">
        <f>_xlfn.XLOOKUP(A134,'Current Month'!A:A,'Current Month'!I:I,"")</f>
        <v/>
      </c>
      <c r="F134" s="21" t="str">
        <f>_xlfn.XLOOKUP(A134,'Prior Month'!A:A,'Prior Month'!I:I,"")</f>
        <v/>
      </c>
      <c r="G134" s="18" t="str">
        <f>_xlfn.XLOOKUP(A134,'Year end 2024'!A:A,'Year end 2024'!I:I,"")</f>
        <v/>
      </c>
      <c r="H134" s="19">
        <f>_xlfn.XLOOKUP(A134,'Current Month'!A:A,'Current Month'!E:E,0,0)</f>
        <v>45787.94</v>
      </c>
      <c r="I134" s="32">
        <f>_xlfn.XLOOKUP(A134,'Prior Month'!A:A,'Prior Month'!E:E,0,0)</f>
        <v>25183.74</v>
      </c>
      <c r="J134" s="32">
        <f>_xlfn.XLOOKUP(A134,'Year end 2024'!A:A,'Year end 2024'!E:E,0,0)</f>
        <v>47281.69</v>
      </c>
      <c r="K134" s="14">
        <f t="shared" si="4"/>
        <v>20604.2</v>
      </c>
      <c r="L134" s="14">
        <f t="shared" si="5"/>
        <v>-1493.75</v>
      </c>
    </row>
    <row r="135" spans="1:12" ht="35.15" customHeight="1" x14ac:dyDescent="0.4">
      <c r="A135" s="11" t="s">
        <v>316</v>
      </c>
      <c r="B135" s="11" t="s">
        <v>317</v>
      </c>
      <c r="C135" s="11" t="s">
        <v>67</v>
      </c>
      <c r="D135" s="11" t="s">
        <v>66</v>
      </c>
      <c r="E135" s="18">
        <f>_xlfn.XLOOKUP(A135,'Current Month'!A:A,'Current Month'!I:I,"")</f>
        <v>0.21350523999999999</v>
      </c>
      <c r="F135" s="21">
        <f>_xlfn.XLOOKUP(A135,'Prior Month'!A:A,'Prior Month'!I:I,"")</f>
        <v>0.30236347999999996</v>
      </c>
      <c r="G135" s="18" t="str">
        <f>_xlfn.XLOOKUP(A135,'Year end 2024'!A:A,'Year end 2024'!I:I,"")</f>
        <v/>
      </c>
      <c r="H135" s="19">
        <f>_xlfn.XLOOKUP(A135,'Current Month'!A:A,'Current Month'!E:E,0,0)</f>
        <v>53376.31</v>
      </c>
      <c r="I135" s="32">
        <f>_xlfn.XLOOKUP(A135,'Prior Month'!A:A,'Prior Month'!E:E,0,0)</f>
        <v>75590.87</v>
      </c>
      <c r="J135" s="32">
        <f>_xlfn.XLOOKUP(A135,'Year end 2024'!A:A,'Year end 2024'!E:E,0,0)</f>
        <v>39561.4</v>
      </c>
      <c r="K135" s="14">
        <f t="shared" si="4"/>
        <v>-22214.559999999998</v>
      </c>
      <c r="L135" s="14">
        <f t="shared" si="5"/>
        <v>13814.909999999996</v>
      </c>
    </row>
    <row r="136" spans="1:12" ht="35.15" customHeight="1" x14ac:dyDescent="0.4">
      <c r="A136" s="11" t="s">
        <v>318</v>
      </c>
      <c r="B136" s="11" t="s">
        <v>319</v>
      </c>
      <c r="C136" s="11" t="s">
        <v>77</v>
      </c>
      <c r="D136" s="11" t="s">
        <v>76</v>
      </c>
      <c r="E136" s="18" t="str">
        <f>_xlfn.XLOOKUP(A136,'Current Month'!A:A,'Current Month'!I:I,"")</f>
        <v/>
      </c>
      <c r="F136" s="21" t="str">
        <f>_xlfn.XLOOKUP(A136,'Prior Month'!A:A,'Prior Month'!I:I,"")</f>
        <v/>
      </c>
      <c r="G136" s="18" t="str">
        <f>_xlfn.XLOOKUP(A136,'Year end 2024'!A:A,'Year end 2024'!I:I,"")</f>
        <v/>
      </c>
      <c r="H136" s="19">
        <f>_xlfn.XLOOKUP(A136,'Current Month'!A:A,'Current Month'!E:E,0,0)</f>
        <v>384305.88</v>
      </c>
      <c r="I136" s="32">
        <f>_xlfn.XLOOKUP(A136,'Prior Month'!A:A,'Prior Month'!E:E,0,0)</f>
        <v>379814.38</v>
      </c>
      <c r="J136" s="32">
        <f>_xlfn.XLOOKUP(A136,'Year end 2024'!A:A,'Year end 2024'!E:E,0,0)</f>
        <v>340868.71</v>
      </c>
      <c r="K136" s="14">
        <f t="shared" si="4"/>
        <v>4491.5</v>
      </c>
      <c r="L136" s="14">
        <f t="shared" si="5"/>
        <v>43437.169999999984</v>
      </c>
    </row>
    <row r="137" spans="1:12" ht="35.15" customHeight="1" x14ac:dyDescent="0.4">
      <c r="A137" s="11" t="s">
        <v>320</v>
      </c>
      <c r="B137" s="11" t="s">
        <v>321</v>
      </c>
      <c r="C137" s="11" t="s">
        <v>109</v>
      </c>
      <c r="D137" s="11" t="s">
        <v>108</v>
      </c>
      <c r="E137" s="18" t="str">
        <f>_xlfn.XLOOKUP(A137,'Current Month'!A:A,'Current Month'!I:I,"")</f>
        <v/>
      </c>
      <c r="F137" s="21" t="str">
        <f>_xlfn.XLOOKUP(A137,'Prior Month'!A:A,'Prior Month'!I:I,"")</f>
        <v/>
      </c>
      <c r="G137" s="18" t="str">
        <f>_xlfn.XLOOKUP(A137,'Year end 2024'!A:A,'Year end 2024'!I:I,"")</f>
        <v/>
      </c>
      <c r="H137" s="19">
        <f>_xlfn.XLOOKUP(A137,'Current Month'!A:A,'Current Month'!E:E,0,0)</f>
        <v>117110.41</v>
      </c>
      <c r="I137" s="32">
        <f>_xlfn.XLOOKUP(A137,'Prior Month'!A:A,'Prior Month'!E:E,0,0)</f>
        <v>128910.19</v>
      </c>
      <c r="J137" s="32">
        <f>_xlfn.XLOOKUP(A137,'Year end 2024'!A:A,'Year end 2024'!E:E,0,0)</f>
        <v>160063.07999999999</v>
      </c>
      <c r="K137" s="14">
        <f t="shared" si="4"/>
        <v>-11799.779999999999</v>
      </c>
      <c r="L137" s="14">
        <f t="shared" si="5"/>
        <v>-42952.669999999984</v>
      </c>
    </row>
    <row r="138" spans="1:12" ht="35.15" customHeight="1" x14ac:dyDescent="0.4">
      <c r="A138" s="11" t="s">
        <v>322</v>
      </c>
      <c r="B138" s="11" t="s">
        <v>323</v>
      </c>
      <c r="C138" s="11" t="s">
        <v>19</v>
      </c>
      <c r="D138" s="11" t="s">
        <v>18</v>
      </c>
      <c r="E138" s="18" t="str">
        <f>_xlfn.XLOOKUP(A138,'Current Month'!A:A,'Current Month'!I:I,"")</f>
        <v/>
      </c>
      <c r="F138" s="21" t="str">
        <f>_xlfn.XLOOKUP(A138,'Prior Month'!A:A,'Prior Month'!I:I,"")</f>
        <v/>
      </c>
      <c r="G138" s="18" t="str">
        <f>_xlfn.XLOOKUP(A138,'Year end 2024'!A:A,'Year end 2024'!I:I,"")</f>
        <v/>
      </c>
      <c r="H138" s="19">
        <f>_xlfn.XLOOKUP(A138,'Current Month'!A:A,'Current Month'!E:E,0,0)</f>
        <v>509.09</v>
      </c>
      <c r="I138" s="32">
        <f>_xlfn.XLOOKUP(A138,'Prior Month'!A:A,'Prior Month'!E:E,0,0)</f>
        <v>443.18</v>
      </c>
      <c r="J138" s="32">
        <f>_xlfn.XLOOKUP(A138,'Year end 2024'!A:A,'Year end 2024'!E:E,0,0)</f>
        <v>16715.52</v>
      </c>
      <c r="K138" s="14">
        <f t="shared" si="4"/>
        <v>65.909999999999968</v>
      </c>
      <c r="L138" s="14">
        <f t="shared" si="5"/>
        <v>-16206.43</v>
      </c>
    </row>
    <row r="139" spans="1:12" ht="35.15" customHeight="1" x14ac:dyDescent="0.4">
      <c r="A139" s="11" t="s">
        <v>324</v>
      </c>
      <c r="B139" s="11" t="s">
        <v>325</v>
      </c>
      <c r="C139" s="11" t="s">
        <v>77</v>
      </c>
      <c r="D139" s="11" t="s">
        <v>76</v>
      </c>
      <c r="E139" s="18" t="str">
        <f>_xlfn.XLOOKUP(A139,'Current Month'!A:A,'Current Month'!I:I,"")</f>
        <v/>
      </c>
      <c r="F139" s="21" t="str">
        <f>_xlfn.XLOOKUP(A139,'Prior Month'!A:A,'Prior Month'!I:I,"")</f>
        <v/>
      </c>
      <c r="G139" s="18" t="str">
        <f>_xlfn.XLOOKUP(A139,'Year end 2024'!A:A,'Year end 2024'!I:I,"")</f>
        <v/>
      </c>
      <c r="H139" s="19">
        <f>_xlfn.XLOOKUP(A139,'Current Month'!A:A,'Current Month'!E:E,0,0)</f>
        <v>131761.01</v>
      </c>
      <c r="I139" s="32">
        <f>_xlfn.XLOOKUP(A139,'Prior Month'!A:A,'Prior Month'!E:E,0,0)</f>
        <v>152474</v>
      </c>
      <c r="J139" s="32">
        <f>_xlfn.XLOOKUP(A139,'Year end 2024'!A:A,'Year end 2024'!E:E,0,0)</f>
        <v>90628.08</v>
      </c>
      <c r="K139" s="14">
        <f t="shared" si="4"/>
        <v>-20712.989999999991</v>
      </c>
      <c r="L139" s="14">
        <f t="shared" si="5"/>
        <v>41132.930000000008</v>
      </c>
    </row>
    <row r="140" spans="1:12" ht="35.15" customHeight="1" x14ac:dyDescent="0.4">
      <c r="A140" s="11" t="s">
        <v>326</v>
      </c>
      <c r="B140" s="11" t="s">
        <v>327</v>
      </c>
      <c r="C140" s="11" t="s">
        <v>33</v>
      </c>
      <c r="D140" s="11" t="s">
        <v>32</v>
      </c>
      <c r="E140" s="18" t="str">
        <f>_xlfn.XLOOKUP(A140,'Current Month'!A:A,'Current Month'!I:I,"")</f>
        <v/>
      </c>
      <c r="F140" s="21" t="str">
        <f>_xlfn.XLOOKUP(A140,'Prior Month'!A:A,'Prior Month'!I:I,"")</f>
        <v/>
      </c>
      <c r="G140" s="18" t="str">
        <f>_xlfn.XLOOKUP(A140,'Year end 2024'!A:A,'Year end 2024'!I:I,"")</f>
        <v/>
      </c>
      <c r="H140" s="19">
        <f>_xlfn.XLOOKUP(A140,'Current Month'!A:A,'Current Month'!E:E,0,0)</f>
        <v>3486413.68</v>
      </c>
      <c r="I140" s="32">
        <f>_xlfn.XLOOKUP(A140,'Prior Month'!A:A,'Prior Month'!E:E,0,0)</f>
        <v>2876833.54</v>
      </c>
      <c r="J140" s="32">
        <f>_xlfn.XLOOKUP(A140,'Year end 2024'!A:A,'Year end 2024'!E:E,0,0)</f>
        <v>2957686.51</v>
      </c>
      <c r="K140" s="14">
        <f t="shared" si="4"/>
        <v>609580.14000000013</v>
      </c>
      <c r="L140" s="14">
        <f t="shared" si="5"/>
        <v>528727.17000000039</v>
      </c>
    </row>
    <row r="141" spans="1:12" ht="35.15" customHeight="1" x14ac:dyDescent="0.4">
      <c r="A141" s="11" t="s">
        <v>328</v>
      </c>
      <c r="B141" s="11" t="s">
        <v>329</v>
      </c>
      <c r="C141" s="11" t="s">
        <v>29</v>
      </c>
      <c r="D141" s="11" t="s">
        <v>28</v>
      </c>
      <c r="E141" s="18" t="str">
        <f>_xlfn.XLOOKUP(A141,'Current Month'!A:A,'Current Month'!I:I,"")</f>
        <v/>
      </c>
      <c r="F141" s="21" t="str">
        <f>_xlfn.XLOOKUP(A141,'Prior Month'!A:A,'Prior Month'!I:I,"")</f>
        <v/>
      </c>
      <c r="G141" s="18" t="str">
        <f>_xlfn.XLOOKUP(A141,'Year end 2024'!A:A,'Year end 2024'!I:I,"")</f>
        <v/>
      </c>
      <c r="H141" s="19">
        <f>_xlfn.XLOOKUP(A141,'Current Month'!A:A,'Current Month'!E:E,0,0)</f>
        <v>245330.86</v>
      </c>
      <c r="I141" s="32">
        <f>_xlfn.XLOOKUP(A141,'Prior Month'!A:A,'Prior Month'!E:E,0,0)</f>
        <v>244506.91</v>
      </c>
      <c r="J141" s="32">
        <f>_xlfn.XLOOKUP(A141,'Year end 2024'!A:A,'Year end 2024'!E:E,0,0)</f>
        <v>237111.14</v>
      </c>
      <c r="K141" s="14">
        <f t="shared" si="4"/>
        <v>823.94999999998254</v>
      </c>
      <c r="L141" s="14">
        <f t="shared" si="5"/>
        <v>8219.7199999999721</v>
      </c>
    </row>
    <row r="142" spans="1:12" ht="35.15" customHeight="1" x14ac:dyDescent="0.4">
      <c r="A142" s="11" t="s">
        <v>330</v>
      </c>
      <c r="B142" s="11" t="s">
        <v>331</v>
      </c>
      <c r="C142" s="11" t="s">
        <v>29</v>
      </c>
      <c r="D142" s="11" t="s">
        <v>28</v>
      </c>
      <c r="E142" s="18" t="str">
        <f>_xlfn.XLOOKUP(A142,'Current Month'!A:A,'Current Month'!I:I,"")</f>
        <v/>
      </c>
      <c r="F142" s="21" t="str">
        <f>_xlfn.XLOOKUP(A142,'Prior Month'!A:A,'Prior Month'!I:I,"")</f>
        <v/>
      </c>
      <c r="G142" s="18" t="str">
        <f>_xlfn.XLOOKUP(A142,'Year end 2024'!A:A,'Year end 2024'!I:I,"")</f>
        <v/>
      </c>
      <c r="H142" s="19">
        <f>_xlfn.XLOOKUP(A142,'Current Month'!A:A,'Current Month'!E:E,0,0)</f>
        <v>480.81</v>
      </c>
      <c r="I142" s="32">
        <f>_xlfn.XLOOKUP(A142,'Prior Month'!A:A,'Prior Month'!E:E,0,0)</f>
        <v>1412.5</v>
      </c>
      <c r="J142" s="32">
        <f>_xlfn.XLOOKUP(A142,'Year end 2024'!A:A,'Year end 2024'!E:E,0,0)</f>
        <v>206834</v>
      </c>
      <c r="K142" s="14">
        <f t="shared" si="4"/>
        <v>-931.69</v>
      </c>
      <c r="L142" s="14">
        <f t="shared" si="5"/>
        <v>-206353.19</v>
      </c>
    </row>
    <row r="143" spans="1:12" ht="35.15" customHeight="1" x14ac:dyDescent="0.4">
      <c r="A143" s="11" t="s">
        <v>332</v>
      </c>
      <c r="B143" s="11" t="s">
        <v>333</v>
      </c>
      <c r="C143" s="11" t="s">
        <v>29</v>
      </c>
      <c r="D143" s="11" t="s">
        <v>28</v>
      </c>
      <c r="E143" s="18" t="str">
        <f>_xlfn.XLOOKUP(A143,'Current Month'!A:A,'Current Month'!I:I,"")</f>
        <v/>
      </c>
      <c r="F143" s="21" t="str">
        <f>_xlfn.XLOOKUP(A143,'Prior Month'!A:A,'Prior Month'!I:I,"")</f>
        <v/>
      </c>
      <c r="G143" s="18" t="str">
        <f>_xlfn.XLOOKUP(A143,'Year end 2024'!A:A,'Year end 2024'!I:I,"")</f>
        <v/>
      </c>
      <c r="H143" s="19">
        <f>_xlfn.XLOOKUP(A143,'Current Month'!A:A,'Current Month'!E:E,0,0)</f>
        <v>18036.849999999999</v>
      </c>
      <c r="I143" s="32">
        <f>_xlfn.XLOOKUP(A143,'Prior Month'!A:A,'Prior Month'!E:E,0,0)</f>
        <v>23014.68</v>
      </c>
      <c r="J143" s="32">
        <f>_xlfn.XLOOKUP(A143,'Year end 2024'!A:A,'Year end 2024'!E:E,0,0)</f>
        <v>52786.1</v>
      </c>
      <c r="K143" s="14">
        <f t="shared" si="4"/>
        <v>-4977.8300000000017</v>
      </c>
      <c r="L143" s="14">
        <f t="shared" si="5"/>
        <v>-34749.25</v>
      </c>
    </row>
    <row r="144" spans="1:12" ht="35.15" customHeight="1" x14ac:dyDescent="0.4">
      <c r="A144" s="11" t="s">
        <v>334</v>
      </c>
      <c r="B144" s="11" t="s">
        <v>335</v>
      </c>
      <c r="C144" s="11" t="s">
        <v>33</v>
      </c>
      <c r="D144" s="11" t="s">
        <v>32</v>
      </c>
      <c r="E144" s="18" t="str">
        <f>_xlfn.XLOOKUP(A144,'Current Month'!A:A,'Current Month'!I:I,"")</f>
        <v/>
      </c>
      <c r="F144" s="21" t="str">
        <f>_xlfn.XLOOKUP(A144,'Prior Month'!A:A,'Prior Month'!I:I,"")</f>
        <v/>
      </c>
      <c r="G144" s="18" t="str">
        <f>_xlfn.XLOOKUP(A144,'Year end 2024'!A:A,'Year end 2024'!I:I,"")</f>
        <v/>
      </c>
      <c r="H144" s="19">
        <f>_xlfn.XLOOKUP(A144,'Current Month'!A:A,'Current Month'!E:E,0,0)</f>
        <v>32651.46</v>
      </c>
      <c r="I144" s="32">
        <f>_xlfn.XLOOKUP(A144,'Prior Month'!A:A,'Prior Month'!E:E,0,0)</f>
        <v>42651.46</v>
      </c>
      <c r="J144" s="32">
        <f>_xlfn.XLOOKUP(A144,'Year end 2024'!A:A,'Year end 2024'!E:E,0,0)</f>
        <v>107651.46</v>
      </c>
      <c r="K144" s="14">
        <f t="shared" si="4"/>
        <v>-10000</v>
      </c>
      <c r="L144" s="14">
        <f t="shared" si="5"/>
        <v>-75000</v>
      </c>
    </row>
    <row r="145" spans="1:12" ht="35.15" customHeight="1" x14ac:dyDescent="0.4">
      <c r="A145" s="11" t="s">
        <v>336</v>
      </c>
      <c r="B145" s="11" t="s">
        <v>337</v>
      </c>
      <c r="C145" s="11" t="s">
        <v>29</v>
      </c>
      <c r="D145" s="11" t="s">
        <v>28</v>
      </c>
      <c r="E145" s="18" t="str">
        <f>_xlfn.XLOOKUP(A145,'Current Month'!A:A,'Current Month'!I:I,"")</f>
        <v/>
      </c>
      <c r="F145" s="21" t="str">
        <f>_xlfn.XLOOKUP(A145,'Prior Month'!A:A,'Prior Month'!I:I,"")</f>
        <v/>
      </c>
      <c r="G145" s="18" t="str">
        <f>_xlfn.XLOOKUP(A145,'Year end 2024'!A:A,'Year end 2024'!I:I,"")</f>
        <v/>
      </c>
      <c r="H145" s="19">
        <f>_xlfn.XLOOKUP(A145,'Current Month'!A:A,'Current Month'!E:E,0,0)</f>
        <v>194750.1</v>
      </c>
      <c r="I145" s="32">
        <f>_xlfn.XLOOKUP(A145,'Prior Month'!A:A,'Prior Month'!E:E,0,0)</f>
        <v>194501.33</v>
      </c>
      <c r="J145" s="32">
        <f>_xlfn.XLOOKUP(A145,'Year end 2024'!A:A,'Year end 2024'!E:E,0,0)</f>
        <v>192210.99</v>
      </c>
      <c r="K145" s="14">
        <f t="shared" si="4"/>
        <v>248.77000000001863</v>
      </c>
      <c r="L145" s="14">
        <f t="shared" si="5"/>
        <v>2539.1100000000151</v>
      </c>
    </row>
    <row r="146" spans="1:12" ht="35.15" customHeight="1" x14ac:dyDescent="0.4">
      <c r="A146" s="11" t="s">
        <v>338</v>
      </c>
      <c r="B146" s="11" t="s">
        <v>339</v>
      </c>
      <c r="C146" s="11" t="s">
        <v>41</v>
      </c>
      <c r="D146" s="11" t="s">
        <v>40</v>
      </c>
      <c r="E146" s="18" t="str">
        <f>_xlfn.XLOOKUP(A146,'Current Month'!A:A,'Current Month'!I:I,"")</f>
        <v/>
      </c>
      <c r="F146" s="21" t="str">
        <f>_xlfn.XLOOKUP(A146,'Prior Month'!A:A,'Prior Month'!I:I,"")</f>
        <v/>
      </c>
      <c r="G146" s="18" t="str">
        <f>_xlfn.XLOOKUP(A146,'Year end 2024'!A:A,'Year end 2024'!I:I,"")</f>
        <v/>
      </c>
      <c r="H146" s="19">
        <f>_xlfn.XLOOKUP(A146,'Current Month'!A:A,'Current Month'!E:E,0,0)</f>
        <v>56789.9</v>
      </c>
      <c r="I146" s="32">
        <f>_xlfn.XLOOKUP(A146,'Prior Month'!A:A,'Prior Month'!E:E,0,0)</f>
        <v>50558.37</v>
      </c>
      <c r="J146" s="32">
        <f>_xlfn.XLOOKUP(A146,'Year end 2024'!A:A,'Year end 2024'!E:E,0,0)</f>
        <v>103964.85</v>
      </c>
      <c r="K146" s="14">
        <f t="shared" si="4"/>
        <v>6231.5299999999988</v>
      </c>
      <c r="L146" s="14">
        <f t="shared" si="5"/>
        <v>-47174.950000000004</v>
      </c>
    </row>
    <row r="147" spans="1:12" ht="35.15" customHeight="1" x14ac:dyDescent="0.4">
      <c r="A147" s="11" t="s">
        <v>340</v>
      </c>
      <c r="B147" s="11" t="s">
        <v>341</v>
      </c>
      <c r="C147" s="11" t="s">
        <v>51</v>
      </c>
      <c r="D147" s="11" t="s">
        <v>50</v>
      </c>
      <c r="E147" s="18" t="str">
        <f>_xlfn.XLOOKUP(A147,'Current Month'!A:A,'Current Month'!I:I,"")</f>
        <v/>
      </c>
      <c r="F147" s="21" t="str">
        <f>_xlfn.XLOOKUP(A147,'Prior Month'!A:A,'Prior Month'!I:I,"")</f>
        <v/>
      </c>
      <c r="G147" s="18" t="str">
        <f>_xlfn.XLOOKUP(A147,'Year end 2024'!A:A,'Year end 2024'!I:I,"")</f>
        <v/>
      </c>
      <c r="H147" s="19">
        <f>_xlfn.XLOOKUP(A147,'Current Month'!A:A,'Current Month'!E:E,0,0)</f>
        <v>142551.60999999999</v>
      </c>
      <c r="I147" s="32">
        <f>_xlfn.XLOOKUP(A147,'Prior Month'!A:A,'Prior Month'!E:E,0,0)</f>
        <v>142206.56</v>
      </c>
      <c r="J147" s="32">
        <f>_xlfn.XLOOKUP(A147,'Year end 2024'!A:A,'Year end 2024'!E:E,0,0)</f>
        <v>139131.73000000001</v>
      </c>
      <c r="K147" s="14">
        <f t="shared" si="4"/>
        <v>345.04999999998836</v>
      </c>
      <c r="L147" s="14">
        <f t="shared" si="5"/>
        <v>3419.8799999999756</v>
      </c>
    </row>
    <row r="148" spans="1:12" ht="35.15" customHeight="1" x14ac:dyDescent="0.4">
      <c r="A148" s="11" t="s">
        <v>342</v>
      </c>
      <c r="B148" s="11" t="s">
        <v>343</v>
      </c>
      <c r="C148" s="11" t="s">
        <v>51</v>
      </c>
      <c r="D148" s="11" t="s">
        <v>50</v>
      </c>
      <c r="E148" s="18" t="str">
        <f>_xlfn.XLOOKUP(A148,'Current Month'!A:A,'Current Month'!I:I,"")</f>
        <v/>
      </c>
      <c r="F148" s="21" t="str">
        <f>_xlfn.XLOOKUP(A148,'Prior Month'!A:A,'Prior Month'!I:I,"")</f>
        <v/>
      </c>
      <c r="G148" s="18" t="str">
        <f>_xlfn.XLOOKUP(A148,'Year end 2024'!A:A,'Year end 2024'!I:I,"")</f>
        <v/>
      </c>
      <c r="H148" s="19">
        <f>_xlfn.XLOOKUP(A148,'Current Month'!A:A,'Current Month'!E:E,0,0)</f>
        <v>81834.83</v>
      </c>
      <c r="I148" s="32">
        <f>_xlfn.XLOOKUP(A148,'Prior Month'!A:A,'Prior Month'!E:E,0,0)</f>
        <v>81559.98</v>
      </c>
      <c r="J148" s="32">
        <f>_xlfn.XLOOKUP(A148,'Year end 2024'!A:A,'Year end 2024'!E:E,0,0)</f>
        <v>79093.84</v>
      </c>
      <c r="K148" s="14">
        <f t="shared" si="4"/>
        <v>274.85000000000582</v>
      </c>
      <c r="L148" s="14">
        <f t="shared" si="5"/>
        <v>2740.9900000000052</v>
      </c>
    </row>
    <row r="149" spans="1:12" ht="35.15" customHeight="1" x14ac:dyDescent="0.4">
      <c r="A149" s="11" t="s">
        <v>344</v>
      </c>
      <c r="B149" s="11" t="s">
        <v>345</v>
      </c>
      <c r="C149" s="11" t="s">
        <v>51</v>
      </c>
      <c r="D149" s="11" t="s">
        <v>50</v>
      </c>
      <c r="E149" s="18" t="str">
        <f>_xlfn.XLOOKUP(A149,'Current Month'!A:A,'Current Month'!I:I,"")</f>
        <v/>
      </c>
      <c r="F149" s="21" t="str">
        <f>_xlfn.XLOOKUP(A149,'Prior Month'!A:A,'Prior Month'!I:I,"")</f>
        <v/>
      </c>
      <c r="G149" s="18" t="str">
        <f>_xlfn.XLOOKUP(A149,'Year end 2024'!A:A,'Year end 2024'!I:I,"")</f>
        <v/>
      </c>
      <c r="H149" s="19">
        <f>_xlfn.XLOOKUP(A149,'Current Month'!A:A,'Current Month'!E:E,0,0)</f>
        <v>53522.61</v>
      </c>
      <c r="I149" s="32">
        <f>_xlfn.XLOOKUP(A149,'Prior Month'!A:A,'Prior Month'!E:E,0,0)</f>
        <v>53342.86</v>
      </c>
      <c r="J149" s="32">
        <f>_xlfn.XLOOKUP(A149,'Year end 2024'!A:A,'Year end 2024'!E:E,0,0)</f>
        <v>51729.06</v>
      </c>
      <c r="K149" s="14">
        <f t="shared" si="4"/>
        <v>179.75</v>
      </c>
      <c r="L149" s="14">
        <f t="shared" si="5"/>
        <v>1793.5500000000029</v>
      </c>
    </row>
    <row r="150" spans="1:12" ht="35.15" customHeight="1" x14ac:dyDescent="0.4">
      <c r="A150" s="11" t="s">
        <v>346</v>
      </c>
      <c r="B150" s="11" t="s">
        <v>347</v>
      </c>
      <c r="C150" s="11" t="s">
        <v>41</v>
      </c>
      <c r="D150" s="11" t="s">
        <v>40</v>
      </c>
      <c r="E150" s="18" t="str">
        <f>_xlfn.XLOOKUP(A150,'Current Month'!A:A,'Current Month'!I:I,"")</f>
        <v/>
      </c>
      <c r="F150" s="21" t="str">
        <f>_xlfn.XLOOKUP(A150,'Prior Month'!A:A,'Prior Month'!I:I,"")</f>
        <v/>
      </c>
      <c r="G150" s="18" t="str">
        <f>_xlfn.XLOOKUP(A150,'Year end 2024'!A:A,'Year end 2024'!I:I,"")</f>
        <v/>
      </c>
      <c r="H150" s="19">
        <f>_xlfn.XLOOKUP(A150,'Current Month'!A:A,'Current Month'!E:E,0,0)</f>
        <v>53455.44</v>
      </c>
      <c r="I150" s="32">
        <f>_xlfn.XLOOKUP(A150,'Prior Month'!A:A,'Prior Month'!E:E,0,0)</f>
        <v>54171.79</v>
      </c>
      <c r="J150" s="32">
        <f>_xlfn.XLOOKUP(A150,'Year end 2024'!A:A,'Year end 2024'!E:E,0,0)</f>
        <v>46676.03</v>
      </c>
      <c r="K150" s="14">
        <f t="shared" si="4"/>
        <v>-716.34999999999854</v>
      </c>
      <c r="L150" s="14">
        <f t="shared" si="5"/>
        <v>6779.4100000000035</v>
      </c>
    </row>
    <row r="151" spans="1:12" ht="35.15" customHeight="1" x14ac:dyDescent="0.4">
      <c r="A151" s="11" t="s">
        <v>348</v>
      </c>
      <c r="B151" s="11" t="s">
        <v>349</v>
      </c>
      <c r="C151" s="11" t="s">
        <v>67</v>
      </c>
      <c r="D151" s="11" t="s">
        <v>66</v>
      </c>
      <c r="E151" s="18" t="str">
        <f>_xlfn.XLOOKUP(A151,'Current Month'!A:A,'Current Month'!I:I,"")</f>
        <v/>
      </c>
      <c r="F151" s="21" t="str">
        <f>_xlfn.XLOOKUP(A151,'Prior Month'!A:A,'Prior Month'!I:I,"")</f>
        <v/>
      </c>
      <c r="G151" s="18" t="str">
        <f>_xlfn.XLOOKUP(A151,'Year end 2024'!A:A,'Year end 2024'!I:I,"")</f>
        <v/>
      </c>
      <c r="H151" s="19">
        <f>_xlfn.XLOOKUP(A151,'Current Month'!A:A,'Current Month'!E:E,0,0)</f>
        <v>526651.18999999994</v>
      </c>
      <c r="I151" s="32">
        <f>_xlfn.XLOOKUP(A151,'Prior Month'!A:A,'Prior Month'!E:E,0,0)</f>
        <v>525939.17000000004</v>
      </c>
      <c r="J151" s="32">
        <f>_xlfn.XLOOKUP(A151,'Year end 2024'!A:A,'Year end 2024'!E:E,0,0)</f>
        <v>519061.61</v>
      </c>
      <c r="K151" s="14">
        <f t="shared" si="4"/>
        <v>712.01999999990221</v>
      </c>
      <c r="L151" s="14">
        <f t="shared" si="5"/>
        <v>7589.5799999999581</v>
      </c>
    </row>
    <row r="152" spans="1:12" ht="35.15" customHeight="1" x14ac:dyDescent="0.4">
      <c r="A152" s="11" t="s">
        <v>350</v>
      </c>
      <c r="B152" s="11" t="s">
        <v>351</v>
      </c>
      <c r="C152" s="11" t="s">
        <v>51</v>
      </c>
      <c r="D152" s="11" t="s">
        <v>50</v>
      </c>
      <c r="E152" s="18" t="str">
        <f>_xlfn.XLOOKUP(A152,'Current Month'!A:A,'Current Month'!I:I,"")</f>
        <v/>
      </c>
      <c r="F152" s="21" t="str">
        <f>_xlfn.XLOOKUP(A152,'Prior Month'!A:A,'Prior Month'!I:I,"")</f>
        <v/>
      </c>
      <c r="G152" s="18" t="str">
        <f>_xlfn.XLOOKUP(A152,'Year end 2024'!A:A,'Year end 2024'!I:I,"")</f>
        <v/>
      </c>
      <c r="H152" s="19">
        <f>_xlfn.XLOOKUP(A152,'Current Month'!A:A,'Current Month'!E:E,0,0)</f>
        <v>63942.84</v>
      </c>
      <c r="I152" s="32">
        <f>_xlfn.XLOOKUP(A152,'Prior Month'!A:A,'Prior Month'!E:E,0,0)</f>
        <v>69833.78</v>
      </c>
      <c r="J152" s="32">
        <f>_xlfn.XLOOKUP(A152,'Year end 2024'!A:A,'Year end 2024'!E:E,0,0)</f>
        <v>36883.870000000003</v>
      </c>
      <c r="K152" s="14">
        <f t="shared" si="4"/>
        <v>-5890.9400000000023</v>
      </c>
      <c r="L152" s="14">
        <f t="shared" si="5"/>
        <v>27058.969999999994</v>
      </c>
    </row>
    <row r="153" spans="1:12" ht="35.15" customHeight="1" x14ac:dyDescent="0.4">
      <c r="A153" s="11" t="s">
        <v>352</v>
      </c>
      <c r="B153" s="11" t="s">
        <v>353</v>
      </c>
      <c r="C153" s="11" t="s">
        <v>77</v>
      </c>
      <c r="D153" s="11" t="s">
        <v>76</v>
      </c>
      <c r="E153" s="18" t="str">
        <f>_xlfn.XLOOKUP(A153,'Current Month'!A:A,'Current Month'!I:I,"")</f>
        <v/>
      </c>
      <c r="F153" s="21" t="str">
        <f>_xlfn.XLOOKUP(A153,'Prior Month'!A:A,'Prior Month'!I:I,"")</f>
        <v/>
      </c>
      <c r="G153" s="18" t="str">
        <f>_xlfn.XLOOKUP(A153,'Year end 2024'!A:A,'Year end 2024'!I:I,"")</f>
        <v/>
      </c>
      <c r="H153" s="19">
        <f>_xlfn.XLOOKUP(A153,'Current Month'!A:A,'Current Month'!E:E,0,0)</f>
        <v>10023.57</v>
      </c>
      <c r="I153" s="32">
        <f>_xlfn.XLOOKUP(A153,'Prior Month'!A:A,'Prior Month'!E:E,0,0)</f>
        <v>20494.77</v>
      </c>
      <c r="J153" s="32">
        <f>_xlfn.XLOOKUP(A153,'Year end 2024'!A:A,'Year end 2024'!E:E,0,0)</f>
        <v>29411.279999999999</v>
      </c>
      <c r="K153" s="14">
        <f t="shared" si="4"/>
        <v>-10471.200000000001</v>
      </c>
      <c r="L153" s="14">
        <f t="shared" si="5"/>
        <v>-19387.71</v>
      </c>
    </row>
    <row r="154" spans="1:12" ht="35.15" customHeight="1" x14ac:dyDescent="0.4">
      <c r="A154" s="11" t="s">
        <v>354</v>
      </c>
      <c r="B154" s="11" t="s">
        <v>355</v>
      </c>
      <c r="C154" s="11" t="s">
        <v>33</v>
      </c>
      <c r="D154" s="11" t="s">
        <v>32</v>
      </c>
      <c r="E154" s="18" t="str">
        <f>_xlfn.XLOOKUP(A154,'Current Month'!A:A,'Current Month'!I:I,"")</f>
        <v/>
      </c>
      <c r="F154" s="21" t="str">
        <f>_xlfn.XLOOKUP(A154,'Prior Month'!A:A,'Prior Month'!I:I,"")</f>
        <v/>
      </c>
      <c r="G154" s="18" t="str">
        <f>_xlfn.XLOOKUP(A154,'Year end 2024'!A:A,'Year end 2024'!I:I,"")</f>
        <v/>
      </c>
      <c r="H154" s="19">
        <f>_xlfn.XLOOKUP(A154,'Current Month'!A:A,'Current Month'!E:E,0,0)</f>
        <v>2691.37</v>
      </c>
      <c r="I154" s="32">
        <f>_xlfn.XLOOKUP(A154,'Prior Month'!A:A,'Prior Month'!E:E,0,0)</f>
        <v>5001.93</v>
      </c>
      <c r="J154" s="32">
        <f>_xlfn.XLOOKUP(A154,'Year end 2024'!A:A,'Year end 2024'!E:E,0,0)</f>
        <v>3554.32</v>
      </c>
      <c r="K154" s="14">
        <f t="shared" si="4"/>
        <v>-2310.5600000000004</v>
      </c>
      <c r="L154" s="14">
        <f t="shared" si="5"/>
        <v>-862.95000000000027</v>
      </c>
    </row>
    <row r="155" spans="1:12" ht="35.15" customHeight="1" x14ac:dyDescent="0.4">
      <c r="A155" s="11" t="s">
        <v>356</v>
      </c>
      <c r="B155" s="11" t="s">
        <v>357</v>
      </c>
      <c r="C155" s="11" t="s">
        <v>259</v>
      </c>
      <c r="D155" s="11" t="s">
        <v>258</v>
      </c>
      <c r="E155" s="18">
        <f>_xlfn.XLOOKUP(A155,'Current Month'!A:A,'Current Month'!I:I,"")</f>
        <v>5.692066493089683E-4</v>
      </c>
      <c r="F155" s="21">
        <f>_xlfn.XLOOKUP(A155,'Prior Month'!A:A,'Prior Month'!I:I,"")</f>
        <v>5.7644770641972014E-4</v>
      </c>
      <c r="G155" s="18">
        <f>_xlfn.XLOOKUP(A155,'Year end 2024'!A:A,'Year end 2024'!I:I,"")</f>
        <v>6.2611930618269743E-4</v>
      </c>
      <c r="H155" s="19">
        <f>_xlfn.XLOOKUP(A155,'Current Month'!A:A,'Current Month'!E:E,0,0)</f>
        <v>326.36</v>
      </c>
      <c r="I155" s="32">
        <f>_xlfn.XLOOKUP(A155,'Prior Month'!A:A,'Prior Month'!E:E,0,0)</f>
        <v>331.36</v>
      </c>
      <c r="J155" s="32">
        <f>_xlfn.XLOOKUP(A155,'Year end 2024'!A:A,'Year end 2024'!E:E,0,0)</f>
        <v>366.36</v>
      </c>
      <c r="K155" s="14">
        <f t="shared" si="4"/>
        <v>-5</v>
      </c>
      <c r="L155" s="14">
        <f t="shared" si="5"/>
        <v>-40</v>
      </c>
    </row>
    <row r="156" spans="1:12" ht="35.15" customHeight="1" x14ac:dyDescent="0.4">
      <c r="A156" s="11" t="s">
        <v>358</v>
      </c>
      <c r="B156" s="11" t="s">
        <v>359</v>
      </c>
      <c r="C156" s="11" t="s">
        <v>77</v>
      </c>
      <c r="D156" s="11" t="s">
        <v>76</v>
      </c>
      <c r="E156" s="18">
        <f>_xlfn.XLOOKUP(A156,'Current Month'!A:A,'Current Month'!I:I,"")</f>
        <v>1.559833225</v>
      </c>
      <c r="F156" s="21">
        <f>_xlfn.XLOOKUP(A156,'Prior Month'!A:A,'Prior Month'!I:I,"")</f>
        <v>0.92953242499999988</v>
      </c>
      <c r="G156" s="18">
        <f>_xlfn.XLOOKUP(A156,'Year end 2024'!A:A,'Year end 2024'!I:I,"")</f>
        <v>0.43937241718736469</v>
      </c>
      <c r="H156" s="19">
        <f>_xlfn.XLOOKUP(A156,'Current Month'!A:A,'Current Month'!E:E,0,0)</f>
        <v>623933.29</v>
      </c>
      <c r="I156" s="32">
        <f>_xlfn.XLOOKUP(A156,'Prior Month'!A:A,'Prior Month'!E:E,0,0)</f>
        <v>371812.97</v>
      </c>
      <c r="J156" s="32">
        <f>_xlfn.XLOOKUP(A156,'Year end 2024'!A:A,'Year end 2024'!E:E,0,0)</f>
        <v>189115.66</v>
      </c>
      <c r="K156" s="14">
        <f t="shared" si="4"/>
        <v>252120.32000000007</v>
      </c>
      <c r="L156" s="14">
        <f t="shared" si="5"/>
        <v>434817.63</v>
      </c>
    </row>
    <row r="157" spans="1:12" ht="35.15" customHeight="1" x14ac:dyDescent="0.4">
      <c r="A157" s="11" t="s">
        <v>360</v>
      </c>
      <c r="B157" s="11" t="s">
        <v>361</v>
      </c>
      <c r="C157" s="11" t="s">
        <v>41</v>
      </c>
      <c r="D157" s="11" t="s">
        <v>40</v>
      </c>
      <c r="E157" s="18" t="str">
        <f>_xlfn.XLOOKUP(A157,'Current Month'!A:A,'Current Month'!I:I,"")</f>
        <v/>
      </c>
      <c r="F157" s="21" t="str">
        <f>_xlfn.XLOOKUP(A157,'Prior Month'!A:A,'Prior Month'!I:I,"")</f>
        <v/>
      </c>
      <c r="G157" s="18" t="str">
        <f>_xlfn.XLOOKUP(A157,'Year end 2024'!A:A,'Year end 2024'!I:I,"")</f>
        <v/>
      </c>
      <c r="H157" s="19">
        <f>_xlfn.XLOOKUP(A157,'Current Month'!A:A,'Current Month'!E:E,0,0)</f>
        <v>14185.57</v>
      </c>
      <c r="I157" s="32">
        <f>_xlfn.XLOOKUP(A157,'Prior Month'!A:A,'Prior Month'!E:E,0,0)</f>
        <v>14185.57</v>
      </c>
      <c r="J157" s="32">
        <f>_xlfn.XLOOKUP(A157,'Year end 2024'!A:A,'Year end 2024'!E:E,0,0)</f>
        <v>30185.57</v>
      </c>
      <c r="K157" s="14">
        <f t="shared" si="4"/>
        <v>0</v>
      </c>
      <c r="L157" s="14">
        <f t="shared" si="5"/>
        <v>-16000</v>
      </c>
    </row>
    <row r="158" spans="1:12" ht="35.15" customHeight="1" x14ac:dyDescent="0.4">
      <c r="A158" s="11" t="s">
        <v>362</v>
      </c>
      <c r="B158" s="11" t="s">
        <v>363</v>
      </c>
      <c r="C158" s="11" t="s">
        <v>41</v>
      </c>
      <c r="D158" s="11" t="s">
        <v>40</v>
      </c>
      <c r="E158" s="18" t="str">
        <f>_xlfn.XLOOKUP(A158,'Current Month'!A:A,'Current Month'!I:I,"")</f>
        <v/>
      </c>
      <c r="F158" s="21" t="str">
        <f>_xlfn.XLOOKUP(A158,'Prior Month'!A:A,'Prior Month'!I:I,"")</f>
        <v/>
      </c>
      <c r="G158" s="18" t="str">
        <f>_xlfn.XLOOKUP(A158,'Year end 2024'!A:A,'Year end 2024'!I:I,"")</f>
        <v/>
      </c>
      <c r="H158" s="19">
        <f>_xlfn.XLOOKUP(A158,'Current Month'!A:A,'Current Month'!E:E,0,0)</f>
        <v>1131.44</v>
      </c>
      <c r="I158" s="32">
        <f>_xlfn.XLOOKUP(A158,'Prior Month'!A:A,'Prior Month'!E:E,0,0)</f>
        <v>1131.44</v>
      </c>
      <c r="J158" s="32">
        <f>_xlfn.XLOOKUP(A158,'Year end 2024'!A:A,'Year end 2024'!E:E,0,0)</f>
        <v>11151.44</v>
      </c>
      <c r="K158" s="14">
        <f t="shared" si="4"/>
        <v>0</v>
      </c>
      <c r="L158" s="14">
        <f t="shared" si="5"/>
        <v>-10020</v>
      </c>
    </row>
    <row r="159" spans="1:12" ht="35.15" customHeight="1" x14ac:dyDescent="0.4">
      <c r="A159" s="11" t="s">
        <v>364</v>
      </c>
      <c r="B159" s="11" t="s">
        <v>365</v>
      </c>
      <c r="C159" s="11" t="s">
        <v>29</v>
      </c>
      <c r="D159" s="11" t="s">
        <v>28</v>
      </c>
      <c r="E159" s="18" t="str">
        <f>_xlfn.XLOOKUP(A159,'Current Month'!A:A,'Current Month'!I:I,"")</f>
        <v/>
      </c>
      <c r="F159" s="21" t="str">
        <f>_xlfn.XLOOKUP(A159,'Prior Month'!A:A,'Prior Month'!I:I,"")</f>
        <v/>
      </c>
      <c r="G159" s="18" t="str">
        <f>_xlfn.XLOOKUP(A159,'Year end 2024'!A:A,'Year end 2024'!I:I,"")</f>
        <v/>
      </c>
      <c r="H159" s="19">
        <f>_xlfn.XLOOKUP(A159,'Current Month'!A:A,'Current Month'!E:E,0,0)</f>
        <v>5052.13</v>
      </c>
      <c r="I159" s="32">
        <f>_xlfn.XLOOKUP(A159,'Prior Month'!A:A,'Prior Month'!E:E,0,0)</f>
        <v>5152.13</v>
      </c>
      <c r="J159" s="32">
        <f>_xlfn.XLOOKUP(A159,'Year end 2024'!A:A,'Year end 2024'!E:E,0,0)</f>
        <v>5170.99</v>
      </c>
      <c r="K159" s="14">
        <f t="shared" si="4"/>
        <v>-100</v>
      </c>
      <c r="L159" s="14">
        <f t="shared" si="5"/>
        <v>-118.85999999999967</v>
      </c>
    </row>
    <row r="160" spans="1:12" ht="35.15" customHeight="1" x14ac:dyDescent="0.4">
      <c r="A160" s="11" t="s">
        <v>366</v>
      </c>
      <c r="B160" s="11" t="s">
        <v>367</v>
      </c>
      <c r="C160" s="11" t="s">
        <v>51</v>
      </c>
      <c r="D160" s="11" t="s">
        <v>50</v>
      </c>
      <c r="E160" s="18" t="str">
        <f>_xlfn.XLOOKUP(A160,'Current Month'!A:A,'Current Month'!I:I,"")</f>
        <v/>
      </c>
      <c r="F160" s="21" t="str">
        <f>_xlfn.XLOOKUP(A160,'Prior Month'!A:A,'Prior Month'!I:I,"")</f>
        <v/>
      </c>
      <c r="G160" s="18" t="str">
        <f>_xlfn.XLOOKUP(A160,'Year end 2024'!A:A,'Year end 2024'!I:I,"")</f>
        <v/>
      </c>
      <c r="H160" s="19">
        <f>_xlfn.XLOOKUP(A160,'Current Month'!A:A,'Current Month'!E:E,0,0)</f>
        <v>0</v>
      </c>
      <c r="I160" s="32">
        <f>_xlfn.XLOOKUP(A160,'Prior Month'!A:A,'Prior Month'!E:E,0,0)</f>
        <v>78</v>
      </c>
      <c r="J160" s="32">
        <f>_xlfn.XLOOKUP(A160,'Year end 2024'!A:A,'Year end 2024'!E:E,0,0)</f>
        <v>83</v>
      </c>
      <c r="K160" s="14">
        <f t="shared" si="4"/>
        <v>-78</v>
      </c>
      <c r="L160" s="14">
        <f t="shared" si="5"/>
        <v>-83</v>
      </c>
    </row>
    <row r="161" spans="1:12" ht="35.15" customHeight="1" x14ac:dyDescent="0.4">
      <c r="A161" s="11" t="s">
        <v>368</v>
      </c>
      <c r="B161" s="11" t="s">
        <v>369</v>
      </c>
      <c r="C161" s="11" t="s">
        <v>41</v>
      </c>
      <c r="D161" s="11" t="s">
        <v>40</v>
      </c>
      <c r="E161" s="18" t="str">
        <f>_xlfn.XLOOKUP(A161,'Current Month'!A:A,'Current Month'!I:I,"")</f>
        <v/>
      </c>
      <c r="F161" s="21" t="str">
        <f>_xlfn.XLOOKUP(A161,'Prior Month'!A:A,'Prior Month'!I:I,"")</f>
        <v/>
      </c>
      <c r="G161" s="18" t="str">
        <f>_xlfn.XLOOKUP(A161,'Year end 2024'!A:A,'Year end 2024'!I:I,"")</f>
        <v/>
      </c>
      <c r="H161" s="19">
        <f>_xlfn.XLOOKUP(A161,'Current Month'!A:A,'Current Month'!E:E,0,0)</f>
        <v>11787.22</v>
      </c>
      <c r="I161" s="32">
        <f>_xlfn.XLOOKUP(A161,'Prior Month'!A:A,'Prior Month'!E:E,0,0)</f>
        <v>37410.589999999997</v>
      </c>
      <c r="J161" s="32">
        <f>_xlfn.XLOOKUP(A161,'Year end 2024'!A:A,'Year end 2024'!E:E,0,0)</f>
        <v>355379.72</v>
      </c>
      <c r="K161" s="14">
        <f t="shared" si="4"/>
        <v>-25623.369999999995</v>
      </c>
      <c r="L161" s="14">
        <f t="shared" si="5"/>
        <v>-343592.5</v>
      </c>
    </row>
    <row r="162" spans="1:12" ht="35.15" customHeight="1" x14ac:dyDescent="0.4">
      <c r="A162" s="11" t="s">
        <v>370</v>
      </c>
      <c r="B162" s="11" t="s">
        <v>371</v>
      </c>
      <c r="C162" s="11" t="s">
        <v>33</v>
      </c>
      <c r="D162" s="11" t="s">
        <v>32</v>
      </c>
      <c r="E162" s="18">
        <f>_xlfn.XLOOKUP(A162,'Current Month'!A:A,'Current Month'!I:I,"")</f>
        <v>0.29904446808510637</v>
      </c>
      <c r="F162" s="21">
        <f>_xlfn.XLOOKUP(A162,'Prior Month'!A:A,'Prior Month'!I:I,"")</f>
        <v>0.30032106382978724</v>
      </c>
      <c r="G162" s="18">
        <f>_xlfn.XLOOKUP(A162,'Year end 2024'!A:A,'Year end 2024'!I:I,"")</f>
        <v>0.3118104255319149</v>
      </c>
      <c r="H162" s="19">
        <f>_xlfn.XLOOKUP(A162,'Current Month'!A:A,'Current Month'!E:E,0,0)</f>
        <v>14055.09</v>
      </c>
      <c r="I162" s="32">
        <f>_xlfn.XLOOKUP(A162,'Prior Month'!A:A,'Prior Month'!E:E,0,0)</f>
        <v>14115.09</v>
      </c>
      <c r="J162" s="32">
        <f>_xlfn.XLOOKUP(A162,'Year end 2024'!A:A,'Year end 2024'!E:E,0,0)</f>
        <v>14655.09</v>
      </c>
      <c r="K162" s="14">
        <f t="shared" si="4"/>
        <v>-60</v>
      </c>
      <c r="L162" s="14">
        <f t="shared" si="5"/>
        <v>-600</v>
      </c>
    </row>
    <row r="163" spans="1:12" ht="35.15" customHeight="1" x14ac:dyDescent="0.4">
      <c r="A163" s="11" t="s">
        <v>372</v>
      </c>
      <c r="B163" s="11" t="s">
        <v>373</v>
      </c>
      <c r="C163" s="11" t="s">
        <v>15</v>
      </c>
      <c r="D163" s="11" t="s">
        <v>14</v>
      </c>
      <c r="E163" s="18">
        <f>_xlfn.XLOOKUP(A163,'Current Month'!A:A,'Current Month'!I:I,"")</f>
        <v>0.11553970852507311</v>
      </c>
      <c r="F163" s="21">
        <f>_xlfn.XLOOKUP(A163,'Prior Month'!A:A,'Prior Month'!I:I,"")</f>
        <v>8.8821389552089319E-2</v>
      </c>
      <c r="G163" s="18">
        <f>_xlfn.XLOOKUP(A163,'Year end 2024'!A:A,'Year end 2024'!I:I,"")</f>
        <v>6.7414244857552902E-2</v>
      </c>
      <c r="H163" s="19">
        <f>_xlfn.XLOOKUP(A163,'Current Month'!A:A,'Current Month'!E:E,0,0)</f>
        <v>102098.4</v>
      </c>
      <c r="I163" s="32">
        <f>_xlfn.XLOOKUP(A163,'Prior Month'!A:A,'Prior Month'!E:E,0,0)</f>
        <v>98628.24</v>
      </c>
      <c r="J163" s="32">
        <f>_xlfn.XLOOKUP(A163,'Year end 2024'!A:A,'Year end 2024'!E:E,0,0)</f>
        <v>80290.7</v>
      </c>
      <c r="K163" s="14">
        <f t="shared" si="4"/>
        <v>3470.1599999999889</v>
      </c>
      <c r="L163" s="14">
        <f t="shared" si="5"/>
        <v>21807.699999999997</v>
      </c>
    </row>
    <row r="164" spans="1:12" ht="35.15" customHeight="1" x14ac:dyDescent="0.4">
      <c r="A164" s="11" t="s">
        <v>374</v>
      </c>
      <c r="B164" s="11" t="s">
        <v>375</v>
      </c>
      <c r="C164" s="11" t="s">
        <v>57</v>
      </c>
      <c r="D164" s="11" t="s">
        <v>56</v>
      </c>
      <c r="E164" s="18" t="str">
        <f>_xlfn.XLOOKUP(A164,'Current Month'!A:A,'Current Month'!I:I,"")</f>
        <v/>
      </c>
      <c r="F164" s="21" t="str">
        <f>_xlfn.XLOOKUP(A164,'Prior Month'!A:A,'Prior Month'!I:I,"")</f>
        <v/>
      </c>
      <c r="G164" s="18" t="str">
        <f>_xlfn.XLOOKUP(A164,'Year end 2024'!A:A,'Year end 2024'!I:I,"")</f>
        <v/>
      </c>
      <c r="H164" s="19">
        <f>_xlfn.XLOOKUP(A164,'Current Month'!A:A,'Current Month'!E:E,0,0)</f>
        <v>81620.31</v>
      </c>
      <c r="I164" s="32">
        <f>_xlfn.XLOOKUP(A164,'Prior Month'!A:A,'Prior Month'!E:E,0,0)</f>
        <v>88061.89</v>
      </c>
      <c r="J164" s="32">
        <f>_xlfn.XLOOKUP(A164,'Year end 2024'!A:A,'Year end 2024'!E:E,0,0)</f>
        <v>97446.3</v>
      </c>
      <c r="K164" s="14">
        <f t="shared" si="4"/>
        <v>-6441.5800000000017</v>
      </c>
      <c r="L164" s="14">
        <f t="shared" si="5"/>
        <v>-15825.990000000005</v>
      </c>
    </row>
    <row r="165" spans="1:12" ht="35.15" customHeight="1" x14ac:dyDescent="0.4">
      <c r="A165" s="11" t="s">
        <v>376</v>
      </c>
      <c r="B165" s="11" t="s">
        <v>377</v>
      </c>
      <c r="C165" s="11" t="s">
        <v>67</v>
      </c>
      <c r="D165" s="11" t="s">
        <v>66</v>
      </c>
      <c r="E165" s="18" t="str">
        <f>_xlfn.XLOOKUP(A165,'Current Month'!A:A,'Current Month'!I:I,"")</f>
        <v/>
      </c>
      <c r="F165" s="21" t="str">
        <f>_xlfn.XLOOKUP(A165,'Prior Month'!A:A,'Prior Month'!I:I,"")</f>
        <v/>
      </c>
      <c r="G165" s="18" t="str">
        <f>_xlfn.XLOOKUP(A165,'Year end 2024'!A:A,'Year end 2024'!I:I,"")</f>
        <v/>
      </c>
      <c r="H165" s="19">
        <f>_xlfn.XLOOKUP(A165,'Current Month'!A:A,'Current Month'!E:E,0,0)</f>
        <v>80728.7</v>
      </c>
      <c r="I165" s="32">
        <f>_xlfn.XLOOKUP(A165,'Prior Month'!A:A,'Prior Month'!E:E,0,0)</f>
        <v>79026.02</v>
      </c>
      <c r="J165" s="32">
        <f>_xlfn.XLOOKUP(A165,'Year end 2024'!A:A,'Year end 2024'!E:E,0,0)</f>
        <v>65881.679999999993</v>
      </c>
      <c r="K165" s="14">
        <f t="shared" si="4"/>
        <v>1702.679999999993</v>
      </c>
      <c r="L165" s="14">
        <f t="shared" si="5"/>
        <v>14847.020000000004</v>
      </c>
    </row>
    <row r="166" spans="1:12" ht="35.15" customHeight="1" x14ac:dyDescent="0.4">
      <c r="A166" s="11" t="s">
        <v>378</v>
      </c>
      <c r="B166" s="11" t="s">
        <v>379</v>
      </c>
      <c r="C166" s="11" t="s">
        <v>57</v>
      </c>
      <c r="D166" s="11" t="s">
        <v>56</v>
      </c>
      <c r="E166" s="18" t="str">
        <f>_xlfn.XLOOKUP(A166,'Current Month'!A:A,'Current Month'!I:I,"")</f>
        <v/>
      </c>
      <c r="F166" s="21" t="str">
        <f>_xlfn.XLOOKUP(A166,'Prior Month'!A:A,'Prior Month'!I:I,"")</f>
        <v/>
      </c>
      <c r="G166" s="18" t="str">
        <f>_xlfn.XLOOKUP(A166,'Year end 2024'!A:A,'Year end 2024'!I:I,"")</f>
        <v/>
      </c>
      <c r="H166" s="19">
        <f>_xlfn.XLOOKUP(A166,'Current Month'!A:A,'Current Month'!E:E,0,0)</f>
        <v>8088.13</v>
      </c>
      <c r="I166" s="32">
        <f>_xlfn.XLOOKUP(A166,'Prior Month'!A:A,'Prior Month'!E:E,0,0)</f>
        <v>11551.89</v>
      </c>
      <c r="J166" s="32">
        <f>_xlfn.XLOOKUP(A166,'Year end 2024'!A:A,'Year end 2024'!E:E,0,0)</f>
        <v>18327.189999999999</v>
      </c>
      <c r="K166" s="14">
        <f t="shared" si="4"/>
        <v>-3463.7599999999993</v>
      </c>
      <c r="L166" s="14">
        <f t="shared" si="5"/>
        <v>-10239.059999999998</v>
      </c>
    </row>
    <row r="167" spans="1:12" ht="35.15" customHeight="1" x14ac:dyDescent="0.4">
      <c r="A167" s="11" t="s">
        <v>380</v>
      </c>
      <c r="B167" s="11" t="s">
        <v>381</v>
      </c>
      <c r="C167" s="11" t="s">
        <v>253</v>
      </c>
      <c r="D167" s="11" t="s">
        <v>252</v>
      </c>
      <c r="E167" s="18">
        <f>_xlfn.XLOOKUP(A167,'Current Month'!A:A,'Current Month'!I:I,"")</f>
        <v>1.4015049561405419</v>
      </c>
      <c r="F167" s="21">
        <f>_xlfn.XLOOKUP(A167,'Prior Month'!A:A,'Prior Month'!I:I,"")</f>
        <v>0.1546617894175859</v>
      </c>
      <c r="G167" s="18">
        <f>_xlfn.XLOOKUP(A167,'Year end 2024'!A:A,'Year end 2024'!I:I,"")</f>
        <v>0.38717384000000005</v>
      </c>
      <c r="H167" s="19">
        <f>_xlfn.XLOOKUP(A167,'Current Month'!A:A,'Current Month'!E:E,0,0)</f>
        <v>958400.3</v>
      </c>
      <c r="I167" s="32">
        <f>_xlfn.XLOOKUP(A167,'Prior Month'!A:A,'Prior Month'!E:E,0,0)</f>
        <v>105920.21</v>
      </c>
      <c r="J167" s="32">
        <f>_xlfn.XLOOKUP(A167,'Year end 2024'!A:A,'Year end 2024'!E:E,0,0)</f>
        <v>96793.46</v>
      </c>
      <c r="K167" s="14">
        <f t="shared" si="4"/>
        <v>852480.09000000008</v>
      </c>
      <c r="L167" s="14">
        <f t="shared" si="5"/>
        <v>861606.84000000008</v>
      </c>
    </row>
    <row r="168" spans="1:12" ht="35.15" customHeight="1" x14ac:dyDescent="0.4">
      <c r="A168" s="11" t="s">
        <v>382</v>
      </c>
      <c r="B168" s="11" t="s">
        <v>383</v>
      </c>
      <c r="C168" s="11" t="s">
        <v>385</v>
      </c>
      <c r="D168" s="11" t="s">
        <v>384</v>
      </c>
      <c r="E168" s="18" t="str">
        <f>_xlfn.XLOOKUP(A168,'Current Month'!A:A,'Current Month'!I:I,"")</f>
        <v/>
      </c>
      <c r="F168" s="21" t="str">
        <f>_xlfn.XLOOKUP(A168,'Prior Month'!A:A,'Prior Month'!I:I,"")</f>
        <v/>
      </c>
      <c r="G168" s="18" t="str">
        <f>_xlfn.XLOOKUP(A168,'Year end 2024'!A:A,'Year end 2024'!I:I,"")</f>
        <v/>
      </c>
      <c r="H168" s="19">
        <f>_xlfn.XLOOKUP(A168,'Current Month'!A:A,'Current Month'!E:E,0,0)</f>
        <v>49.7</v>
      </c>
      <c r="I168" s="32">
        <f>_xlfn.XLOOKUP(A168,'Prior Month'!A:A,'Prior Month'!E:E,0,0)</f>
        <v>59.7</v>
      </c>
      <c r="J168" s="32">
        <f>_xlfn.XLOOKUP(A168,'Year end 2024'!A:A,'Year end 2024'!E:E,0,0)</f>
        <v>2096.4</v>
      </c>
      <c r="K168" s="14">
        <f t="shared" si="4"/>
        <v>-10</v>
      </c>
      <c r="L168" s="14">
        <f t="shared" si="5"/>
        <v>-2046.7</v>
      </c>
    </row>
    <row r="169" spans="1:12" ht="35.15" customHeight="1" x14ac:dyDescent="0.4">
      <c r="A169" s="11" t="s">
        <v>386</v>
      </c>
      <c r="B169" s="11" t="s">
        <v>387</v>
      </c>
      <c r="C169" s="11" t="s">
        <v>33</v>
      </c>
      <c r="D169" s="11" t="s">
        <v>32</v>
      </c>
      <c r="E169" s="18" t="str">
        <f>_xlfn.XLOOKUP(A169,'Current Month'!A:A,'Current Month'!I:I,"")</f>
        <v/>
      </c>
      <c r="F169" s="21" t="str">
        <f>_xlfn.XLOOKUP(A169,'Prior Month'!A:A,'Prior Month'!I:I,"")</f>
        <v/>
      </c>
      <c r="G169" s="18" t="str">
        <f>_xlfn.XLOOKUP(A169,'Year end 2024'!A:A,'Year end 2024'!I:I,"")</f>
        <v/>
      </c>
      <c r="H169" s="19">
        <f>_xlfn.XLOOKUP(A169,'Current Month'!A:A,'Current Month'!E:E,0,0)</f>
        <v>47337.69</v>
      </c>
      <c r="I169" s="32">
        <f>_xlfn.XLOOKUP(A169,'Prior Month'!A:A,'Prior Month'!E:E,0,0)</f>
        <v>47337.69</v>
      </c>
      <c r="J169" s="32">
        <f>_xlfn.XLOOKUP(A169,'Year end 2024'!A:A,'Year end 2024'!E:E,0,0)</f>
        <v>28190.29</v>
      </c>
      <c r="K169" s="14">
        <f t="shared" si="4"/>
        <v>0</v>
      </c>
      <c r="L169" s="14">
        <f t="shared" si="5"/>
        <v>19147.400000000001</v>
      </c>
    </row>
    <row r="170" spans="1:12" ht="35.15" customHeight="1" x14ac:dyDescent="0.4">
      <c r="A170" s="11" t="s">
        <v>388</v>
      </c>
      <c r="B170" s="11" t="s">
        <v>389</v>
      </c>
      <c r="C170" s="11" t="s">
        <v>19</v>
      </c>
      <c r="D170" s="11" t="s">
        <v>18</v>
      </c>
      <c r="E170" s="18" t="str">
        <f>_xlfn.XLOOKUP(A170,'Current Month'!A:A,'Current Month'!I:I,"")</f>
        <v/>
      </c>
      <c r="F170" s="21" t="str">
        <f>_xlfn.XLOOKUP(A170,'Prior Month'!A:A,'Prior Month'!I:I,"")</f>
        <v/>
      </c>
      <c r="G170" s="18" t="str">
        <f>_xlfn.XLOOKUP(A170,'Year end 2024'!A:A,'Year end 2024'!I:I,"")</f>
        <v/>
      </c>
      <c r="H170" s="19">
        <f>_xlfn.XLOOKUP(A170,'Current Month'!A:A,'Current Month'!E:E,0,0)</f>
        <v>23239.73</v>
      </c>
      <c r="I170" s="32">
        <f>_xlfn.XLOOKUP(A170,'Prior Month'!A:A,'Prior Month'!E:E,0,0)</f>
        <v>40384.01</v>
      </c>
      <c r="J170" s="32">
        <f>_xlfn.XLOOKUP(A170,'Year end 2024'!A:A,'Year end 2024'!E:E,0,0)</f>
        <v>18540.22</v>
      </c>
      <c r="K170" s="14">
        <f t="shared" si="4"/>
        <v>-17144.280000000002</v>
      </c>
      <c r="L170" s="14">
        <f t="shared" si="5"/>
        <v>4699.5099999999984</v>
      </c>
    </row>
    <row r="171" spans="1:12" ht="35.15" customHeight="1" x14ac:dyDescent="0.4">
      <c r="A171" s="11" t="s">
        <v>390</v>
      </c>
      <c r="B171" s="11" t="s">
        <v>391</v>
      </c>
      <c r="C171" s="11" t="s">
        <v>109</v>
      </c>
      <c r="D171" s="11" t="s">
        <v>108</v>
      </c>
      <c r="E171" s="18" t="str">
        <f>_xlfn.XLOOKUP(A171,'Current Month'!A:A,'Current Month'!I:I,"")</f>
        <v/>
      </c>
      <c r="F171" s="21" t="str">
        <f>_xlfn.XLOOKUP(A171,'Prior Month'!A:A,'Prior Month'!I:I,"")</f>
        <v/>
      </c>
      <c r="G171" s="18" t="str">
        <f>_xlfn.XLOOKUP(A171,'Year end 2024'!A:A,'Year end 2024'!I:I,"")</f>
        <v/>
      </c>
      <c r="H171" s="19">
        <f>_xlfn.XLOOKUP(A171,'Current Month'!A:A,'Current Month'!E:E,0,0)</f>
        <v>51565.919999999998</v>
      </c>
      <c r="I171" s="32">
        <f>_xlfn.XLOOKUP(A171,'Prior Month'!A:A,'Prior Month'!E:E,0,0)</f>
        <v>46624.41</v>
      </c>
      <c r="J171" s="32">
        <f>_xlfn.XLOOKUP(A171,'Year end 2024'!A:A,'Year end 2024'!E:E,0,0)</f>
        <v>49198.32</v>
      </c>
      <c r="K171" s="14">
        <f t="shared" si="4"/>
        <v>4941.5099999999948</v>
      </c>
      <c r="L171" s="14">
        <f t="shared" si="5"/>
        <v>2367.5999999999985</v>
      </c>
    </row>
    <row r="172" spans="1:12" ht="35.15" customHeight="1" x14ac:dyDescent="0.4">
      <c r="A172" s="11" t="s">
        <v>392</v>
      </c>
      <c r="B172" s="11" t="s">
        <v>393</v>
      </c>
      <c r="C172" s="11" t="s">
        <v>15</v>
      </c>
      <c r="D172" s="11" t="s">
        <v>14</v>
      </c>
      <c r="E172" s="18">
        <f>_xlfn.XLOOKUP(A172,'Current Month'!A:A,'Current Month'!I:I,"")</f>
        <v>8.4215059999999994E-2</v>
      </c>
      <c r="F172" s="21">
        <f>_xlfn.XLOOKUP(A172,'Prior Month'!A:A,'Prior Month'!I:I,"")</f>
        <v>0.29596608000000002</v>
      </c>
      <c r="G172" s="18">
        <f>_xlfn.XLOOKUP(A172,'Year end 2024'!A:A,'Year end 2024'!I:I,"")</f>
        <v>0.15996764000000002</v>
      </c>
      <c r="H172" s="19">
        <f>_xlfn.XLOOKUP(A172,'Current Month'!A:A,'Current Month'!E:E,0,0)</f>
        <v>42107.53</v>
      </c>
      <c r="I172" s="32">
        <f>_xlfn.XLOOKUP(A172,'Prior Month'!A:A,'Prior Month'!E:E,0,0)</f>
        <v>147983.04000000001</v>
      </c>
      <c r="J172" s="32">
        <f>_xlfn.XLOOKUP(A172,'Year end 2024'!A:A,'Year end 2024'!E:E,0,0)</f>
        <v>79983.820000000007</v>
      </c>
      <c r="K172" s="14">
        <f t="shared" si="4"/>
        <v>-105875.51000000001</v>
      </c>
      <c r="L172" s="14">
        <f t="shared" si="5"/>
        <v>-37876.290000000008</v>
      </c>
    </row>
    <row r="173" spans="1:12" ht="35.15" customHeight="1" x14ac:dyDescent="0.4">
      <c r="A173" s="11" t="s">
        <v>394</v>
      </c>
      <c r="B173" s="11" t="s">
        <v>395</v>
      </c>
      <c r="C173" s="11" t="s">
        <v>57</v>
      </c>
      <c r="D173" s="11" t="s">
        <v>56</v>
      </c>
      <c r="E173" s="18" t="str">
        <f>_xlfn.XLOOKUP(A173,'Current Month'!A:A,'Current Month'!I:I,"")</f>
        <v/>
      </c>
      <c r="F173" s="21" t="str">
        <f>_xlfn.XLOOKUP(A173,'Prior Month'!A:A,'Prior Month'!I:I,"")</f>
        <v/>
      </c>
      <c r="G173" s="18" t="str">
        <f>_xlfn.XLOOKUP(A173,'Year end 2024'!A:A,'Year end 2024'!I:I,"")</f>
        <v/>
      </c>
      <c r="H173" s="19">
        <f>_xlfn.XLOOKUP(A173,'Current Month'!A:A,'Current Month'!E:E,0,0)</f>
        <v>2365.35</v>
      </c>
      <c r="I173" s="32">
        <f>_xlfn.XLOOKUP(A173,'Prior Month'!A:A,'Prior Month'!E:E,0,0)</f>
        <v>365.35</v>
      </c>
      <c r="J173" s="32">
        <f>_xlfn.XLOOKUP(A173,'Year end 2024'!A:A,'Year end 2024'!E:E,0,0)</f>
        <v>16178.74</v>
      </c>
      <c r="K173" s="14">
        <f t="shared" si="4"/>
        <v>2000</v>
      </c>
      <c r="L173" s="14">
        <f t="shared" si="5"/>
        <v>-13813.39</v>
      </c>
    </row>
    <row r="174" spans="1:12" ht="35.15" customHeight="1" x14ac:dyDescent="0.4">
      <c r="A174" s="11" t="s">
        <v>396</v>
      </c>
      <c r="B174" s="11" t="s">
        <v>397</v>
      </c>
      <c r="C174" s="11" t="s">
        <v>77</v>
      </c>
      <c r="D174" s="11" t="s">
        <v>76</v>
      </c>
      <c r="E174" s="18" t="str">
        <f>_xlfn.XLOOKUP(A174,'Current Month'!A:A,'Current Month'!I:I,"")</f>
        <v/>
      </c>
      <c r="F174" s="21" t="str">
        <f>_xlfn.XLOOKUP(A174,'Prior Month'!A:A,'Prior Month'!I:I,"")</f>
        <v/>
      </c>
      <c r="G174" s="18" t="str">
        <f>_xlfn.XLOOKUP(A174,'Year end 2024'!A:A,'Year end 2024'!I:I,"")</f>
        <v/>
      </c>
      <c r="H174" s="19">
        <f>_xlfn.XLOOKUP(A174,'Current Month'!A:A,'Current Month'!E:E,0,0)</f>
        <v>109876.21</v>
      </c>
      <c r="I174" s="32">
        <f>_xlfn.XLOOKUP(A174,'Prior Month'!A:A,'Prior Month'!E:E,0,0)</f>
        <v>124143.59</v>
      </c>
      <c r="J174" s="32">
        <f>_xlfn.XLOOKUP(A174,'Year end 2024'!A:A,'Year end 2024'!E:E,0,0)</f>
        <v>103206.2</v>
      </c>
      <c r="K174" s="14">
        <f t="shared" si="4"/>
        <v>-14267.37999999999</v>
      </c>
      <c r="L174" s="14">
        <f t="shared" si="5"/>
        <v>6670.0100000000093</v>
      </c>
    </row>
    <row r="175" spans="1:12" ht="35.15" customHeight="1" x14ac:dyDescent="0.4">
      <c r="A175" s="11" t="s">
        <v>398</v>
      </c>
      <c r="B175" s="11" t="s">
        <v>399</v>
      </c>
      <c r="C175" s="11" t="s">
        <v>19</v>
      </c>
      <c r="D175" s="11" t="s">
        <v>18</v>
      </c>
      <c r="E175" s="18" t="str">
        <f>_xlfn.XLOOKUP(A175,'Current Month'!A:A,'Current Month'!I:I,"")</f>
        <v/>
      </c>
      <c r="F175" s="21" t="str">
        <f>_xlfn.XLOOKUP(A175,'Prior Month'!A:A,'Prior Month'!I:I,"")</f>
        <v/>
      </c>
      <c r="G175" s="18" t="str">
        <f>_xlfn.XLOOKUP(A175,'Year end 2024'!A:A,'Year end 2024'!I:I,"")</f>
        <v/>
      </c>
      <c r="H175" s="19">
        <f>_xlfn.XLOOKUP(A175,'Current Month'!A:A,'Current Month'!E:E,0,0)</f>
        <v>126596.69</v>
      </c>
      <c r="I175" s="32">
        <f>_xlfn.XLOOKUP(A175,'Prior Month'!A:A,'Prior Month'!E:E,0,0)</f>
        <v>165774.88</v>
      </c>
      <c r="J175" s="32">
        <f>_xlfn.XLOOKUP(A175,'Year end 2024'!A:A,'Year end 2024'!E:E,0,0)</f>
        <v>147540.56</v>
      </c>
      <c r="K175" s="14">
        <f t="shared" si="4"/>
        <v>-39178.19</v>
      </c>
      <c r="L175" s="14">
        <f t="shared" si="5"/>
        <v>-20943.869999999995</v>
      </c>
    </row>
    <row r="176" spans="1:12" ht="35.15" customHeight="1" x14ac:dyDescent="0.4">
      <c r="A176" s="11" t="s">
        <v>400</v>
      </c>
      <c r="B176" s="11" t="s">
        <v>401</v>
      </c>
      <c r="C176" s="11" t="s">
        <v>101</v>
      </c>
      <c r="D176" s="11" t="s">
        <v>100</v>
      </c>
      <c r="E176" s="18">
        <f>_xlfn.XLOOKUP(A176,'Current Month'!A:A,'Current Month'!I:I,"")</f>
        <v>0</v>
      </c>
      <c r="F176" s="21">
        <f>_xlfn.XLOOKUP(A176,'Prior Month'!A:A,'Prior Month'!I:I,"")</f>
        <v>0</v>
      </c>
      <c r="G176" s="18">
        <f>_xlfn.XLOOKUP(A176,'Year end 2024'!A:A,'Year end 2024'!I:I,"")</f>
        <v>0</v>
      </c>
      <c r="H176" s="19">
        <f>_xlfn.XLOOKUP(A176,'Current Month'!A:A,'Current Month'!E:E,0,0)</f>
        <v>0</v>
      </c>
      <c r="I176" s="32">
        <f>_xlfn.XLOOKUP(A176,'Prior Month'!A:A,'Prior Month'!E:E,0,0)</f>
        <v>0</v>
      </c>
      <c r="J176" s="32">
        <f>_xlfn.XLOOKUP(A176,'Year end 2024'!A:A,'Year end 2024'!E:E,0,0)</f>
        <v>0</v>
      </c>
      <c r="K176" s="14">
        <f t="shared" si="4"/>
        <v>0</v>
      </c>
      <c r="L176" s="14">
        <f t="shared" si="5"/>
        <v>0</v>
      </c>
    </row>
    <row r="177" spans="1:12" ht="35.15" customHeight="1" x14ac:dyDescent="0.4">
      <c r="A177" s="11" t="s">
        <v>402</v>
      </c>
      <c r="B177" s="11" t="s">
        <v>403</v>
      </c>
      <c r="C177" s="11" t="s">
        <v>405</v>
      </c>
      <c r="D177" s="11" t="s">
        <v>404</v>
      </c>
      <c r="E177" s="18" t="str">
        <f>_xlfn.XLOOKUP(A177,'Current Month'!A:A,'Current Month'!I:I,"")</f>
        <v/>
      </c>
      <c r="F177" s="21" t="str">
        <f>_xlfn.XLOOKUP(A177,'Prior Month'!A:A,'Prior Month'!I:I,"")</f>
        <v/>
      </c>
      <c r="G177" s="18" t="str">
        <f>_xlfn.XLOOKUP(A177,'Year end 2024'!A:A,'Year end 2024'!I:I,"")</f>
        <v/>
      </c>
      <c r="H177" s="19">
        <f>_xlfn.XLOOKUP(A177,'Current Month'!A:A,'Current Month'!E:E,0,0)</f>
        <v>0</v>
      </c>
      <c r="I177" s="32">
        <f>_xlfn.XLOOKUP(A177,'Prior Month'!A:A,'Prior Month'!E:E,0,0)</f>
        <v>0</v>
      </c>
      <c r="J177" s="32">
        <f>_xlfn.XLOOKUP(A177,'Year end 2024'!A:A,'Year end 2024'!E:E,0,0)</f>
        <v>0</v>
      </c>
      <c r="K177" s="14">
        <f t="shared" si="4"/>
        <v>0</v>
      </c>
      <c r="L177" s="14">
        <f t="shared" si="5"/>
        <v>0</v>
      </c>
    </row>
    <row r="178" spans="1:12" ht="35.15" customHeight="1" x14ac:dyDescent="0.4">
      <c r="A178" s="11" t="s">
        <v>406</v>
      </c>
      <c r="B178" s="11" t="s">
        <v>407</v>
      </c>
      <c r="C178" s="11" t="s">
        <v>29</v>
      </c>
      <c r="D178" s="11" t="s">
        <v>28</v>
      </c>
      <c r="E178" s="18">
        <f>_xlfn.XLOOKUP(A178,'Current Month'!A:A,'Current Month'!I:I,"")</f>
        <v>7.0508000000000007E-4</v>
      </c>
      <c r="F178" s="21">
        <f>_xlfn.XLOOKUP(A178,'Prior Month'!A:A,'Prior Month'!I:I,"")</f>
        <v>7.2503999999999993E-4</v>
      </c>
      <c r="G178" s="18">
        <f>_xlfn.XLOOKUP(A178,'Year end 2024'!A:A,'Year end 2024'!I:I,"")</f>
        <v>1.6040399999999999E-3</v>
      </c>
      <c r="H178" s="19">
        <f>_xlfn.XLOOKUP(A178,'Current Month'!A:A,'Current Month'!E:E,0,0)</f>
        <v>176.27</v>
      </c>
      <c r="I178" s="32">
        <f>_xlfn.XLOOKUP(A178,'Prior Month'!A:A,'Prior Month'!E:E,0,0)</f>
        <v>181.26</v>
      </c>
      <c r="J178" s="32">
        <f>_xlfn.XLOOKUP(A178,'Year end 2024'!A:A,'Year end 2024'!E:E,0,0)</f>
        <v>401.01</v>
      </c>
      <c r="K178" s="14">
        <f t="shared" si="4"/>
        <v>-4.9899999999999807</v>
      </c>
      <c r="L178" s="14">
        <f t="shared" si="5"/>
        <v>-224.73999999999998</v>
      </c>
    </row>
    <row r="179" spans="1:12" ht="35.15" customHeight="1" x14ac:dyDescent="0.4">
      <c r="A179" s="11" t="s">
        <v>408</v>
      </c>
      <c r="B179" s="11" t="s">
        <v>409</v>
      </c>
      <c r="C179" s="11" t="s">
        <v>51</v>
      </c>
      <c r="D179" s="11" t="s">
        <v>50</v>
      </c>
      <c r="E179" s="18" t="str">
        <f>_xlfn.XLOOKUP(A179,'Current Month'!A:A,'Current Month'!I:I,"")</f>
        <v/>
      </c>
      <c r="F179" s="21" t="str">
        <f>_xlfn.XLOOKUP(A179,'Prior Month'!A:A,'Prior Month'!I:I,"")</f>
        <v/>
      </c>
      <c r="G179" s="18" t="str">
        <f>_xlfn.XLOOKUP(A179,'Year end 2024'!A:A,'Year end 2024'!I:I,"")</f>
        <v/>
      </c>
      <c r="H179" s="19">
        <f>_xlfn.XLOOKUP(A179,'Current Month'!A:A,'Current Month'!E:E,0,0)</f>
        <v>501.59</v>
      </c>
      <c r="I179" s="32">
        <f>_xlfn.XLOOKUP(A179,'Prior Month'!A:A,'Prior Month'!E:E,0,0)</f>
        <v>1582.4</v>
      </c>
      <c r="J179" s="32">
        <f>_xlfn.XLOOKUP(A179,'Year end 2024'!A:A,'Year end 2024'!E:E,0,0)</f>
        <v>215.85</v>
      </c>
      <c r="K179" s="14">
        <f t="shared" si="4"/>
        <v>-1080.8100000000002</v>
      </c>
      <c r="L179" s="14">
        <f t="shared" si="5"/>
        <v>285.74</v>
      </c>
    </row>
    <row r="180" spans="1:12" ht="35.15" customHeight="1" x14ac:dyDescent="0.4">
      <c r="A180" s="11" t="s">
        <v>410</v>
      </c>
      <c r="B180" s="11" t="s">
        <v>411</v>
      </c>
      <c r="C180" s="11" t="s">
        <v>51</v>
      </c>
      <c r="D180" s="11" t="s">
        <v>50</v>
      </c>
      <c r="E180" s="18" t="str">
        <f>_xlfn.XLOOKUP(A180,'Current Month'!A:A,'Current Month'!I:I,"")</f>
        <v/>
      </c>
      <c r="F180" s="21" t="str">
        <f>_xlfn.XLOOKUP(A180,'Prior Month'!A:A,'Prior Month'!I:I,"")</f>
        <v/>
      </c>
      <c r="G180" s="18" t="str">
        <f>_xlfn.XLOOKUP(A180,'Year end 2024'!A:A,'Year end 2024'!I:I,"")</f>
        <v/>
      </c>
      <c r="H180" s="19">
        <f>_xlfn.XLOOKUP(A180,'Current Month'!A:A,'Current Month'!E:E,0,0)</f>
        <v>50837.06</v>
      </c>
      <c r="I180" s="32">
        <f>_xlfn.XLOOKUP(A180,'Prior Month'!A:A,'Prior Month'!E:E,0,0)</f>
        <v>52216.1</v>
      </c>
      <c r="J180" s="32">
        <f>_xlfn.XLOOKUP(A180,'Year end 2024'!A:A,'Year end 2024'!E:E,0,0)</f>
        <v>103466.47</v>
      </c>
      <c r="K180" s="14">
        <f t="shared" si="4"/>
        <v>-1379.0400000000009</v>
      </c>
      <c r="L180" s="14">
        <f t="shared" si="5"/>
        <v>-52629.41</v>
      </c>
    </row>
    <row r="181" spans="1:12" ht="35.15" customHeight="1" x14ac:dyDescent="0.4">
      <c r="A181" s="11" t="s">
        <v>412</v>
      </c>
      <c r="B181" s="11" t="s">
        <v>413</v>
      </c>
      <c r="C181" s="11" t="s">
        <v>67</v>
      </c>
      <c r="D181" s="11" t="s">
        <v>66</v>
      </c>
      <c r="E181" s="18" t="str">
        <f>_xlfn.XLOOKUP(A181,'Current Month'!A:A,'Current Month'!I:I,"")</f>
        <v/>
      </c>
      <c r="F181" s="21" t="str">
        <f>_xlfn.XLOOKUP(A181,'Prior Month'!A:A,'Prior Month'!I:I,"")</f>
        <v/>
      </c>
      <c r="G181" s="18" t="str">
        <f>_xlfn.XLOOKUP(A181,'Year end 2024'!A:A,'Year end 2024'!I:I,"")</f>
        <v/>
      </c>
      <c r="H181" s="19">
        <f>_xlfn.XLOOKUP(A181,'Current Month'!A:A,'Current Month'!E:E,0,0)</f>
        <v>26851.3</v>
      </c>
      <c r="I181" s="32">
        <f>_xlfn.XLOOKUP(A181,'Prior Month'!A:A,'Prior Month'!E:E,0,0)</f>
        <v>25467.09</v>
      </c>
      <c r="J181" s="32">
        <f>_xlfn.XLOOKUP(A181,'Year end 2024'!A:A,'Year end 2024'!E:E,0,0)</f>
        <v>23561.05</v>
      </c>
      <c r="K181" s="14">
        <f t="shared" si="4"/>
        <v>1384.2099999999991</v>
      </c>
      <c r="L181" s="14">
        <f t="shared" si="5"/>
        <v>3290.25</v>
      </c>
    </row>
    <row r="182" spans="1:12" ht="35.15" customHeight="1" x14ac:dyDescent="0.4">
      <c r="A182" s="11" t="s">
        <v>414</v>
      </c>
      <c r="B182" s="11" t="s">
        <v>415</v>
      </c>
      <c r="C182" s="11" t="s">
        <v>19</v>
      </c>
      <c r="D182" s="11" t="s">
        <v>18</v>
      </c>
      <c r="E182" s="18" t="str">
        <f>_xlfn.XLOOKUP(A182,'Current Month'!A:A,'Current Month'!I:I,"")</f>
        <v/>
      </c>
      <c r="F182" s="21" t="str">
        <f>_xlfn.XLOOKUP(A182,'Prior Month'!A:A,'Prior Month'!I:I,"")</f>
        <v/>
      </c>
      <c r="G182" s="18" t="str">
        <f>_xlfn.XLOOKUP(A182,'Year end 2024'!A:A,'Year end 2024'!I:I,"")</f>
        <v/>
      </c>
      <c r="H182" s="19">
        <f>_xlfn.XLOOKUP(A182,'Current Month'!A:A,'Current Month'!E:E,0,0)</f>
        <v>15437.03</v>
      </c>
      <c r="I182" s="32">
        <f>_xlfn.XLOOKUP(A182,'Prior Month'!A:A,'Prior Month'!E:E,0,0)</f>
        <v>8881.94</v>
      </c>
      <c r="J182" s="32">
        <f>_xlfn.XLOOKUP(A182,'Year end 2024'!A:A,'Year end 2024'!E:E,0,0)</f>
        <v>9125.17</v>
      </c>
      <c r="K182" s="14">
        <f t="shared" si="4"/>
        <v>6555.09</v>
      </c>
      <c r="L182" s="14">
        <f t="shared" si="5"/>
        <v>6311.8600000000006</v>
      </c>
    </row>
    <row r="183" spans="1:12" ht="35.15" customHeight="1" x14ac:dyDescent="0.4">
      <c r="A183" s="11" t="s">
        <v>416</v>
      </c>
      <c r="B183" s="11" t="s">
        <v>417</v>
      </c>
      <c r="C183" s="11" t="s">
        <v>51</v>
      </c>
      <c r="D183" s="11" t="s">
        <v>50</v>
      </c>
      <c r="E183" s="18">
        <f>_xlfn.XLOOKUP(A183,'Current Month'!A:A,'Current Month'!I:I,"")</f>
        <v>98.537300000000002</v>
      </c>
      <c r="F183" s="21">
        <f>_xlfn.XLOOKUP(A183,'Prior Month'!A:A,'Prior Month'!I:I,"")</f>
        <v>98.091999999999999</v>
      </c>
      <c r="G183" s="18">
        <f>_xlfn.XLOOKUP(A183,'Year end 2024'!A:A,'Year end 2024'!I:I,"")</f>
        <v>109.58074000000001</v>
      </c>
      <c r="H183" s="19">
        <f>_xlfn.XLOOKUP(A183,'Current Month'!A:A,'Current Month'!E:E,0,0)</f>
        <v>49268.65</v>
      </c>
      <c r="I183" s="32">
        <f>_xlfn.XLOOKUP(A183,'Prior Month'!A:A,'Prior Month'!E:E,0,0)</f>
        <v>49046</v>
      </c>
      <c r="J183" s="32">
        <f>_xlfn.XLOOKUP(A183,'Year end 2024'!A:A,'Year end 2024'!E:E,0,0)</f>
        <v>54790.37</v>
      </c>
      <c r="K183" s="14">
        <f t="shared" si="4"/>
        <v>222.65000000000146</v>
      </c>
      <c r="L183" s="14">
        <f t="shared" si="5"/>
        <v>-5521.7200000000012</v>
      </c>
    </row>
    <row r="184" spans="1:12" ht="35.15" customHeight="1" x14ac:dyDescent="0.4">
      <c r="A184" s="11" t="s">
        <v>418</v>
      </c>
      <c r="B184" s="11" t="s">
        <v>419</v>
      </c>
      <c r="C184" s="11" t="s">
        <v>19</v>
      </c>
      <c r="D184" s="11" t="s">
        <v>18</v>
      </c>
      <c r="E184" s="18" t="str">
        <f>_xlfn.XLOOKUP(A184,'Current Month'!A:A,'Current Month'!I:I,"")</f>
        <v/>
      </c>
      <c r="F184" s="21" t="str">
        <f>_xlfn.XLOOKUP(A184,'Prior Month'!A:A,'Prior Month'!I:I,"")</f>
        <v/>
      </c>
      <c r="G184" s="18" t="str">
        <f>_xlfn.XLOOKUP(A184,'Year end 2024'!A:A,'Year end 2024'!I:I,"")</f>
        <v/>
      </c>
      <c r="H184" s="19">
        <f>_xlfn.XLOOKUP(A184,'Current Month'!A:A,'Current Month'!E:E,0,0)</f>
        <v>237.71</v>
      </c>
      <c r="I184" s="32">
        <f>_xlfn.XLOOKUP(A184,'Prior Month'!A:A,'Prior Month'!E:E,0,0)</f>
        <v>323.57</v>
      </c>
      <c r="J184" s="32">
        <f>_xlfn.XLOOKUP(A184,'Year end 2024'!A:A,'Year end 2024'!E:E,0,0)</f>
        <v>214.83</v>
      </c>
      <c r="K184" s="14">
        <f t="shared" si="4"/>
        <v>-85.859999999999985</v>
      </c>
      <c r="L184" s="14">
        <f t="shared" si="5"/>
        <v>22.879999999999995</v>
      </c>
    </row>
    <row r="185" spans="1:12" ht="35.15" customHeight="1" x14ac:dyDescent="0.4">
      <c r="A185" s="11" t="s">
        <v>420</v>
      </c>
      <c r="B185" s="11" t="s">
        <v>421</v>
      </c>
      <c r="C185" s="11" t="s">
        <v>109</v>
      </c>
      <c r="D185" s="11" t="s">
        <v>108</v>
      </c>
      <c r="E185" s="18" t="str">
        <f>_xlfn.XLOOKUP(A185,'Current Month'!A:A,'Current Month'!I:I,"")</f>
        <v/>
      </c>
      <c r="F185" s="21" t="str">
        <f>_xlfn.XLOOKUP(A185,'Prior Month'!A:A,'Prior Month'!I:I,"")</f>
        <v/>
      </c>
      <c r="G185" s="18" t="str">
        <f>_xlfn.XLOOKUP(A185,'Year end 2024'!A:A,'Year end 2024'!I:I,"")</f>
        <v/>
      </c>
      <c r="H185" s="19">
        <f>_xlfn.XLOOKUP(A185,'Current Month'!A:A,'Current Month'!E:E,0,0)</f>
        <v>10723.93</v>
      </c>
      <c r="I185" s="32">
        <f>_xlfn.XLOOKUP(A185,'Prior Month'!A:A,'Prior Month'!E:E,0,0)</f>
        <v>7882.74</v>
      </c>
      <c r="J185" s="32">
        <f>_xlfn.XLOOKUP(A185,'Year end 2024'!A:A,'Year end 2024'!E:E,0,0)</f>
        <v>1671.83</v>
      </c>
      <c r="K185" s="14">
        <f t="shared" si="4"/>
        <v>2841.1900000000005</v>
      </c>
      <c r="L185" s="14">
        <f t="shared" si="5"/>
        <v>9052.1</v>
      </c>
    </row>
    <row r="186" spans="1:12" ht="35.15" customHeight="1" x14ac:dyDescent="0.4">
      <c r="A186" s="11" t="s">
        <v>422</v>
      </c>
      <c r="B186" s="11" t="s">
        <v>423</v>
      </c>
      <c r="C186" s="11" t="s">
        <v>101</v>
      </c>
      <c r="D186" s="11" t="s">
        <v>100</v>
      </c>
      <c r="E186" s="18">
        <f>_xlfn.XLOOKUP(A186,'Current Month'!A:A,'Current Month'!I:I,"")</f>
        <v>0.72901564467143121</v>
      </c>
      <c r="F186" s="21">
        <f>_xlfn.XLOOKUP(A186,'Prior Month'!A:A,'Prior Month'!I:I,"")</f>
        <v>0.79307967221843012</v>
      </c>
      <c r="G186" s="18">
        <f>_xlfn.XLOOKUP(A186,'Year end 2024'!A:A,'Year end 2024'!I:I,"")</f>
        <v>1.0204276595744681</v>
      </c>
      <c r="H186" s="19">
        <f>_xlfn.XLOOKUP(A186,'Current Month'!A:A,'Current Month'!E:E,0,0)</f>
        <v>700015.57</v>
      </c>
      <c r="I186" s="32">
        <f>_xlfn.XLOOKUP(A186,'Prior Month'!A:A,'Prior Month'!E:E,0,0)</f>
        <v>762477.44</v>
      </c>
      <c r="J186" s="32">
        <f>_xlfn.XLOOKUP(A186,'Year end 2024'!A:A,'Year end 2024'!E:E,0,0)</f>
        <v>479601</v>
      </c>
      <c r="K186" s="14">
        <f t="shared" si="4"/>
        <v>-62461.869999999995</v>
      </c>
      <c r="L186" s="14">
        <f t="shared" si="5"/>
        <v>220414.56999999995</v>
      </c>
    </row>
    <row r="187" spans="1:12" ht="35.15" customHeight="1" x14ac:dyDescent="0.4">
      <c r="A187" s="11" t="s">
        <v>424</v>
      </c>
      <c r="B187" s="11" t="s">
        <v>425</v>
      </c>
      <c r="C187" s="11" t="s">
        <v>51</v>
      </c>
      <c r="D187" s="11" t="s">
        <v>50</v>
      </c>
      <c r="E187" s="18">
        <f>_xlfn.XLOOKUP(A187,'Current Month'!A:A,'Current Month'!I:I,"")</f>
        <v>0.14751248</v>
      </c>
      <c r="F187" s="21">
        <f>_xlfn.XLOOKUP(A187,'Prior Month'!A:A,'Prior Month'!I:I,"")</f>
        <v>8.3093600000000004E-2</v>
      </c>
      <c r="G187" s="18">
        <f>_xlfn.XLOOKUP(A187,'Year end 2024'!A:A,'Year end 2024'!I:I,"")</f>
        <v>0.18067551999999998</v>
      </c>
      <c r="H187" s="19">
        <f>_xlfn.XLOOKUP(A187,'Current Month'!A:A,'Current Month'!E:E,0,0)</f>
        <v>18439.060000000001</v>
      </c>
      <c r="I187" s="32">
        <f>_xlfn.XLOOKUP(A187,'Prior Month'!A:A,'Prior Month'!E:E,0,0)</f>
        <v>10386.700000000001</v>
      </c>
      <c r="J187" s="32">
        <f>_xlfn.XLOOKUP(A187,'Year end 2024'!A:A,'Year end 2024'!E:E,0,0)</f>
        <v>22584.44</v>
      </c>
      <c r="K187" s="14">
        <f t="shared" si="4"/>
        <v>8052.3600000000006</v>
      </c>
      <c r="L187" s="14">
        <f t="shared" si="5"/>
        <v>-4145.3799999999974</v>
      </c>
    </row>
    <row r="188" spans="1:12" ht="35.15" customHeight="1" x14ac:dyDescent="0.4">
      <c r="A188" s="11" t="s">
        <v>426</v>
      </c>
      <c r="B188" s="11" t="s">
        <v>427</v>
      </c>
      <c r="C188" s="11" t="s">
        <v>19</v>
      </c>
      <c r="D188" s="11" t="s">
        <v>18</v>
      </c>
      <c r="E188" s="18">
        <f>_xlfn.XLOOKUP(A188,'Current Month'!A:A,'Current Month'!I:I,"")</f>
        <v>7.1823656430936804</v>
      </c>
      <c r="F188" s="21">
        <f>_xlfn.XLOOKUP(A188,'Prior Month'!A:A,'Prior Month'!I:I,"")</f>
        <v>6.659893284120999</v>
      </c>
      <c r="G188" s="18">
        <f>_xlfn.XLOOKUP(A188,'Year end 2024'!A:A,'Year end 2024'!I:I,"")</f>
        <v>3.7202519317524048</v>
      </c>
      <c r="H188" s="19">
        <f>_xlfn.XLOOKUP(A188,'Current Month'!A:A,'Current Month'!E:E,0,0)</f>
        <v>34659.08</v>
      </c>
      <c r="I188" s="32">
        <f>_xlfn.XLOOKUP(A188,'Prior Month'!A:A,'Prior Month'!E:E,0,0)</f>
        <v>33200.9</v>
      </c>
      <c r="J188" s="32">
        <f>_xlfn.XLOOKUP(A188,'Year end 2024'!A:A,'Year end 2024'!E:E,0,0)</f>
        <v>24294.51</v>
      </c>
      <c r="K188" s="14">
        <f t="shared" si="4"/>
        <v>1458.1800000000003</v>
      </c>
      <c r="L188" s="14">
        <f t="shared" si="5"/>
        <v>10364.570000000003</v>
      </c>
    </row>
    <row r="189" spans="1:12" ht="35.15" customHeight="1" x14ac:dyDescent="0.4">
      <c r="A189" s="11" t="s">
        <v>428</v>
      </c>
      <c r="B189" s="11" t="s">
        <v>429</v>
      </c>
      <c r="C189" s="11" t="s">
        <v>109</v>
      </c>
      <c r="D189" s="11" t="s">
        <v>108</v>
      </c>
      <c r="E189" s="18">
        <f>_xlfn.XLOOKUP(A189,'Current Month'!A:A,'Current Month'!I:I,"")</f>
        <v>4.6136160000000004</v>
      </c>
      <c r="F189" s="21">
        <f>_xlfn.XLOOKUP(A189,'Prior Month'!A:A,'Prior Month'!I:I,"")</f>
        <v>4.2754539999999999</v>
      </c>
      <c r="G189" s="18">
        <f>_xlfn.XLOOKUP(A189,'Year end 2024'!A:A,'Year end 2024'!I:I,"")</f>
        <v>3.5521480000000003</v>
      </c>
      <c r="H189" s="19">
        <f>_xlfn.XLOOKUP(A189,'Current Month'!A:A,'Current Month'!E:E,0,0)</f>
        <v>23068.080000000002</v>
      </c>
      <c r="I189" s="32">
        <f>_xlfn.XLOOKUP(A189,'Prior Month'!A:A,'Prior Month'!E:E,0,0)</f>
        <v>21377.27</v>
      </c>
      <c r="J189" s="32">
        <f>_xlfn.XLOOKUP(A189,'Year end 2024'!A:A,'Year end 2024'!E:E,0,0)</f>
        <v>17760.740000000002</v>
      </c>
      <c r="K189" s="14">
        <f t="shared" si="4"/>
        <v>1690.8100000000013</v>
      </c>
      <c r="L189" s="14">
        <f t="shared" si="5"/>
        <v>5307.34</v>
      </c>
    </row>
    <row r="190" spans="1:12" ht="35.15" customHeight="1" x14ac:dyDescent="0.4">
      <c r="A190" s="11" t="s">
        <v>430</v>
      </c>
      <c r="B190" s="11" t="s">
        <v>431</v>
      </c>
      <c r="C190" s="11" t="s">
        <v>51</v>
      </c>
      <c r="D190" s="11" t="s">
        <v>50</v>
      </c>
      <c r="E190" s="18" t="str">
        <f>_xlfn.XLOOKUP(A190,'Current Month'!A:A,'Current Month'!I:I,"")</f>
        <v/>
      </c>
      <c r="F190" s="21" t="str">
        <f>_xlfn.XLOOKUP(A190,'Prior Month'!A:A,'Prior Month'!I:I,"")</f>
        <v/>
      </c>
      <c r="G190" s="18" t="str">
        <f>_xlfn.XLOOKUP(A190,'Year end 2024'!A:A,'Year end 2024'!I:I,"")</f>
        <v/>
      </c>
      <c r="H190" s="19">
        <f>_xlfn.XLOOKUP(A190,'Current Month'!A:A,'Current Month'!E:E,0,0)</f>
        <v>160826.96</v>
      </c>
      <c r="I190" s="32">
        <f>_xlfn.XLOOKUP(A190,'Prior Month'!A:A,'Prior Month'!E:E,0,0)</f>
        <v>160517.01999999999</v>
      </c>
      <c r="J190" s="32">
        <f>_xlfn.XLOOKUP(A190,'Year end 2024'!A:A,'Year end 2024'!E:E,0,0)</f>
        <v>157161.53</v>
      </c>
      <c r="K190" s="14">
        <f t="shared" si="4"/>
        <v>309.94000000000233</v>
      </c>
      <c r="L190" s="14">
        <f t="shared" si="5"/>
        <v>3665.429999999993</v>
      </c>
    </row>
    <row r="191" spans="1:12" ht="35.15" customHeight="1" x14ac:dyDescent="0.4">
      <c r="A191" s="11" t="s">
        <v>432</v>
      </c>
      <c r="B191" s="11" t="s">
        <v>433</v>
      </c>
      <c r="C191" s="11" t="s">
        <v>51</v>
      </c>
      <c r="D191" s="11" t="s">
        <v>50</v>
      </c>
      <c r="E191" s="18">
        <f>_xlfn.XLOOKUP(A191,'Current Month'!A:A,'Current Month'!I:I,"")</f>
        <v>212.68774999999999</v>
      </c>
      <c r="F191" s="21">
        <f>_xlfn.XLOOKUP(A191,'Prior Month'!A:A,'Prior Month'!I:I,"")</f>
        <v>278.54149000000001</v>
      </c>
      <c r="G191" s="18">
        <f>_xlfn.XLOOKUP(A191,'Year end 2024'!A:A,'Year end 2024'!I:I,"")</f>
        <v>278.85684999999995</v>
      </c>
      <c r="H191" s="19">
        <f>_xlfn.XLOOKUP(A191,'Current Month'!A:A,'Current Month'!E:E,0,0)</f>
        <v>212687.75</v>
      </c>
      <c r="I191" s="32">
        <f>_xlfn.XLOOKUP(A191,'Prior Month'!A:A,'Prior Month'!E:E,0,0)</f>
        <v>278541.49</v>
      </c>
      <c r="J191" s="32">
        <f>_xlfn.XLOOKUP(A191,'Year end 2024'!A:A,'Year end 2024'!E:E,0,0)</f>
        <v>278856.84999999998</v>
      </c>
      <c r="K191" s="14">
        <f t="shared" si="4"/>
        <v>-65853.739999999991</v>
      </c>
      <c r="L191" s="14">
        <f t="shared" si="5"/>
        <v>-66169.099999999977</v>
      </c>
    </row>
    <row r="192" spans="1:12" ht="35.15" customHeight="1" x14ac:dyDescent="0.4">
      <c r="A192" s="11" t="s">
        <v>434</v>
      </c>
      <c r="B192" s="11" t="s">
        <v>435</v>
      </c>
      <c r="C192" s="11" t="s">
        <v>109</v>
      </c>
      <c r="D192" s="11" t="s">
        <v>108</v>
      </c>
      <c r="E192" s="18" t="str">
        <f>_xlfn.XLOOKUP(A192,'Current Month'!A:A,'Current Month'!I:I,"")</f>
        <v/>
      </c>
      <c r="F192" s="21" t="str">
        <f>_xlfn.XLOOKUP(A192,'Prior Month'!A:A,'Prior Month'!I:I,"")</f>
        <v/>
      </c>
      <c r="G192" s="18" t="str">
        <f>_xlfn.XLOOKUP(A192,'Year end 2024'!A:A,'Year end 2024'!I:I,"")</f>
        <v/>
      </c>
      <c r="H192" s="19">
        <f>_xlfn.XLOOKUP(A192,'Current Month'!A:A,'Current Month'!E:E,0,0)</f>
        <v>1961.1</v>
      </c>
      <c r="I192" s="32">
        <f>_xlfn.XLOOKUP(A192,'Prior Month'!A:A,'Prior Month'!E:E,0,0)</f>
        <v>21902.02</v>
      </c>
      <c r="J192" s="32">
        <f>_xlfn.XLOOKUP(A192,'Year end 2024'!A:A,'Year end 2024'!E:E,0,0)</f>
        <v>1808.88</v>
      </c>
      <c r="K192" s="14">
        <f t="shared" si="4"/>
        <v>-19940.920000000002</v>
      </c>
      <c r="L192" s="14">
        <f t="shared" si="5"/>
        <v>152.2199999999998</v>
      </c>
    </row>
    <row r="193" spans="1:12" ht="35.15" customHeight="1" x14ac:dyDescent="0.4">
      <c r="A193" s="11" t="s">
        <v>436</v>
      </c>
      <c r="B193" s="11" t="s">
        <v>437</v>
      </c>
      <c r="C193" s="11" t="s">
        <v>67</v>
      </c>
      <c r="D193" s="11" t="s">
        <v>66</v>
      </c>
      <c r="E193" s="18" t="str">
        <f>_xlfn.XLOOKUP(A193,'Current Month'!A:A,'Current Month'!I:I,"")</f>
        <v/>
      </c>
      <c r="F193" s="21" t="str">
        <f>_xlfn.XLOOKUP(A193,'Prior Month'!A:A,'Prior Month'!I:I,"")</f>
        <v/>
      </c>
      <c r="G193" s="18" t="str">
        <f>_xlfn.XLOOKUP(A193,'Year end 2024'!A:A,'Year end 2024'!I:I,"")</f>
        <v/>
      </c>
      <c r="H193" s="19">
        <f>_xlfn.XLOOKUP(A193,'Current Month'!A:A,'Current Month'!E:E,0,0)</f>
        <v>196787.72</v>
      </c>
      <c r="I193" s="32">
        <f>_xlfn.XLOOKUP(A193,'Prior Month'!A:A,'Prior Month'!E:E,0,0)</f>
        <v>191814.35</v>
      </c>
      <c r="J193" s="32">
        <f>_xlfn.XLOOKUP(A193,'Year end 2024'!A:A,'Year end 2024'!E:E,0,0)</f>
        <v>185667.57</v>
      </c>
      <c r="K193" s="14">
        <f t="shared" ref="K193:K256" si="6">IFERROR(SUM(H193-I193),H193)</f>
        <v>4973.3699999999953</v>
      </c>
      <c r="L193" s="14">
        <f t="shared" ref="L193:L256" si="7">IFERROR(SUM(H193-J193),H193)</f>
        <v>11120.149999999994</v>
      </c>
    </row>
    <row r="194" spans="1:12" ht="35.15" customHeight="1" x14ac:dyDescent="0.4">
      <c r="A194" s="11" t="s">
        <v>438</v>
      </c>
      <c r="B194" s="11" t="s">
        <v>439</v>
      </c>
      <c r="C194" s="11" t="s">
        <v>15</v>
      </c>
      <c r="D194" s="11" t="s">
        <v>14</v>
      </c>
      <c r="E194" s="18" t="str">
        <f>_xlfn.XLOOKUP(A194,'Current Month'!A:A,'Current Month'!I:I,"")</f>
        <v/>
      </c>
      <c r="F194" s="21" t="str">
        <f>_xlfn.XLOOKUP(A194,'Prior Month'!A:A,'Prior Month'!I:I,"")</f>
        <v/>
      </c>
      <c r="G194" s="18" t="str">
        <f>_xlfn.XLOOKUP(A194,'Year end 2024'!A:A,'Year end 2024'!I:I,"")</f>
        <v/>
      </c>
      <c r="H194" s="19">
        <f>_xlfn.XLOOKUP(A194,'Current Month'!A:A,'Current Month'!E:E,0,0)</f>
        <v>1020</v>
      </c>
      <c r="I194" s="32">
        <f>_xlfn.XLOOKUP(A194,'Prior Month'!A:A,'Prior Month'!E:E,0,0)</f>
        <v>1025</v>
      </c>
      <c r="J194" s="32">
        <f>_xlfn.XLOOKUP(A194,'Year end 2024'!A:A,'Year end 2024'!E:E,0,0)</f>
        <v>990</v>
      </c>
      <c r="K194" s="14">
        <f t="shared" si="6"/>
        <v>-5</v>
      </c>
      <c r="L194" s="14">
        <f t="shared" si="7"/>
        <v>30</v>
      </c>
    </row>
    <row r="195" spans="1:12" ht="35.15" customHeight="1" x14ac:dyDescent="0.4">
      <c r="A195" s="11" t="s">
        <v>440</v>
      </c>
      <c r="B195" s="11" t="s">
        <v>441</v>
      </c>
      <c r="C195" s="11" t="s">
        <v>11</v>
      </c>
      <c r="D195" s="11" t="s">
        <v>10</v>
      </c>
      <c r="E195" s="18">
        <f>_xlfn.XLOOKUP(A195,'Current Month'!A:A,'Current Month'!I:I,"")</f>
        <v>7.9309742570439476E-2</v>
      </c>
      <c r="F195" s="21">
        <f>_xlfn.XLOOKUP(A195,'Prior Month'!A:A,'Prior Month'!I:I,"")</f>
        <v>7.2215412183733202E-2</v>
      </c>
      <c r="G195" s="18">
        <f>_xlfn.XLOOKUP(A195,'Year end 2024'!A:A,'Year end 2024'!I:I,"")</f>
        <v>0.16506809027777777</v>
      </c>
      <c r="H195" s="19">
        <f>_xlfn.XLOOKUP(A195,'Current Month'!A:A,'Current Month'!E:E,0,0)</f>
        <v>45000.800000000003</v>
      </c>
      <c r="I195" s="32">
        <f>_xlfn.XLOOKUP(A195,'Prior Month'!A:A,'Prior Month'!E:E,0,0)</f>
        <v>41073.83</v>
      </c>
      <c r="J195" s="32">
        <f>_xlfn.XLOOKUP(A195,'Year end 2024'!A:A,'Year end 2024'!E:E,0,0)</f>
        <v>95079.22</v>
      </c>
      <c r="K195" s="14">
        <f t="shared" si="6"/>
        <v>3926.9700000000012</v>
      </c>
      <c r="L195" s="14">
        <f t="shared" si="7"/>
        <v>-50078.42</v>
      </c>
    </row>
    <row r="196" spans="1:12" ht="35.15" customHeight="1" x14ac:dyDescent="0.4">
      <c r="A196" s="11" t="s">
        <v>442</v>
      </c>
      <c r="B196" s="11" t="s">
        <v>443</v>
      </c>
      <c r="C196" s="11" t="s">
        <v>101</v>
      </c>
      <c r="D196" s="11" t="s">
        <v>100</v>
      </c>
      <c r="E196" s="18">
        <f>_xlfn.XLOOKUP(A196,'Current Month'!A:A,'Current Month'!I:I,"")</f>
        <v>2.9592390570263968E-2</v>
      </c>
      <c r="F196" s="21">
        <f>_xlfn.XLOOKUP(A196,'Prior Month'!A:A,'Prior Month'!I:I,"")</f>
        <v>3.1640090106630041E-2</v>
      </c>
      <c r="G196" s="18">
        <f>_xlfn.XLOOKUP(A196,'Year end 2024'!A:A,'Year end 2024'!I:I,"")</f>
        <v>2.5121731032734133E-2</v>
      </c>
      <c r="H196" s="19">
        <f>_xlfn.XLOOKUP(A196,'Current Month'!A:A,'Current Month'!E:E,0,0)</f>
        <v>24888.28</v>
      </c>
      <c r="I196" s="32">
        <f>_xlfn.XLOOKUP(A196,'Prior Month'!A:A,'Prior Month'!E:E,0,0)</f>
        <v>26643.42</v>
      </c>
      <c r="J196" s="32">
        <f>_xlfn.XLOOKUP(A196,'Year end 2024'!A:A,'Year end 2024'!E:E,0,0)</f>
        <v>21301.13</v>
      </c>
      <c r="K196" s="14">
        <f t="shared" si="6"/>
        <v>-1755.1399999999994</v>
      </c>
      <c r="L196" s="14">
        <f t="shared" si="7"/>
        <v>3587.1499999999978</v>
      </c>
    </row>
    <row r="197" spans="1:12" ht="35.15" customHeight="1" x14ac:dyDescent="0.4">
      <c r="A197" s="11" t="s">
        <v>444</v>
      </c>
      <c r="B197" s="11" t="s">
        <v>445</v>
      </c>
      <c r="C197" s="11" t="s">
        <v>29</v>
      </c>
      <c r="D197" s="11" t="s">
        <v>28</v>
      </c>
      <c r="E197" s="18">
        <f>_xlfn.XLOOKUP(A197,'Current Month'!A:A,'Current Month'!I:I,"")</f>
        <v>1.070924E-2</v>
      </c>
      <c r="F197" s="21">
        <f>_xlfn.XLOOKUP(A197,'Prior Month'!A:A,'Prior Month'!I:I,"")</f>
        <v>1.7148E-3</v>
      </c>
      <c r="G197" s="18">
        <f>_xlfn.XLOOKUP(A197,'Year end 2024'!A:A,'Year end 2024'!I:I,"")</f>
        <v>4.0521200000000002E-3</v>
      </c>
      <c r="H197" s="19">
        <f>_xlfn.XLOOKUP(A197,'Current Month'!A:A,'Current Month'!E:E,0,0)</f>
        <v>2677.31</v>
      </c>
      <c r="I197" s="32">
        <f>_xlfn.XLOOKUP(A197,'Prior Month'!A:A,'Prior Month'!E:E,0,0)</f>
        <v>428.7</v>
      </c>
      <c r="J197" s="32">
        <f>_xlfn.XLOOKUP(A197,'Year end 2024'!A:A,'Year end 2024'!E:E,0,0)</f>
        <v>1013.03</v>
      </c>
      <c r="K197" s="14">
        <f t="shared" si="6"/>
        <v>2248.61</v>
      </c>
      <c r="L197" s="14">
        <f t="shared" si="7"/>
        <v>1664.28</v>
      </c>
    </row>
    <row r="198" spans="1:12" ht="35.15" customHeight="1" x14ac:dyDescent="0.4">
      <c r="A198" s="11" t="s">
        <v>446</v>
      </c>
      <c r="B198" s="11" t="s">
        <v>447</v>
      </c>
      <c r="C198" s="11" t="s">
        <v>15</v>
      </c>
      <c r="D198" s="11" t="s">
        <v>14</v>
      </c>
      <c r="E198" s="18">
        <f>_xlfn.XLOOKUP(A198,'Current Month'!A:A,'Current Month'!I:I,"")</f>
        <v>1.1895803044440311E-2</v>
      </c>
      <c r="F198" s="21">
        <f>_xlfn.XLOOKUP(A198,'Prior Month'!A:A,'Prior Month'!I:I,"")</f>
        <v>1.7601639548183674E-2</v>
      </c>
      <c r="G198" s="18">
        <f>_xlfn.XLOOKUP(A198,'Year end 2024'!A:A,'Year end 2024'!I:I,"")</f>
        <v>3.2502451877116009E-5</v>
      </c>
      <c r="H198" s="19">
        <f>_xlfn.XLOOKUP(A198,'Current Month'!A:A,'Current Month'!E:E,0,0)</f>
        <v>86749.21</v>
      </c>
      <c r="I198" s="32">
        <f>_xlfn.XLOOKUP(A198,'Prior Month'!A:A,'Prior Month'!E:E,0,0)</f>
        <v>128525.66</v>
      </c>
      <c r="J198" s="32">
        <f>_xlfn.XLOOKUP(A198,'Year end 2024'!A:A,'Year end 2024'!E:E,0,0)</f>
        <v>239.82</v>
      </c>
      <c r="K198" s="14">
        <f t="shared" si="6"/>
        <v>-41776.449999999997</v>
      </c>
      <c r="L198" s="14">
        <f t="shared" si="7"/>
        <v>86509.39</v>
      </c>
    </row>
    <row r="199" spans="1:12" ht="35.15" customHeight="1" x14ac:dyDescent="0.4">
      <c r="A199" s="11" t="s">
        <v>448</v>
      </c>
      <c r="B199" s="11" t="s">
        <v>449</v>
      </c>
      <c r="C199" s="11" t="s">
        <v>77</v>
      </c>
      <c r="D199" s="11" t="s">
        <v>76</v>
      </c>
      <c r="E199" s="18">
        <f>_xlfn.XLOOKUP(A199,'Current Month'!A:A,'Current Month'!I:I,"")</f>
        <v>0</v>
      </c>
      <c r="F199" s="21">
        <f>_xlfn.XLOOKUP(A199,'Prior Month'!A:A,'Prior Month'!I:I,"")</f>
        <v>0</v>
      </c>
      <c r="G199" s="18">
        <f>_xlfn.XLOOKUP(A199,'Year end 2024'!A:A,'Year end 2024'!I:I,"")</f>
        <v>0</v>
      </c>
      <c r="H199" s="19">
        <f>_xlfn.XLOOKUP(A199,'Current Month'!A:A,'Current Month'!E:E,0,0)</f>
        <v>0</v>
      </c>
      <c r="I199" s="32">
        <f>_xlfn.XLOOKUP(A199,'Prior Month'!A:A,'Prior Month'!E:E,0,0)</f>
        <v>0</v>
      </c>
      <c r="J199" s="32">
        <f>_xlfn.XLOOKUP(A199,'Year end 2024'!A:A,'Year end 2024'!E:E,0,0)</f>
        <v>0</v>
      </c>
      <c r="K199" s="14">
        <f t="shared" si="6"/>
        <v>0</v>
      </c>
      <c r="L199" s="14">
        <f t="shared" si="7"/>
        <v>0</v>
      </c>
    </row>
    <row r="200" spans="1:12" ht="35.15" customHeight="1" x14ac:dyDescent="0.4">
      <c r="A200" s="11" t="s">
        <v>450</v>
      </c>
      <c r="B200" s="11" t="s">
        <v>451</v>
      </c>
      <c r="C200" s="11" t="s">
        <v>29</v>
      </c>
      <c r="D200" s="11" t="s">
        <v>28</v>
      </c>
      <c r="E200" s="18">
        <f>_xlfn.XLOOKUP(A200,'Current Month'!A:A,'Current Month'!I:I,"")</f>
        <v>2.3777199999999998E-3</v>
      </c>
      <c r="F200" s="21">
        <f>_xlfn.XLOOKUP(A200,'Prior Month'!A:A,'Prior Month'!I:I,"")</f>
        <v>2.3977199999999999E-3</v>
      </c>
      <c r="G200" s="18">
        <f>_xlfn.XLOOKUP(A200,'Year end 2024'!A:A,'Year end 2024'!I:I,"")</f>
        <v>5.0697200000000006E-3</v>
      </c>
      <c r="H200" s="19">
        <f>_xlfn.XLOOKUP(A200,'Current Month'!A:A,'Current Month'!E:E,0,0)</f>
        <v>594.42999999999995</v>
      </c>
      <c r="I200" s="32">
        <f>_xlfn.XLOOKUP(A200,'Prior Month'!A:A,'Prior Month'!E:E,0,0)</f>
        <v>599.42999999999995</v>
      </c>
      <c r="J200" s="32">
        <f>_xlfn.XLOOKUP(A200,'Year end 2024'!A:A,'Year end 2024'!E:E,0,0)</f>
        <v>1267.43</v>
      </c>
      <c r="K200" s="14">
        <f t="shared" si="6"/>
        <v>-5</v>
      </c>
      <c r="L200" s="14">
        <f t="shared" si="7"/>
        <v>-673.00000000000011</v>
      </c>
    </row>
    <row r="201" spans="1:12" ht="35.15" customHeight="1" x14ac:dyDescent="0.4">
      <c r="A201" s="11" t="s">
        <v>452</v>
      </c>
      <c r="B201" s="11" t="s">
        <v>453</v>
      </c>
      <c r="C201" s="11" t="s">
        <v>253</v>
      </c>
      <c r="D201" s="11" t="s">
        <v>252</v>
      </c>
      <c r="E201" s="18">
        <f>_xlfn.XLOOKUP(A201,'Current Month'!A:A,'Current Month'!I:I,"")</f>
        <v>0.16055358349345339</v>
      </c>
      <c r="F201" s="21">
        <f>_xlfn.XLOOKUP(A201,'Prior Month'!A:A,'Prior Month'!I:I,"")</f>
        <v>0.18132170207755396</v>
      </c>
      <c r="G201" s="18">
        <f>_xlfn.XLOOKUP(A201,'Year end 2024'!A:A,'Year end 2024'!I:I,"")</f>
        <v>0.20020851712679733</v>
      </c>
      <c r="H201" s="19">
        <f>_xlfn.XLOOKUP(A201,'Current Month'!A:A,'Current Month'!E:E,0,0)</f>
        <v>372536.72</v>
      </c>
      <c r="I201" s="32">
        <f>_xlfn.XLOOKUP(A201,'Prior Month'!A:A,'Prior Month'!E:E,0,0)</f>
        <v>421812.36</v>
      </c>
      <c r="J201" s="32">
        <f>_xlfn.XLOOKUP(A201,'Year end 2024'!A:A,'Year end 2024'!E:E,0,0)</f>
        <v>474252.62</v>
      </c>
      <c r="K201" s="14">
        <f t="shared" si="6"/>
        <v>-49275.640000000014</v>
      </c>
      <c r="L201" s="14">
        <f t="shared" si="7"/>
        <v>-101715.90000000002</v>
      </c>
    </row>
    <row r="202" spans="1:12" ht="35.15" customHeight="1" x14ac:dyDescent="0.4">
      <c r="A202" s="11" t="s">
        <v>454</v>
      </c>
      <c r="B202" s="11" t="s">
        <v>455</v>
      </c>
      <c r="C202" s="11" t="s">
        <v>457</v>
      </c>
      <c r="D202" s="11" t="s">
        <v>456</v>
      </c>
      <c r="E202" s="18">
        <f>_xlfn.XLOOKUP(A202,'Current Month'!A:A,'Current Month'!I:I,"")</f>
        <v>1.2874008575174969E-2</v>
      </c>
      <c r="F202" s="21">
        <f>_xlfn.XLOOKUP(A202,'Prior Month'!A:A,'Prior Month'!I:I,"")</f>
        <v>5.1759797040473204E-2</v>
      </c>
      <c r="G202" s="18">
        <f>_xlfn.XLOOKUP(A202,'Year end 2024'!A:A,'Year end 2024'!I:I,"")</f>
        <v>0.15464071484709482</v>
      </c>
      <c r="H202" s="19">
        <f>_xlfn.XLOOKUP(A202,'Current Month'!A:A,'Current Month'!E:E,0,0)</f>
        <v>7543.91</v>
      </c>
      <c r="I202" s="32">
        <f>_xlfn.XLOOKUP(A202,'Prior Month'!A:A,'Prior Month'!E:E,0,0)</f>
        <v>30402.27</v>
      </c>
      <c r="J202" s="32">
        <f>_xlfn.XLOOKUP(A202,'Year end 2024'!A:A,'Year end 2024'!E:E,0,0)</f>
        <v>52582.34</v>
      </c>
      <c r="K202" s="14">
        <f t="shared" si="6"/>
        <v>-22858.36</v>
      </c>
      <c r="L202" s="14">
        <f t="shared" si="7"/>
        <v>-45038.429999999993</v>
      </c>
    </row>
    <row r="203" spans="1:12" ht="35.15" customHeight="1" x14ac:dyDescent="0.4">
      <c r="A203" s="11" t="s">
        <v>458</v>
      </c>
      <c r="B203" s="11" t="s">
        <v>459</v>
      </c>
      <c r="C203" s="11" t="s">
        <v>461</v>
      </c>
      <c r="D203" s="11" t="s">
        <v>460</v>
      </c>
      <c r="E203" s="18" t="str">
        <f>_xlfn.XLOOKUP(A203,'Current Month'!A:A,'Current Month'!I:I,"")</f>
        <v/>
      </c>
      <c r="F203" s="21" t="str">
        <f>_xlfn.XLOOKUP(A203,'Prior Month'!A:A,'Prior Month'!I:I,"")</f>
        <v/>
      </c>
      <c r="G203" s="18" t="str">
        <f>_xlfn.XLOOKUP(A203,'Year end 2024'!A:A,'Year end 2024'!I:I,"")</f>
        <v/>
      </c>
      <c r="H203" s="19">
        <f>_xlfn.XLOOKUP(A203,'Current Month'!A:A,'Current Month'!E:E,0,0)</f>
        <v>0</v>
      </c>
      <c r="I203" s="32">
        <f>_xlfn.XLOOKUP(A203,'Prior Month'!A:A,'Prior Month'!E:E,0,0)</f>
        <v>0</v>
      </c>
      <c r="J203" s="32">
        <f>_xlfn.XLOOKUP(A203,'Year end 2024'!A:A,'Year end 2024'!E:E,0,0)</f>
        <v>0</v>
      </c>
      <c r="K203" s="14">
        <f t="shared" si="6"/>
        <v>0</v>
      </c>
      <c r="L203" s="14">
        <f t="shared" si="7"/>
        <v>0</v>
      </c>
    </row>
    <row r="204" spans="1:12" ht="35.15" customHeight="1" x14ac:dyDescent="0.4">
      <c r="A204" s="11" t="s">
        <v>462</v>
      </c>
      <c r="B204" s="11" t="s">
        <v>463</v>
      </c>
      <c r="C204" s="11" t="s">
        <v>465</v>
      </c>
      <c r="D204" s="11" t="s">
        <v>464</v>
      </c>
      <c r="E204" s="18">
        <f>_xlfn.XLOOKUP(A204,'Current Month'!A:A,'Current Month'!I:I,"")</f>
        <v>0.19404754508594338</v>
      </c>
      <c r="F204" s="21">
        <f>_xlfn.XLOOKUP(A204,'Prior Month'!A:A,'Prior Month'!I:I,"")</f>
        <v>0.2308928252159364</v>
      </c>
      <c r="G204" s="18">
        <f>_xlfn.XLOOKUP(A204,'Year end 2024'!A:A,'Year end 2024'!I:I,"")</f>
        <v>8.9904362741058938E-2</v>
      </c>
      <c r="H204" s="19">
        <f>_xlfn.XLOOKUP(A204,'Current Month'!A:A,'Current Month'!E:E,0,0)</f>
        <v>1112291.17</v>
      </c>
      <c r="I204" s="32">
        <f>_xlfn.XLOOKUP(A204,'Prior Month'!A:A,'Prior Month'!E:E,0,0)</f>
        <v>1340513.21</v>
      </c>
      <c r="J204" s="32">
        <f>_xlfn.XLOOKUP(A204,'Year end 2024'!A:A,'Year end 2024'!E:E,0,0)</f>
        <v>476889.1</v>
      </c>
      <c r="K204" s="14">
        <f t="shared" si="6"/>
        <v>-228222.04000000004</v>
      </c>
      <c r="L204" s="14">
        <f t="shared" si="7"/>
        <v>635402.06999999995</v>
      </c>
    </row>
    <row r="205" spans="1:12" ht="35.15" customHeight="1" x14ac:dyDescent="0.4">
      <c r="A205" s="11" t="s">
        <v>466</v>
      </c>
      <c r="B205" s="11" t="s">
        <v>467</v>
      </c>
      <c r="C205" s="11" t="s">
        <v>19</v>
      </c>
      <c r="D205" s="11" t="s">
        <v>18</v>
      </c>
      <c r="E205" s="18">
        <f>_xlfn.XLOOKUP(A205,'Current Month'!A:A,'Current Month'!I:I,"")</f>
        <v>2.4590918538344421E-2</v>
      </c>
      <c r="F205" s="21">
        <f>_xlfn.XLOOKUP(A205,'Prior Month'!A:A,'Prior Month'!I:I,"")</f>
        <v>3.5389514636395218E-2</v>
      </c>
      <c r="G205" s="18">
        <f>_xlfn.XLOOKUP(A205,'Year end 2024'!A:A,'Year end 2024'!I:I,"")</f>
        <v>1.6664310393329343E-2</v>
      </c>
      <c r="H205" s="19">
        <f>_xlfn.XLOOKUP(A205,'Current Month'!A:A,'Current Month'!E:E,0,0)</f>
        <v>10118.26</v>
      </c>
      <c r="I205" s="32">
        <f>_xlfn.XLOOKUP(A205,'Prior Month'!A:A,'Prior Month'!E:E,0,0)</f>
        <v>14582.04</v>
      </c>
      <c r="J205" s="32">
        <f>_xlfn.XLOOKUP(A205,'Year end 2024'!A:A,'Year end 2024'!E:E,0,0)</f>
        <v>6930.87</v>
      </c>
      <c r="K205" s="14">
        <f t="shared" si="6"/>
        <v>-4463.7800000000007</v>
      </c>
      <c r="L205" s="14">
        <f t="shared" si="7"/>
        <v>3187.3900000000003</v>
      </c>
    </row>
    <row r="206" spans="1:12" ht="35.15" customHeight="1" x14ac:dyDescent="0.4">
      <c r="A206" s="11" t="s">
        <v>468</v>
      </c>
      <c r="B206" s="11" t="s">
        <v>469</v>
      </c>
      <c r="C206" s="11" t="s">
        <v>471</v>
      </c>
      <c r="D206" s="11" t="s">
        <v>470</v>
      </c>
      <c r="E206" s="18" t="str">
        <f>_xlfn.XLOOKUP(A206,'Current Month'!A:A,'Current Month'!I:I,"")</f>
        <v/>
      </c>
      <c r="F206" s="21" t="str">
        <f>_xlfn.XLOOKUP(A206,'Prior Month'!A:A,'Prior Month'!I:I,"")</f>
        <v/>
      </c>
      <c r="G206" s="18" t="str">
        <f>_xlfn.XLOOKUP(A206,'Year end 2024'!A:A,'Year end 2024'!I:I,"")</f>
        <v/>
      </c>
      <c r="H206" s="19">
        <f>_xlfn.XLOOKUP(A206,'Current Month'!A:A,'Current Month'!E:E,0,0)</f>
        <v>0</v>
      </c>
      <c r="I206" s="32">
        <f>_xlfn.XLOOKUP(A206,'Prior Month'!A:A,'Prior Month'!E:E,0,0)</f>
        <v>0</v>
      </c>
      <c r="J206" s="32">
        <f>_xlfn.XLOOKUP(A206,'Year end 2024'!A:A,'Year end 2024'!E:E,0,0)</f>
        <v>0</v>
      </c>
      <c r="K206" s="14">
        <f t="shared" si="6"/>
        <v>0</v>
      </c>
      <c r="L206" s="14">
        <f t="shared" si="7"/>
        <v>0</v>
      </c>
    </row>
    <row r="207" spans="1:12" ht="35.15" customHeight="1" x14ac:dyDescent="0.4">
      <c r="A207" s="11" t="s">
        <v>472</v>
      </c>
      <c r="B207" s="11" t="s">
        <v>473</v>
      </c>
      <c r="C207" s="11" t="s">
        <v>19</v>
      </c>
      <c r="D207" s="11" t="s">
        <v>18</v>
      </c>
      <c r="E207" s="18">
        <f>_xlfn.XLOOKUP(A207,'Current Month'!A:A,'Current Month'!I:I,"")</f>
        <v>1.6714689561652493E-2</v>
      </c>
      <c r="F207" s="21">
        <f>_xlfn.XLOOKUP(A207,'Prior Month'!A:A,'Prior Month'!I:I,"")</f>
        <v>2.1038677952620001E-3</v>
      </c>
      <c r="G207" s="18">
        <f>_xlfn.XLOOKUP(A207,'Year end 2024'!A:A,'Year end 2024'!I:I,"")</f>
        <v>0</v>
      </c>
      <c r="H207" s="19">
        <f>_xlfn.XLOOKUP(A207,'Current Month'!A:A,'Current Month'!E:E,0,0)</f>
        <v>6300</v>
      </c>
      <c r="I207" s="32">
        <f>_xlfn.XLOOKUP(A207,'Prior Month'!A:A,'Prior Month'!E:E,0,0)</f>
        <v>800</v>
      </c>
      <c r="J207" s="32">
        <f>_xlfn.XLOOKUP(A207,'Year end 2024'!A:A,'Year end 2024'!E:E,0,0)</f>
        <v>0</v>
      </c>
      <c r="K207" s="14">
        <f t="shared" si="6"/>
        <v>5500</v>
      </c>
      <c r="L207" s="14">
        <f t="shared" si="7"/>
        <v>6300</v>
      </c>
    </row>
    <row r="208" spans="1:12" ht="35.15" customHeight="1" x14ac:dyDescent="0.4">
      <c r="A208" s="11" t="s">
        <v>474</v>
      </c>
      <c r="B208" s="11" t="s">
        <v>475</v>
      </c>
      <c r="C208" s="11" t="s">
        <v>471</v>
      </c>
      <c r="D208" s="11" t="s">
        <v>470</v>
      </c>
      <c r="E208" s="18" t="str">
        <f>_xlfn.XLOOKUP(A208,'Current Month'!A:A,'Current Month'!I:I,"")</f>
        <v/>
      </c>
      <c r="F208" s="21" t="str">
        <f>_xlfn.XLOOKUP(A208,'Prior Month'!A:A,'Prior Month'!I:I,"")</f>
        <v/>
      </c>
      <c r="G208" s="18" t="str">
        <f>_xlfn.XLOOKUP(A208,'Year end 2024'!A:A,'Year end 2024'!I:I,"")</f>
        <v/>
      </c>
      <c r="H208" s="19">
        <f>_xlfn.XLOOKUP(A208,'Current Month'!A:A,'Current Month'!E:E,0,0)</f>
        <v>0</v>
      </c>
      <c r="I208" s="32">
        <f>_xlfn.XLOOKUP(A208,'Prior Month'!A:A,'Prior Month'!E:E,0,0)</f>
        <v>0</v>
      </c>
      <c r="J208" s="32">
        <f>_xlfn.XLOOKUP(A208,'Year end 2024'!A:A,'Year end 2024'!E:E,0,0)</f>
        <v>0</v>
      </c>
      <c r="K208" s="14">
        <f t="shared" si="6"/>
        <v>0</v>
      </c>
      <c r="L208" s="14">
        <f t="shared" si="7"/>
        <v>0</v>
      </c>
    </row>
    <row r="209" spans="1:12" ht="35.15" customHeight="1" x14ac:dyDescent="0.4">
      <c r="A209" s="11" t="s">
        <v>476</v>
      </c>
      <c r="B209" s="11" t="s">
        <v>477</v>
      </c>
      <c r="C209" s="11" t="s">
        <v>461</v>
      </c>
      <c r="D209" s="11" t="s">
        <v>460</v>
      </c>
      <c r="E209" s="18" t="str">
        <f>_xlfn.XLOOKUP(A209,'Current Month'!A:A,'Current Month'!I:I,"")</f>
        <v/>
      </c>
      <c r="F209" s="21" t="str">
        <f>_xlfn.XLOOKUP(A209,'Prior Month'!A:A,'Prior Month'!I:I,"")</f>
        <v/>
      </c>
      <c r="G209" s="18" t="str">
        <f>_xlfn.XLOOKUP(A209,'Year end 2024'!A:A,'Year end 2024'!I:I,"")</f>
        <v/>
      </c>
      <c r="H209" s="19">
        <f>_xlfn.XLOOKUP(A209,'Current Month'!A:A,'Current Month'!E:E,0,0)</f>
        <v>0</v>
      </c>
      <c r="I209" s="32">
        <f>_xlfn.XLOOKUP(A209,'Prior Month'!A:A,'Prior Month'!E:E,0,0)</f>
        <v>0</v>
      </c>
      <c r="J209" s="32">
        <f>_xlfn.XLOOKUP(A209,'Year end 2024'!A:A,'Year end 2024'!E:E,0,0)</f>
        <v>0</v>
      </c>
      <c r="K209" s="14">
        <f t="shared" si="6"/>
        <v>0</v>
      </c>
      <c r="L209" s="14">
        <f t="shared" si="7"/>
        <v>0</v>
      </c>
    </row>
    <row r="210" spans="1:12" ht="35.15" customHeight="1" x14ac:dyDescent="0.4">
      <c r="A210" s="11" t="s">
        <v>478</v>
      </c>
      <c r="B210" s="11" t="s">
        <v>479</v>
      </c>
      <c r="C210" s="11" t="s">
        <v>461</v>
      </c>
      <c r="D210" s="11" t="s">
        <v>460</v>
      </c>
      <c r="E210" s="18" t="str">
        <f>_xlfn.XLOOKUP(A210,'Current Month'!A:A,'Current Month'!I:I,"")</f>
        <v/>
      </c>
      <c r="F210" s="21" t="str">
        <f>_xlfn.XLOOKUP(A210,'Prior Month'!A:A,'Prior Month'!I:I,"")</f>
        <v/>
      </c>
      <c r="G210" s="18" t="str">
        <f>_xlfn.XLOOKUP(A210,'Year end 2024'!A:A,'Year end 2024'!I:I,"")</f>
        <v/>
      </c>
      <c r="H210" s="19">
        <f>_xlfn.XLOOKUP(A210,'Current Month'!A:A,'Current Month'!E:E,0,0)</f>
        <v>5</v>
      </c>
      <c r="I210" s="32">
        <f>_xlfn.XLOOKUP(A210,'Prior Month'!A:A,'Prior Month'!E:E,0,0)</f>
        <v>10</v>
      </c>
      <c r="J210" s="32">
        <f>_xlfn.XLOOKUP(A210,'Year end 2024'!A:A,'Year end 2024'!E:E,0,0)</f>
        <v>40</v>
      </c>
      <c r="K210" s="14">
        <f t="shared" si="6"/>
        <v>-5</v>
      </c>
      <c r="L210" s="14">
        <f t="shared" si="7"/>
        <v>-35</v>
      </c>
    </row>
    <row r="211" spans="1:12" ht="35.15" customHeight="1" x14ac:dyDescent="0.4">
      <c r="A211" s="11" t="s">
        <v>480</v>
      </c>
      <c r="B211" s="11" t="s">
        <v>481</v>
      </c>
      <c r="C211" s="11" t="s">
        <v>19</v>
      </c>
      <c r="D211" s="11" t="s">
        <v>18</v>
      </c>
      <c r="E211" s="18">
        <f>_xlfn.XLOOKUP(A211,'Current Month'!A:A,'Current Month'!I:I,"")</f>
        <v>2.514099912048531E-2</v>
      </c>
      <c r="F211" s="21">
        <f>_xlfn.XLOOKUP(A211,'Prior Month'!A:A,'Prior Month'!I:I,"")</f>
        <v>2.508900331465062E-2</v>
      </c>
      <c r="G211" s="18">
        <f>_xlfn.XLOOKUP(A211,'Year end 2024'!A:A,'Year end 2024'!I:I,"")</f>
        <v>2.4600745556995905E-2</v>
      </c>
      <c r="H211" s="19">
        <f>_xlfn.XLOOKUP(A211,'Current Month'!A:A,'Current Month'!E:E,0,0)</f>
        <v>15206.12</v>
      </c>
      <c r="I211" s="32">
        <f>_xlfn.XLOOKUP(A211,'Prior Month'!A:A,'Prior Month'!E:E,0,0)</f>
        <v>15191.46</v>
      </c>
      <c r="J211" s="32">
        <f>_xlfn.XLOOKUP(A211,'Year end 2024'!A:A,'Year end 2024'!E:E,0,0)</f>
        <v>15066.78</v>
      </c>
      <c r="K211" s="14">
        <f t="shared" si="6"/>
        <v>14.660000000001673</v>
      </c>
      <c r="L211" s="14">
        <f t="shared" si="7"/>
        <v>139.34000000000015</v>
      </c>
    </row>
    <row r="212" spans="1:12" ht="35.15" customHeight="1" x14ac:dyDescent="0.4">
      <c r="A212" s="11" t="s">
        <v>482</v>
      </c>
      <c r="B212" s="11" t="s">
        <v>483</v>
      </c>
      <c r="C212" s="11" t="s">
        <v>101</v>
      </c>
      <c r="D212" s="11" t="s">
        <v>100</v>
      </c>
      <c r="E212" s="18">
        <f>_xlfn.XLOOKUP(A212,'Current Month'!A:A,'Current Month'!I:I,"")</f>
        <v>2.1628706000000002</v>
      </c>
      <c r="F212" s="21">
        <f>_xlfn.XLOOKUP(A212,'Prior Month'!A:A,'Prior Month'!I:I,"")</f>
        <v>2.0413704500000001</v>
      </c>
      <c r="G212" s="18">
        <f>_xlfn.XLOOKUP(A212,'Year end 2024'!A:A,'Year end 2024'!I:I,"")</f>
        <v>2.3522599999999998</v>
      </c>
      <c r="H212" s="19">
        <f>_xlfn.XLOOKUP(A212,'Current Month'!A:A,'Current Month'!E:E,0,0)</f>
        <v>432574.12</v>
      </c>
      <c r="I212" s="32">
        <f>_xlfn.XLOOKUP(A212,'Prior Month'!A:A,'Prior Month'!E:E,0,0)</f>
        <v>408274.09</v>
      </c>
      <c r="J212" s="32">
        <f>_xlfn.XLOOKUP(A212,'Year end 2024'!A:A,'Year end 2024'!E:E,0,0)</f>
        <v>470452</v>
      </c>
      <c r="K212" s="14">
        <f t="shared" si="6"/>
        <v>24300.02999999997</v>
      </c>
      <c r="L212" s="14">
        <f t="shared" si="7"/>
        <v>-37877.880000000005</v>
      </c>
    </row>
    <row r="213" spans="1:12" ht="35.15" customHeight="1" x14ac:dyDescent="0.4">
      <c r="A213" s="11" t="s">
        <v>484</v>
      </c>
      <c r="B213" s="11" t="s">
        <v>485</v>
      </c>
      <c r="C213" s="11" t="s">
        <v>487</v>
      </c>
      <c r="D213" s="11" t="s">
        <v>486</v>
      </c>
      <c r="E213" s="18">
        <f>_xlfn.XLOOKUP(A213,'Current Month'!A:A,'Current Month'!I:I,"")</f>
        <v>0.54654017461991478</v>
      </c>
      <c r="F213" s="21">
        <f>_xlfn.XLOOKUP(A213,'Prior Month'!A:A,'Prior Month'!I:I,"")</f>
        <v>0.70597922467425689</v>
      </c>
      <c r="G213" s="18">
        <f>_xlfn.XLOOKUP(A213,'Year end 2024'!A:A,'Year end 2024'!I:I,"")</f>
        <v>0.97360581417780878</v>
      </c>
      <c r="H213" s="19">
        <f>_xlfn.XLOOKUP(A213,'Current Month'!A:A,'Current Month'!E:E,0,0)</f>
        <v>794828.55</v>
      </c>
      <c r="I213" s="32">
        <f>_xlfn.XLOOKUP(A213,'Prior Month'!A:A,'Prior Month'!E:E,0,0)</f>
        <v>1038657.73</v>
      </c>
      <c r="J213" s="32">
        <f>_xlfn.XLOOKUP(A213,'Year end 2024'!A:A,'Year end 2024'!E:E,0,0)</f>
        <v>1574601</v>
      </c>
      <c r="K213" s="14">
        <f t="shared" si="6"/>
        <v>-243829.17999999993</v>
      </c>
      <c r="L213" s="14">
        <f t="shared" si="7"/>
        <v>-779772.45</v>
      </c>
    </row>
    <row r="214" spans="1:12" ht="35.15" customHeight="1" x14ac:dyDescent="0.4">
      <c r="A214" s="11" t="s">
        <v>488</v>
      </c>
      <c r="B214" s="11" t="s">
        <v>489</v>
      </c>
      <c r="C214" s="11" t="s">
        <v>67</v>
      </c>
      <c r="D214" s="11" t="s">
        <v>66</v>
      </c>
      <c r="E214" s="18">
        <f>_xlfn.XLOOKUP(A214,'Current Month'!A:A,'Current Month'!I:I,"")</f>
        <v>1.2070842372881356</v>
      </c>
      <c r="F214" s="21">
        <f>_xlfn.XLOOKUP(A214,'Prior Month'!A:A,'Prior Month'!I:I,"")</f>
        <v>1.3955125423728814</v>
      </c>
      <c r="G214" s="18">
        <f>_xlfn.XLOOKUP(A214,'Year end 2024'!A:A,'Year end 2024'!I:I,"")</f>
        <v>2.010609491525424</v>
      </c>
      <c r="H214" s="19">
        <f>_xlfn.XLOOKUP(A214,'Current Month'!A:A,'Current Month'!E:E,0,0)</f>
        <v>71217.97</v>
      </c>
      <c r="I214" s="32">
        <f>_xlfn.XLOOKUP(A214,'Prior Month'!A:A,'Prior Month'!E:E,0,0)</f>
        <v>82335.240000000005</v>
      </c>
      <c r="J214" s="32">
        <f>_xlfn.XLOOKUP(A214,'Year end 2024'!A:A,'Year end 2024'!E:E,0,0)</f>
        <v>118625.96</v>
      </c>
      <c r="K214" s="14">
        <f t="shared" si="6"/>
        <v>-11117.270000000004</v>
      </c>
      <c r="L214" s="14">
        <f t="shared" si="7"/>
        <v>-47407.990000000005</v>
      </c>
    </row>
    <row r="215" spans="1:12" ht="35.15" customHeight="1" x14ac:dyDescent="0.4">
      <c r="A215" s="11" t="s">
        <v>490</v>
      </c>
      <c r="B215" s="11" t="s">
        <v>491</v>
      </c>
      <c r="C215" s="11" t="s">
        <v>67</v>
      </c>
      <c r="D215" s="11" t="s">
        <v>66</v>
      </c>
      <c r="E215" s="18" t="str">
        <f>_xlfn.XLOOKUP(A215,'Current Month'!A:A,'Current Month'!I:I,"")</f>
        <v/>
      </c>
      <c r="F215" s="21" t="str">
        <f>_xlfn.XLOOKUP(A215,'Prior Month'!A:A,'Prior Month'!I:I,"")</f>
        <v/>
      </c>
      <c r="G215" s="18" t="str">
        <f>_xlfn.XLOOKUP(A215,'Year end 2024'!A:A,'Year end 2024'!I:I,"")</f>
        <v/>
      </c>
      <c r="H215" s="19">
        <f>_xlfn.XLOOKUP(A215,'Current Month'!A:A,'Current Month'!E:E,0,0)</f>
        <v>406512.5</v>
      </c>
      <c r="I215" s="32">
        <f>_xlfn.XLOOKUP(A215,'Prior Month'!A:A,'Prior Month'!E:E,0,0)</f>
        <v>448016</v>
      </c>
      <c r="J215" s="32">
        <f>_xlfn.XLOOKUP(A215,'Year end 2024'!A:A,'Year end 2024'!E:E,0,0)</f>
        <v>749935.9</v>
      </c>
      <c r="K215" s="14">
        <f t="shared" si="6"/>
        <v>-41503.5</v>
      </c>
      <c r="L215" s="14">
        <f t="shared" si="7"/>
        <v>-343423.4</v>
      </c>
    </row>
    <row r="216" spans="1:12" ht="35.15" customHeight="1" x14ac:dyDescent="0.4">
      <c r="A216" s="11" t="s">
        <v>492</v>
      </c>
      <c r="B216" s="11" t="s">
        <v>493</v>
      </c>
      <c r="C216" s="11" t="s">
        <v>67</v>
      </c>
      <c r="D216" s="11" t="s">
        <v>66</v>
      </c>
      <c r="E216" s="18" t="str">
        <f>_xlfn.XLOOKUP(A216,'Current Month'!A:A,'Current Month'!I:I,"")</f>
        <v/>
      </c>
      <c r="F216" s="21" t="str">
        <f>_xlfn.XLOOKUP(A216,'Prior Month'!A:A,'Prior Month'!I:I,"")</f>
        <v/>
      </c>
      <c r="G216" s="18" t="str">
        <f>_xlfn.XLOOKUP(A216,'Year end 2024'!A:A,'Year end 2024'!I:I,"")</f>
        <v/>
      </c>
      <c r="H216" s="19">
        <f>_xlfn.XLOOKUP(A216,'Current Month'!A:A,'Current Month'!E:E,0,0)</f>
        <v>91973.25</v>
      </c>
      <c r="I216" s="32">
        <f>_xlfn.XLOOKUP(A216,'Prior Month'!A:A,'Prior Month'!E:E,0,0)</f>
        <v>82170.81</v>
      </c>
      <c r="J216" s="32">
        <f>_xlfn.XLOOKUP(A216,'Year end 2024'!A:A,'Year end 2024'!E:E,0,0)</f>
        <v>25194.05</v>
      </c>
      <c r="K216" s="14">
        <f t="shared" si="6"/>
        <v>9802.4400000000023</v>
      </c>
      <c r="L216" s="14">
        <f t="shared" si="7"/>
        <v>66779.199999999997</v>
      </c>
    </row>
    <row r="217" spans="1:12" ht="35.15" customHeight="1" x14ac:dyDescent="0.4">
      <c r="A217" s="11" t="s">
        <v>494</v>
      </c>
      <c r="B217" s="11" t="s">
        <v>495</v>
      </c>
      <c r="C217" s="11" t="s">
        <v>67</v>
      </c>
      <c r="D217" s="11" t="s">
        <v>66</v>
      </c>
      <c r="E217" s="18" t="str">
        <f>_xlfn.XLOOKUP(A217,'Current Month'!A:A,'Current Month'!I:I,"")</f>
        <v/>
      </c>
      <c r="F217" s="21" t="str">
        <f>_xlfn.XLOOKUP(A217,'Prior Month'!A:A,'Prior Month'!I:I,"")</f>
        <v/>
      </c>
      <c r="G217" s="18" t="str">
        <f>_xlfn.XLOOKUP(A217,'Year end 2024'!A:A,'Year end 2024'!I:I,"")</f>
        <v/>
      </c>
      <c r="H217" s="19">
        <f>_xlfn.XLOOKUP(A217,'Current Month'!A:A,'Current Month'!E:E,0,0)</f>
        <v>7060.63</v>
      </c>
      <c r="I217" s="32">
        <f>_xlfn.XLOOKUP(A217,'Prior Month'!A:A,'Prior Month'!E:E,0,0)</f>
        <v>27887.34</v>
      </c>
      <c r="J217" s="32">
        <f>_xlfn.XLOOKUP(A217,'Year end 2024'!A:A,'Year end 2024'!E:E,0,0)</f>
        <v>9416</v>
      </c>
      <c r="K217" s="14">
        <f t="shared" si="6"/>
        <v>-20826.71</v>
      </c>
      <c r="L217" s="14">
        <f t="shared" si="7"/>
        <v>-2355.37</v>
      </c>
    </row>
    <row r="218" spans="1:12" ht="35.15" customHeight="1" x14ac:dyDescent="0.4">
      <c r="A218" s="11" t="s">
        <v>496</v>
      </c>
      <c r="B218" s="11" t="s">
        <v>497</v>
      </c>
      <c r="C218" s="11" t="s">
        <v>465</v>
      </c>
      <c r="D218" s="11" t="s">
        <v>464</v>
      </c>
      <c r="E218" s="18">
        <f>_xlfn.XLOOKUP(A218,'Current Month'!A:A,'Current Month'!I:I,"")</f>
        <v>8.2563467819404421E-2</v>
      </c>
      <c r="F218" s="21">
        <f>_xlfn.XLOOKUP(A218,'Prior Month'!A:A,'Prior Month'!I:I,"")</f>
        <v>8.4894586935638811E-2</v>
      </c>
      <c r="G218" s="18">
        <f>_xlfn.XLOOKUP(A218,'Year end 2024'!A:A,'Year end 2024'!I:I,"")</f>
        <v>2.1542987512007685E-3</v>
      </c>
      <c r="H218" s="19">
        <f>_xlfn.XLOOKUP(A218,'Current Month'!A:A,'Current Month'!E:E,0,0)</f>
        <v>171897.14</v>
      </c>
      <c r="I218" s="32">
        <f>_xlfn.XLOOKUP(A218,'Prior Month'!A:A,'Prior Month'!E:E,0,0)</f>
        <v>176750.53</v>
      </c>
      <c r="J218" s="32">
        <f>_xlfn.XLOOKUP(A218,'Year end 2024'!A:A,'Year end 2024'!E:E,0,0)</f>
        <v>8970.5</v>
      </c>
      <c r="K218" s="14">
        <f t="shared" si="6"/>
        <v>-4853.3899999999849</v>
      </c>
      <c r="L218" s="14">
        <f t="shared" si="7"/>
        <v>162926.64000000001</v>
      </c>
    </row>
    <row r="219" spans="1:12" ht="35.15" customHeight="1" x14ac:dyDescent="0.4">
      <c r="A219" s="11" t="s">
        <v>498</v>
      </c>
      <c r="B219" s="11" t="s">
        <v>499</v>
      </c>
      <c r="C219" s="11" t="s">
        <v>19</v>
      </c>
      <c r="D219" s="11" t="s">
        <v>18</v>
      </c>
      <c r="E219" s="18">
        <f>_xlfn.XLOOKUP(A219,'Current Month'!A:A,'Current Month'!I:I,"")</f>
        <v>2.287956E-2</v>
      </c>
      <c r="F219" s="21">
        <f>_xlfn.XLOOKUP(A219,'Prior Month'!A:A,'Prior Month'!I:I,"")</f>
        <v>1.8402119999999998E-2</v>
      </c>
      <c r="G219" s="18">
        <f>_xlfn.XLOOKUP(A219,'Year end 2024'!A:A,'Year end 2024'!I:I,"")</f>
        <v>3.7344120000000001E-2</v>
      </c>
      <c r="H219" s="19">
        <f>_xlfn.XLOOKUP(A219,'Current Month'!A:A,'Current Month'!E:E,0,0)</f>
        <v>5719.89</v>
      </c>
      <c r="I219" s="32">
        <f>_xlfn.XLOOKUP(A219,'Prior Month'!A:A,'Prior Month'!E:E,0,0)</f>
        <v>4600.53</v>
      </c>
      <c r="J219" s="32">
        <f>_xlfn.XLOOKUP(A219,'Year end 2024'!A:A,'Year end 2024'!E:E,0,0)</f>
        <v>9336.0300000000007</v>
      </c>
      <c r="K219" s="14">
        <f t="shared" si="6"/>
        <v>1119.3600000000006</v>
      </c>
      <c r="L219" s="14">
        <f t="shared" si="7"/>
        <v>-3616.1400000000003</v>
      </c>
    </row>
    <row r="220" spans="1:12" ht="35.15" customHeight="1" x14ac:dyDescent="0.4">
      <c r="A220" s="11" t="s">
        <v>500</v>
      </c>
      <c r="B220" s="11" t="s">
        <v>501</v>
      </c>
      <c r="C220" s="11" t="s">
        <v>57</v>
      </c>
      <c r="D220" s="11" t="s">
        <v>56</v>
      </c>
      <c r="E220" s="18">
        <f>_xlfn.XLOOKUP(A220,'Current Month'!A:A,'Current Month'!I:I,"")</f>
        <v>0.34905179576851014</v>
      </c>
      <c r="F220" s="21">
        <f>_xlfn.XLOOKUP(A220,'Prior Month'!A:A,'Prior Month'!I:I,"")</f>
        <v>0.37806577149307824</v>
      </c>
      <c r="G220" s="18">
        <f>_xlfn.XLOOKUP(A220,'Year end 2024'!A:A,'Year end 2024'!I:I,"")</f>
        <v>0.187832044611355</v>
      </c>
      <c r="H220" s="19">
        <f>_xlfn.XLOOKUP(A220,'Current Month'!A:A,'Current Month'!E:E,0,0)</f>
        <v>98240.23</v>
      </c>
      <c r="I220" s="32">
        <f>_xlfn.XLOOKUP(A220,'Prior Month'!A:A,'Prior Month'!E:E,0,0)</f>
        <v>106902.18</v>
      </c>
      <c r="J220" s="32">
        <f>_xlfn.XLOOKUP(A220,'Year end 2024'!A:A,'Year end 2024'!E:E,0,0)</f>
        <v>55130.42</v>
      </c>
      <c r="K220" s="14">
        <f t="shared" si="6"/>
        <v>-8661.9499999999971</v>
      </c>
      <c r="L220" s="14">
        <f t="shared" si="7"/>
        <v>43109.81</v>
      </c>
    </row>
    <row r="221" spans="1:12" ht="35.15" customHeight="1" x14ac:dyDescent="0.4">
      <c r="A221" s="11" t="s">
        <v>502</v>
      </c>
      <c r="B221" s="11" t="s">
        <v>503</v>
      </c>
      <c r="C221" s="11" t="s">
        <v>253</v>
      </c>
      <c r="D221" s="11" t="s">
        <v>252</v>
      </c>
      <c r="E221" s="18">
        <f>_xlfn.XLOOKUP(A221,'Current Month'!A:A,'Current Month'!I:I,"")</f>
        <v>0.12049754421887324</v>
      </c>
      <c r="F221" s="21">
        <f>_xlfn.XLOOKUP(A221,'Prior Month'!A:A,'Prior Month'!I:I,"")</f>
        <v>9.0614990085767094E-2</v>
      </c>
      <c r="G221" s="18">
        <f>_xlfn.XLOOKUP(A221,'Year end 2024'!A:A,'Year end 2024'!I:I,"")</f>
        <v>5.0283370778396669E-3</v>
      </c>
      <c r="H221" s="19">
        <f>_xlfn.XLOOKUP(A221,'Current Month'!A:A,'Current Month'!E:E,0,0)</f>
        <v>8175.28</v>
      </c>
      <c r="I221" s="32">
        <f>_xlfn.XLOOKUP(A221,'Prior Month'!A:A,'Prior Month'!E:E,0,0)</f>
        <v>6185.42</v>
      </c>
      <c r="J221" s="32">
        <f>_xlfn.XLOOKUP(A221,'Year end 2024'!A:A,'Year end 2024'!E:E,0,0)</f>
        <v>1417.99</v>
      </c>
      <c r="K221" s="14">
        <f t="shared" si="6"/>
        <v>1989.8599999999997</v>
      </c>
      <c r="L221" s="14">
        <f t="shared" si="7"/>
        <v>6757.29</v>
      </c>
    </row>
    <row r="222" spans="1:12" ht="35.15" customHeight="1" x14ac:dyDescent="0.4">
      <c r="A222" s="11" t="s">
        <v>504</v>
      </c>
      <c r="B222" s="11" t="s">
        <v>505</v>
      </c>
      <c r="C222" s="11" t="s">
        <v>259</v>
      </c>
      <c r="D222" s="11" t="s">
        <v>258</v>
      </c>
      <c r="E222" s="18" t="str">
        <f>_xlfn.XLOOKUP(A222,'Current Month'!A:A,'Current Month'!I:I,"")</f>
        <v/>
      </c>
      <c r="F222" s="21" t="str">
        <f>_xlfn.XLOOKUP(A222,'Prior Month'!A:A,'Prior Month'!I:I,"")</f>
        <v/>
      </c>
      <c r="G222" s="18" t="str">
        <f>_xlfn.XLOOKUP(A222,'Year end 2024'!A:A,'Year end 2024'!I:I,"")</f>
        <v/>
      </c>
      <c r="H222" s="19">
        <f>_xlfn.XLOOKUP(A222,'Current Month'!A:A,'Current Month'!E:E,0,0)</f>
        <v>195</v>
      </c>
      <c r="I222" s="32">
        <f>_xlfn.XLOOKUP(A222,'Prior Month'!A:A,'Prior Month'!E:E,0,0)</f>
        <v>195</v>
      </c>
      <c r="J222" s="32">
        <f>_xlfn.XLOOKUP(A222,'Year end 2024'!A:A,'Year end 2024'!E:E,0,0)</f>
        <v>235</v>
      </c>
      <c r="K222" s="14">
        <f t="shared" si="6"/>
        <v>0</v>
      </c>
      <c r="L222" s="14">
        <f t="shared" si="7"/>
        <v>-40</v>
      </c>
    </row>
    <row r="223" spans="1:12" ht="35.15" customHeight="1" x14ac:dyDescent="0.4">
      <c r="A223" s="11" t="s">
        <v>506</v>
      </c>
      <c r="B223" s="11" t="s">
        <v>507</v>
      </c>
      <c r="C223" s="11" t="s">
        <v>487</v>
      </c>
      <c r="D223" s="11" t="s">
        <v>486</v>
      </c>
      <c r="E223" s="18">
        <f>_xlfn.XLOOKUP(A223,'Current Month'!A:A,'Current Month'!I:I,"")</f>
        <v>2.2920652443926753E-2</v>
      </c>
      <c r="F223" s="21">
        <f>_xlfn.XLOOKUP(A223,'Prior Month'!A:A,'Prior Month'!I:I,"")</f>
        <v>5.2222877032819429E-2</v>
      </c>
      <c r="G223" s="18">
        <f>_xlfn.XLOOKUP(A223,'Year end 2024'!A:A,'Year end 2024'!I:I,"")</f>
        <v>0.29204634145364078</v>
      </c>
      <c r="H223" s="19">
        <f>_xlfn.XLOOKUP(A223,'Current Month'!A:A,'Current Month'!E:E,0,0)</f>
        <v>149345.75</v>
      </c>
      <c r="I223" s="32">
        <f>_xlfn.XLOOKUP(A223,'Prior Month'!A:A,'Prior Month'!E:E,0,0)</f>
        <v>340432.14</v>
      </c>
      <c r="J223" s="32">
        <f>_xlfn.XLOOKUP(A223,'Year end 2024'!A:A,'Year end 2024'!E:E,0,0)</f>
        <v>378240.96</v>
      </c>
      <c r="K223" s="14">
        <f t="shared" si="6"/>
        <v>-191086.39</v>
      </c>
      <c r="L223" s="14">
        <f t="shared" si="7"/>
        <v>-228895.21000000002</v>
      </c>
    </row>
    <row r="224" spans="1:12" ht="35.15" customHeight="1" x14ac:dyDescent="0.4">
      <c r="A224" s="11" t="s">
        <v>508</v>
      </c>
      <c r="B224" s="11" t="s">
        <v>509</v>
      </c>
      <c r="C224" s="11" t="s">
        <v>67</v>
      </c>
      <c r="D224" s="11" t="s">
        <v>66</v>
      </c>
      <c r="E224" s="18">
        <f>_xlfn.XLOOKUP(A224,'Current Month'!A:A,'Current Month'!I:I,"")</f>
        <v>0.22627874826549579</v>
      </c>
      <c r="F224" s="21">
        <f>_xlfn.XLOOKUP(A224,'Prior Month'!A:A,'Prior Month'!I:I,"")</f>
        <v>0.35811470737913481</v>
      </c>
      <c r="G224" s="18">
        <f>_xlfn.XLOOKUP(A224,'Year end 2024'!A:A,'Year end 2024'!I:I,"")</f>
        <v>0.27699499999999999</v>
      </c>
      <c r="H224" s="19">
        <f>_xlfn.XLOOKUP(A224,'Current Month'!A:A,'Current Month'!E:E,0,0)</f>
        <v>21990.21</v>
      </c>
      <c r="I224" s="32">
        <f>_xlfn.XLOOKUP(A224,'Prior Month'!A:A,'Prior Month'!E:E,0,0)</f>
        <v>35184.769999999997</v>
      </c>
      <c r="J224" s="32">
        <f>_xlfn.XLOOKUP(A224,'Year end 2024'!A:A,'Year end 2024'!E:E,0,0)</f>
        <v>110798</v>
      </c>
      <c r="K224" s="14">
        <f t="shared" si="6"/>
        <v>-13194.559999999998</v>
      </c>
      <c r="L224" s="14">
        <f t="shared" si="7"/>
        <v>-88807.790000000008</v>
      </c>
    </row>
    <row r="225" spans="1:12" ht="35.15" customHeight="1" x14ac:dyDescent="0.4">
      <c r="A225" s="11" t="s">
        <v>510</v>
      </c>
      <c r="B225" s="11" t="s">
        <v>511</v>
      </c>
      <c r="C225" s="11" t="s">
        <v>41</v>
      </c>
      <c r="D225" s="11" t="s">
        <v>40</v>
      </c>
      <c r="E225" s="18">
        <f>_xlfn.XLOOKUP(A225,'Current Month'!A:A,'Current Month'!I:I,"")</f>
        <v>0.80402477513989001</v>
      </c>
      <c r="F225" s="21">
        <f>_xlfn.XLOOKUP(A225,'Prior Month'!A:A,'Prior Month'!I:I,"")</f>
        <v>0.61728042944125816</v>
      </c>
      <c r="G225" s="18">
        <f>_xlfn.XLOOKUP(A225,'Year end 2024'!A:A,'Year end 2024'!I:I,"")</f>
        <v>2.1590043180086359E-2</v>
      </c>
      <c r="H225" s="19">
        <f>_xlfn.XLOOKUP(A225,'Current Month'!A:A,'Current Month'!E:E,0,0)</f>
        <v>270701.2</v>
      </c>
      <c r="I225" s="32">
        <f>_xlfn.XLOOKUP(A225,'Prior Month'!A:A,'Prior Month'!E:E,0,0)</f>
        <v>211383.43</v>
      </c>
      <c r="J225" s="32">
        <f>_xlfn.XLOOKUP(A225,'Year end 2024'!A:A,'Year end 2024'!E:E,0,0)</f>
        <v>8500</v>
      </c>
      <c r="K225" s="14">
        <f t="shared" si="6"/>
        <v>59317.770000000019</v>
      </c>
      <c r="L225" s="14">
        <f t="shared" si="7"/>
        <v>262201.2</v>
      </c>
    </row>
    <row r="226" spans="1:12" ht="35.15" customHeight="1" x14ac:dyDescent="0.4">
      <c r="A226" s="11" t="s">
        <v>512</v>
      </c>
      <c r="B226" s="11" t="s">
        <v>513</v>
      </c>
      <c r="C226" s="11" t="s">
        <v>457</v>
      </c>
      <c r="D226" s="11" t="s">
        <v>456</v>
      </c>
      <c r="E226" s="18">
        <f>_xlfn.XLOOKUP(A226,'Current Month'!A:A,'Current Month'!I:I,"")</f>
        <v>6.4508223039780307E-2</v>
      </c>
      <c r="F226" s="21">
        <f>_xlfn.XLOOKUP(A226,'Prior Month'!A:A,'Prior Month'!I:I,"")</f>
        <v>8.8937294936443451E-2</v>
      </c>
      <c r="G226" s="18">
        <f>_xlfn.XLOOKUP(A226,'Year end 2024'!A:A,'Year end 2024'!I:I,"")</f>
        <v>0</v>
      </c>
      <c r="H226" s="19">
        <f>_xlfn.XLOOKUP(A226,'Current Month'!A:A,'Current Month'!E:E,0,0)</f>
        <v>54212.69</v>
      </c>
      <c r="I226" s="32">
        <f>_xlfn.XLOOKUP(A226,'Prior Month'!A:A,'Prior Month'!E:E,0,0)</f>
        <v>76724.759999999995</v>
      </c>
      <c r="J226" s="32">
        <f>_xlfn.XLOOKUP(A226,'Year end 2024'!A:A,'Year end 2024'!E:E,0,0)</f>
        <v>0</v>
      </c>
      <c r="K226" s="14">
        <f t="shared" si="6"/>
        <v>-22512.069999999992</v>
      </c>
      <c r="L226" s="14">
        <f t="shared" si="7"/>
        <v>54212.69</v>
      </c>
    </row>
    <row r="227" spans="1:12" ht="35.15" customHeight="1" x14ac:dyDescent="0.4">
      <c r="A227" s="11" t="s">
        <v>514</v>
      </c>
      <c r="B227" s="11" t="s">
        <v>515</v>
      </c>
      <c r="C227" s="11" t="s">
        <v>101</v>
      </c>
      <c r="D227" s="11" t="s">
        <v>100</v>
      </c>
      <c r="E227" s="18">
        <f>_xlfn.XLOOKUP(A227,'Current Month'!A:A,'Current Month'!I:I,"")</f>
        <v>5.3335259602012419E-3</v>
      </c>
      <c r="F227" s="21">
        <f>_xlfn.XLOOKUP(A227,'Prior Month'!A:A,'Prior Month'!I:I,"")</f>
        <v>2.0484622728975499E-2</v>
      </c>
      <c r="G227" s="18" t="str">
        <f>_xlfn.XLOOKUP(A227,'Year end 2024'!A:A,'Year end 2024'!I:I,"")</f>
        <v/>
      </c>
      <c r="H227" s="19">
        <f>_xlfn.XLOOKUP(A227,'Current Month'!A:A,'Current Month'!E:E,0,0)</f>
        <v>45873.37</v>
      </c>
      <c r="I227" s="32">
        <f>_xlfn.XLOOKUP(A227,'Prior Month'!A:A,'Prior Month'!E:E,0,0)</f>
        <v>176577.02</v>
      </c>
      <c r="J227" s="32">
        <f>_xlfn.XLOOKUP(A227,'Year end 2024'!A:A,'Year end 2024'!E:E,0,0)</f>
        <v>37687.18</v>
      </c>
      <c r="K227" s="14">
        <f t="shared" si="6"/>
        <v>-130703.65</v>
      </c>
      <c r="L227" s="14">
        <f t="shared" si="7"/>
        <v>8186.1900000000023</v>
      </c>
    </row>
    <row r="228" spans="1:12" ht="35.15" customHeight="1" x14ac:dyDescent="0.4">
      <c r="A228" s="11" t="s">
        <v>516</v>
      </c>
      <c r="B228" s="11" t="s">
        <v>517</v>
      </c>
      <c r="C228" s="11" t="s">
        <v>57</v>
      </c>
      <c r="D228" s="11" t="s">
        <v>56</v>
      </c>
      <c r="E228" s="18">
        <f>_xlfn.XLOOKUP(A228,'Current Month'!A:A,'Current Month'!I:I,"")</f>
        <v>2.671424781809642E-2</v>
      </c>
      <c r="F228" s="21">
        <f>_xlfn.XLOOKUP(A228,'Prior Month'!A:A,'Prior Month'!I:I,"")</f>
        <v>4.1607324559217361E-2</v>
      </c>
      <c r="G228" s="18">
        <f>_xlfn.XLOOKUP(A228,'Year end 2024'!A:A,'Year end 2024'!I:I,"")</f>
        <v>8.6562585590189076E-2</v>
      </c>
      <c r="H228" s="19">
        <f>_xlfn.XLOOKUP(A228,'Current Month'!A:A,'Current Month'!E:E,0,0)</f>
        <v>51050.19</v>
      </c>
      <c r="I228" s="32">
        <f>_xlfn.XLOOKUP(A228,'Prior Month'!A:A,'Prior Month'!E:E,0,0)</f>
        <v>79801.8</v>
      </c>
      <c r="J228" s="32">
        <f>_xlfn.XLOOKUP(A228,'Year end 2024'!A:A,'Year end 2024'!E:E,0,0)</f>
        <v>169402.98</v>
      </c>
      <c r="K228" s="14">
        <f t="shared" si="6"/>
        <v>-28751.61</v>
      </c>
      <c r="L228" s="14">
        <f t="shared" si="7"/>
        <v>-118352.79000000001</v>
      </c>
    </row>
    <row r="229" spans="1:12" ht="35.15" customHeight="1" x14ac:dyDescent="0.4">
      <c r="A229" s="11" t="s">
        <v>518</v>
      </c>
      <c r="B229" s="11" t="s">
        <v>519</v>
      </c>
      <c r="C229" s="11" t="s">
        <v>67</v>
      </c>
      <c r="D229" s="11" t="s">
        <v>66</v>
      </c>
      <c r="E229" s="18">
        <f>_xlfn.XLOOKUP(A229,'Current Month'!A:A,'Current Month'!I:I,"")</f>
        <v>6.0702505156314292E-2</v>
      </c>
      <c r="F229" s="21">
        <f>_xlfn.XLOOKUP(A229,'Prior Month'!A:A,'Prior Month'!I:I,"")</f>
        <v>3.8112278752592113E-2</v>
      </c>
      <c r="G229" s="18">
        <f>_xlfn.XLOOKUP(A229,'Year end 2024'!A:A,'Year end 2024'!I:I,"")</f>
        <v>7.1428571428571426E-3</v>
      </c>
      <c r="H229" s="19">
        <f>_xlfn.XLOOKUP(A229,'Current Month'!A:A,'Current Month'!E:E,0,0)</f>
        <v>36954.93</v>
      </c>
      <c r="I229" s="32">
        <f>_xlfn.XLOOKUP(A229,'Prior Month'!A:A,'Prior Month'!E:E,0,0)</f>
        <v>23444.58</v>
      </c>
      <c r="J229" s="32">
        <f>_xlfn.XLOOKUP(A229,'Year end 2024'!A:A,'Year end 2024'!E:E,0,0)</f>
        <v>5000</v>
      </c>
      <c r="K229" s="14">
        <f t="shared" si="6"/>
        <v>13510.349999999999</v>
      </c>
      <c r="L229" s="14">
        <f t="shared" si="7"/>
        <v>31954.93</v>
      </c>
    </row>
    <row r="230" spans="1:12" ht="35.15" customHeight="1" x14ac:dyDescent="0.4">
      <c r="A230" s="11" t="s">
        <v>520</v>
      </c>
      <c r="B230" s="11" t="s">
        <v>521</v>
      </c>
      <c r="C230" s="11" t="s">
        <v>15</v>
      </c>
      <c r="D230" s="11" t="s">
        <v>14</v>
      </c>
      <c r="E230" s="18">
        <f>_xlfn.XLOOKUP(A230,'Current Month'!A:A,'Current Month'!I:I,"")</f>
        <v>0</v>
      </c>
      <c r="F230" s="21">
        <f>_xlfn.XLOOKUP(A230,'Prior Month'!A:A,'Prior Month'!I:I,"")</f>
        <v>0</v>
      </c>
      <c r="G230" s="18">
        <f>_xlfn.XLOOKUP(A230,'Year end 2024'!A:A,'Year end 2024'!I:I,"")</f>
        <v>0</v>
      </c>
      <c r="H230" s="19">
        <f>_xlfn.XLOOKUP(A230,'Current Month'!A:A,'Current Month'!E:E,0,0)</f>
        <v>0</v>
      </c>
      <c r="I230" s="32">
        <f>_xlfn.XLOOKUP(A230,'Prior Month'!A:A,'Prior Month'!E:E,0,0)</f>
        <v>0</v>
      </c>
      <c r="J230" s="32">
        <f>_xlfn.XLOOKUP(A230,'Year end 2024'!A:A,'Year end 2024'!E:E,0,0)</f>
        <v>0</v>
      </c>
      <c r="K230" s="14">
        <f t="shared" si="6"/>
        <v>0</v>
      </c>
      <c r="L230" s="14">
        <f t="shared" si="7"/>
        <v>0</v>
      </c>
    </row>
    <row r="231" spans="1:12" ht="35.15" customHeight="1" x14ac:dyDescent="0.4">
      <c r="A231" s="11" t="s">
        <v>522</v>
      </c>
      <c r="B231" s="11" t="s">
        <v>523</v>
      </c>
      <c r="C231" s="11" t="s">
        <v>19</v>
      </c>
      <c r="D231" s="11" t="s">
        <v>18</v>
      </c>
      <c r="E231" s="18" t="str">
        <f>_xlfn.XLOOKUP(A231,'Current Month'!A:A,'Current Month'!I:I,"")</f>
        <v/>
      </c>
      <c r="F231" s="21" t="str">
        <f>_xlfn.XLOOKUP(A231,'Prior Month'!A:A,'Prior Month'!I:I,"")</f>
        <v/>
      </c>
      <c r="G231" s="18" t="str">
        <f>_xlfn.XLOOKUP(A231,'Year end 2024'!A:A,'Year end 2024'!I:I,"")</f>
        <v/>
      </c>
      <c r="H231" s="19">
        <f>_xlfn.XLOOKUP(A231,'Current Month'!A:A,'Current Month'!E:E,0,0)</f>
        <v>84486.96</v>
      </c>
      <c r="I231" s="32">
        <f>_xlfn.XLOOKUP(A231,'Prior Month'!A:A,'Prior Month'!E:E,0,0)</f>
        <v>86778.53</v>
      </c>
      <c r="J231" s="32">
        <f>_xlfn.XLOOKUP(A231,'Year end 2024'!A:A,'Year end 2024'!E:E,0,0)</f>
        <v>86235.45</v>
      </c>
      <c r="K231" s="14">
        <f t="shared" si="6"/>
        <v>-2291.5699999999924</v>
      </c>
      <c r="L231" s="14">
        <f t="shared" si="7"/>
        <v>-1748.4899999999907</v>
      </c>
    </row>
    <row r="232" spans="1:12" ht="35.15" customHeight="1" x14ac:dyDescent="0.4">
      <c r="A232" s="11" t="s">
        <v>524</v>
      </c>
      <c r="B232" s="11" t="s">
        <v>525</v>
      </c>
      <c r="C232" s="11" t="s">
        <v>487</v>
      </c>
      <c r="D232" s="11" t="s">
        <v>486</v>
      </c>
      <c r="E232" s="18">
        <f>_xlfn.XLOOKUP(A232,'Current Month'!A:A,'Current Month'!I:I,"")</f>
        <v>5.7429573934837089E-4</v>
      </c>
      <c r="F232" s="21">
        <f>_xlfn.XLOOKUP(A232,'Prior Month'!A:A,'Prior Month'!I:I,"")</f>
        <v>4.8642355175688507E-4</v>
      </c>
      <c r="G232" s="18" t="str">
        <f>_xlfn.XLOOKUP(A232,'Year end 2024'!A:A,'Year end 2024'!I:I,"")</f>
        <v/>
      </c>
      <c r="H232" s="19">
        <f>_xlfn.XLOOKUP(A232,'Current Month'!A:A,'Current Month'!E:E,0,0)</f>
        <v>3437.16</v>
      </c>
      <c r="I232" s="32">
        <f>_xlfn.XLOOKUP(A232,'Prior Month'!A:A,'Prior Month'!E:E,0,0)</f>
        <v>2561.02</v>
      </c>
      <c r="J232" s="32">
        <f>_xlfn.XLOOKUP(A232,'Year end 2024'!A:A,'Year end 2024'!E:E,0,0)</f>
        <v>0</v>
      </c>
      <c r="K232" s="14">
        <f t="shared" si="6"/>
        <v>876.13999999999987</v>
      </c>
      <c r="L232" s="14">
        <f t="shared" si="7"/>
        <v>3437.16</v>
      </c>
    </row>
    <row r="233" spans="1:12" ht="35.15" customHeight="1" x14ac:dyDescent="0.4">
      <c r="A233" s="11" t="s">
        <v>526</v>
      </c>
      <c r="B233" s="11" t="s">
        <v>527</v>
      </c>
      <c r="C233" s="11" t="s">
        <v>259</v>
      </c>
      <c r="D233" s="11" t="s">
        <v>258</v>
      </c>
      <c r="E233" s="18">
        <f>_xlfn.XLOOKUP(A233,'Current Month'!A:A,'Current Month'!I:I,"")</f>
        <v>3.5657393333333329E-2</v>
      </c>
      <c r="F233" s="21">
        <f>_xlfn.XLOOKUP(A233,'Prior Month'!A:A,'Prior Month'!I:I,"")</f>
        <v>4.6802473333333337E-2</v>
      </c>
      <c r="G233" s="18" t="str">
        <f>_xlfn.XLOOKUP(A233,'Year end 2024'!A:A,'Year end 2024'!I:I,"")</f>
        <v/>
      </c>
      <c r="H233" s="19">
        <f>_xlfn.XLOOKUP(A233,'Current Month'!A:A,'Current Month'!E:E,0,0)</f>
        <v>53486.09</v>
      </c>
      <c r="I233" s="32">
        <f>_xlfn.XLOOKUP(A233,'Prior Month'!A:A,'Prior Month'!E:E,0,0)</f>
        <v>70203.710000000006</v>
      </c>
      <c r="J233" s="32">
        <f>_xlfn.XLOOKUP(A233,'Year end 2024'!A:A,'Year end 2024'!E:E,0,0)</f>
        <v>0</v>
      </c>
      <c r="K233" s="14">
        <f t="shared" si="6"/>
        <v>-16717.62000000001</v>
      </c>
      <c r="L233" s="14">
        <f t="shared" si="7"/>
        <v>53486.09</v>
      </c>
    </row>
    <row r="234" spans="1:12" ht="35.15" customHeight="1" x14ac:dyDescent="0.4">
      <c r="A234" s="11" t="s">
        <v>528</v>
      </c>
      <c r="B234" s="11" t="s">
        <v>529</v>
      </c>
      <c r="C234" s="11" t="s">
        <v>259</v>
      </c>
      <c r="D234" s="11" t="s">
        <v>258</v>
      </c>
      <c r="E234" s="18">
        <f>_xlfn.XLOOKUP(A234,'Current Month'!A:A,'Current Month'!I:I,"")</f>
        <v>0</v>
      </c>
      <c r="F234" s="21">
        <f>_xlfn.XLOOKUP(A234,'Prior Month'!A:A,'Prior Month'!I:I,"")</f>
        <v>0</v>
      </c>
      <c r="G234" s="18" t="str">
        <f>_xlfn.XLOOKUP(A234,'Year end 2024'!A:A,'Year end 2024'!I:I,"")</f>
        <v/>
      </c>
      <c r="H234" s="19">
        <f>_xlfn.XLOOKUP(A234,'Current Month'!A:A,'Current Month'!E:E,0,0)</f>
        <v>0</v>
      </c>
      <c r="I234" s="32">
        <f>_xlfn.XLOOKUP(A234,'Prior Month'!A:A,'Prior Month'!E:E,0,0)</f>
        <v>0</v>
      </c>
      <c r="J234" s="32">
        <f>_xlfn.XLOOKUP(A234,'Year end 2024'!A:A,'Year end 2024'!E:E,0,0)</f>
        <v>0</v>
      </c>
      <c r="K234" s="14">
        <f t="shared" si="6"/>
        <v>0</v>
      </c>
      <c r="L234" s="14">
        <f t="shared" si="7"/>
        <v>0</v>
      </c>
    </row>
    <row r="235" spans="1:12" ht="35.15" customHeight="1" x14ac:dyDescent="0.4">
      <c r="A235" s="11" t="s">
        <v>530</v>
      </c>
      <c r="B235" s="11" t="s">
        <v>531</v>
      </c>
      <c r="C235" s="11" t="s">
        <v>253</v>
      </c>
      <c r="D235" s="11" t="s">
        <v>252</v>
      </c>
      <c r="E235" s="18">
        <f>_xlfn.XLOOKUP(A235,'Current Month'!A:A,'Current Month'!I:I,"")</f>
        <v>0</v>
      </c>
      <c r="F235" s="21">
        <f>_xlfn.XLOOKUP(A235,'Prior Month'!A:A,'Prior Month'!I:I,"")</f>
        <v>0</v>
      </c>
      <c r="G235" s="18" t="str">
        <f>_xlfn.XLOOKUP(A235,'Year end 2024'!A:A,'Year end 2024'!I:I,"")</f>
        <v/>
      </c>
      <c r="H235" s="19">
        <f>_xlfn.XLOOKUP(A235,'Current Month'!A:A,'Current Month'!E:E,0,0)</f>
        <v>0</v>
      </c>
      <c r="I235" s="32">
        <f>_xlfn.XLOOKUP(A235,'Prior Month'!A:A,'Prior Month'!E:E,0,0)</f>
        <v>0</v>
      </c>
      <c r="J235" s="32">
        <f>_xlfn.XLOOKUP(A235,'Year end 2024'!A:A,'Year end 2024'!E:E,0,0)</f>
        <v>0</v>
      </c>
      <c r="K235" s="14">
        <f t="shared" si="6"/>
        <v>0</v>
      </c>
      <c r="L235" s="14">
        <f t="shared" si="7"/>
        <v>0</v>
      </c>
    </row>
    <row r="236" spans="1:12" ht="35.15" customHeight="1" x14ac:dyDescent="0.4">
      <c r="A236" s="11" t="s">
        <v>532</v>
      </c>
      <c r="B236" s="11" t="s">
        <v>533</v>
      </c>
      <c r="C236" s="11" t="s">
        <v>259</v>
      </c>
      <c r="D236" s="11" t="s">
        <v>258</v>
      </c>
      <c r="E236" s="18">
        <f>_xlfn.XLOOKUP(A236,'Current Month'!A:A,'Current Month'!I:I,"")</f>
        <v>0</v>
      </c>
      <c r="F236" s="21">
        <f>_xlfn.XLOOKUP(A236,'Prior Month'!A:A,'Prior Month'!I:I,"")</f>
        <v>0</v>
      </c>
      <c r="G236" s="18" t="str">
        <f>_xlfn.XLOOKUP(A236,'Year end 2024'!A:A,'Year end 2024'!I:I,"")</f>
        <v/>
      </c>
      <c r="H236" s="19">
        <f>_xlfn.XLOOKUP(A236,'Current Month'!A:A,'Current Month'!E:E,0,0)</f>
        <v>0</v>
      </c>
      <c r="I236" s="32">
        <f>_xlfn.XLOOKUP(A236,'Prior Month'!A:A,'Prior Month'!E:E,0,0)</f>
        <v>0</v>
      </c>
      <c r="J236" s="32">
        <f>_xlfn.XLOOKUP(A236,'Year end 2024'!A:A,'Year end 2024'!E:E,0,0)</f>
        <v>0</v>
      </c>
      <c r="K236" s="14">
        <f t="shared" si="6"/>
        <v>0</v>
      </c>
      <c r="L236" s="14">
        <f t="shared" si="7"/>
        <v>0</v>
      </c>
    </row>
    <row r="237" spans="1:12" ht="35.15" customHeight="1" x14ac:dyDescent="0.4">
      <c r="A237" s="11" t="s">
        <v>534</v>
      </c>
      <c r="B237" s="11" t="s">
        <v>535</v>
      </c>
      <c r="C237" s="11" t="s">
        <v>487</v>
      </c>
      <c r="D237" s="11" t="s">
        <v>486</v>
      </c>
      <c r="E237" s="18">
        <f>_xlfn.XLOOKUP(A237,'Current Month'!A:A,'Current Month'!I:I,"")</f>
        <v>0.37345279452736024</v>
      </c>
      <c r="F237" s="21">
        <f>_xlfn.XLOOKUP(A237,'Prior Month'!A:A,'Prior Month'!I:I,"")</f>
        <v>0.20396605653676489</v>
      </c>
      <c r="G237" s="18" t="str">
        <f>_xlfn.XLOOKUP(A237,'Year end 2024'!A:A,'Year end 2024'!I:I,"")</f>
        <v/>
      </c>
      <c r="H237" s="19">
        <f>_xlfn.XLOOKUP(A237,'Current Month'!A:A,'Current Month'!E:E,0,0)</f>
        <v>3830627.44</v>
      </c>
      <c r="I237" s="32">
        <f>_xlfn.XLOOKUP(A237,'Prior Month'!A:A,'Prior Month'!E:E,0,0)</f>
        <v>2103666.9700000002</v>
      </c>
      <c r="J237" s="32">
        <f>_xlfn.XLOOKUP(A237,'Year end 2024'!A:A,'Year end 2024'!E:E,0,0)</f>
        <v>0</v>
      </c>
      <c r="K237" s="14">
        <f t="shared" si="6"/>
        <v>1726960.4699999997</v>
      </c>
      <c r="L237" s="14">
        <f t="shared" si="7"/>
        <v>3830627.44</v>
      </c>
    </row>
    <row r="238" spans="1:12" ht="35.15" customHeight="1" x14ac:dyDescent="0.4">
      <c r="A238" s="11" t="s">
        <v>536</v>
      </c>
      <c r="B238" s="11" t="s">
        <v>537</v>
      </c>
      <c r="C238" s="11" t="s">
        <v>253</v>
      </c>
      <c r="D238" s="11" t="s">
        <v>252</v>
      </c>
      <c r="E238" s="18">
        <f>_xlfn.XLOOKUP(A238,'Current Month'!A:A,'Current Month'!I:I,"")</f>
        <v>0.23223554885289607</v>
      </c>
      <c r="F238" s="21">
        <f>_xlfn.XLOOKUP(A238,'Prior Month'!A:A,'Prior Month'!I:I,"")</f>
        <v>0.22888235667870552</v>
      </c>
      <c r="G238" s="18" t="str">
        <f>_xlfn.XLOOKUP(A238,'Year end 2024'!A:A,'Year end 2024'!I:I,"")</f>
        <v/>
      </c>
      <c r="H238" s="19">
        <f>_xlfn.XLOOKUP(A238,'Current Month'!A:A,'Current Month'!E:E,0,0)</f>
        <v>1109505.33</v>
      </c>
      <c r="I238" s="32">
        <f>_xlfn.XLOOKUP(A238,'Prior Month'!A:A,'Prior Month'!E:E,0,0)</f>
        <v>1098158.47</v>
      </c>
      <c r="J238" s="32">
        <f>_xlfn.XLOOKUP(A238,'Year end 2024'!A:A,'Year end 2024'!E:E,0,0)</f>
        <v>0</v>
      </c>
      <c r="K238" s="14">
        <f t="shared" si="6"/>
        <v>11346.860000000102</v>
      </c>
      <c r="L238" s="14">
        <f t="shared" si="7"/>
        <v>1109505.33</v>
      </c>
    </row>
    <row r="239" spans="1:12" ht="35.15" customHeight="1" x14ac:dyDescent="0.4">
      <c r="A239" s="11" t="s">
        <v>538</v>
      </c>
      <c r="B239" s="11" t="s">
        <v>539</v>
      </c>
      <c r="C239" s="11" t="s">
        <v>541</v>
      </c>
      <c r="D239" s="11" t="s">
        <v>540</v>
      </c>
      <c r="E239" s="18">
        <f>_xlfn.XLOOKUP(A239,'Current Month'!A:A,'Current Month'!I:I,"")</f>
        <v>1.9032333769931686</v>
      </c>
      <c r="F239" s="21">
        <f>_xlfn.XLOOKUP(A239,'Prior Month'!A:A,'Prior Month'!I:I,"")</f>
        <v>1.779679533296042</v>
      </c>
      <c r="G239" s="18" t="str">
        <f>_xlfn.XLOOKUP(A239,'Year end 2024'!A:A,'Year end 2024'!I:I,"")</f>
        <v/>
      </c>
      <c r="H239" s="19">
        <f>_xlfn.XLOOKUP(A239,'Current Month'!A:A,'Current Month'!E:E,0,0)</f>
        <v>47036.11</v>
      </c>
      <c r="I239" s="32">
        <f>_xlfn.XLOOKUP(A239,'Prior Month'!A:A,'Prior Month'!E:E,0,0)</f>
        <v>45369.05</v>
      </c>
      <c r="J239" s="32">
        <f>_xlfn.XLOOKUP(A239,'Year end 2024'!A:A,'Year end 2024'!E:E,0,0)</f>
        <v>0</v>
      </c>
      <c r="K239" s="14">
        <f t="shared" si="6"/>
        <v>1667.0599999999977</v>
      </c>
      <c r="L239" s="14">
        <f t="shared" si="7"/>
        <v>47036.11</v>
      </c>
    </row>
    <row r="240" spans="1:12" ht="35.15" customHeight="1" x14ac:dyDescent="0.4">
      <c r="A240" s="11" t="s">
        <v>542</v>
      </c>
      <c r="B240" s="11" t="s">
        <v>543</v>
      </c>
      <c r="C240" s="11" t="s">
        <v>487</v>
      </c>
      <c r="D240" s="11" t="s">
        <v>486</v>
      </c>
      <c r="E240" s="18">
        <f>_xlfn.XLOOKUP(A240,'Current Month'!A:A,'Current Month'!I:I,"")</f>
        <v>0.2613412140077821</v>
      </c>
      <c r="F240" s="21">
        <f>_xlfn.XLOOKUP(A240,'Prior Month'!A:A,'Prior Month'!I:I,"")</f>
        <v>0.26099189105058368</v>
      </c>
      <c r="G240" s="18" t="str">
        <f>_xlfn.XLOOKUP(A240,'Year end 2024'!A:A,'Year end 2024'!I:I,"")</f>
        <v/>
      </c>
      <c r="H240" s="19">
        <f>_xlfn.XLOOKUP(A240,'Current Month'!A:A,'Current Month'!E:E,0,0)</f>
        <v>503735.19</v>
      </c>
      <c r="I240" s="32">
        <f>_xlfn.XLOOKUP(A240,'Prior Month'!A:A,'Prior Month'!E:E,0,0)</f>
        <v>503061.87</v>
      </c>
      <c r="J240" s="32">
        <f>_xlfn.XLOOKUP(A240,'Year end 2024'!A:A,'Year end 2024'!E:E,0,0)</f>
        <v>0</v>
      </c>
      <c r="K240" s="14">
        <f t="shared" si="6"/>
        <v>673.32000000000698</v>
      </c>
      <c r="L240" s="14">
        <f t="shared" si="7"/>
        <v>503735.19</v>
      </c>
    </row>
    <row r="241" spans="1:12" ht="35.15" customHeight="1" x14ac:dyDescent="0.4">
      <c r="A241" s="11" t="s">
        <v>544</v>
      </c>
      <c r="B241" s="11" t="s">
        <v>545</v>
      </c>
      <c r="C241" s="11" t="s">
        <v>41</v>
      </c>
      <c r="D241" s="11" t="s">
        <v>40</v>
      </c>
      <c r="E241" s="18">
        <f>_xlfn.XLOOKUP(A241,'Current Month'!A:A,'Current Month'!I:I,"")</f>
        <v>1.325576E-2</v>
      </c>
      <c r="F241" s="21">
        <f>_xlfn.XLOOKUP(A241,'Prior Month'!A:A,'Prior Month'!I:I,"")</f>
        <v>3.7119999999999997E-5</v>
      </c>
      <c r="G241" s="18" t="str">
        <f>_xlfn.XLOOKUP(A241,'Year end 2024'!A:A,'Year end 2024'!I:I,"")</f>
        <v/>
      </c>
      <c r="H241" s="19">
        <f>_xlfn.XLOOKUP(A241,'Current Month'!A:A,'Current Month'!E:E,0,0)</f>
        <v>3313.94</v>
      </c>
      <c r="I241" s="32">
        <f>_xlfn.XLOOKUP(A241,'Prior Month'!A:A,'Prior Month'!E:E,0,0)</f>
        <v>9.2799999999999994</v>
      </c>
      <c r="J241" s="32">
        <f>_xlfn.XLOOKUP(A241,'Year end 2024'!A:A,'Year end 2024'!E:E,0,0)</f>
        <v>0</v>
      </c>
      <c r="K241" s="14">
        <f t="shared" si="6"/>
        <v>3304.66</v>
      </c>
      <c r="L241" s="14">
        <f t="shared" si="7"/>
        <v>3313.94</v>
      </c>
    </row>
    <row r="242" spans="1:12" ht="35.15" customHeight="1" x14ac:dyDescent="0.4">
      <c r="A242" s="11" t="s">
        <v>546</v>
      </c>
      <c r="B242" s="11" t="s">
        <v>547</v>
      </c>
      <c r="C242" s="11" t="s">
        <v>487</v>
      </c>
      <c r="D242" s="11" t="s">
        <v>486</v>
      </c>
      <c r="E242" s="18">
        <f>_xlfn.XLOOKUP(A242,'Current Month'!A:A,'Current Month'!I:I,"")</f>
        <v>1.0032109400192986</v>
      </c>
      <c r="F242" s="21">
        <f>_xlfn.XLOOKUP(A242,'Prior Month'!A:A,'Prior Month'!I:I,"")</f>
        <v>0.99353554425270008</v>
      </c>
      <c r="G242" s="18" t="str">
        <f>_xlfn.XLOOKUP(A242,'Year end 2024'!A:A,'Year end 2024'!I:I,"")</f>
        <v/>
      </c>
      <c r="H242" s="19">
        <f>_xlfn.XLOOKUP(A242,'Current Month'!A:A,'Current Month'!E:E,0,0)</f>
        <v>1594272.87</v>
      </c>
      <c r="I242" s="32">
        <f>_xlfn.XLOOKUP(A242,'Prior Month'!A:A,'Prior Month'!E:E,0,0)</f>
        <v>1581299.22</v>
      </c>
      <c r="J242" s="32">
        <f>_xlfn.XLOOKUP(A242,'Year end 2024'!A:A,'Year end 2024'!E:E,0,0)</f>
        <v>0</v>
      </c>
      <c r="K242" s="14">
        <f t="shared" si="6"/>
        <v>12973.65000000014</v>
      </c>
      <c r="L242" s="14">
        <f t="shared" si="7"/>
        <v>1594272.87</v>
      </c>
    </row>
    <row r="243" spans="1:12" ht="35.15" customHeight="1" x14ac:dyDescent="0.4">
      <c r="A243" s="11" t="s">
        <v>548</v>
      </c>
      <c r="B243" s="11" t="s">
        <v>549</v>
      </c>
      <c r="C243" s="11" t="s">
        <v>101</v>
      </c>
      <c r="D243" s="11" t="s">
        <v>100</v>
      </c>
      <c r="E243" s="18" t="str">
        <f>_xlfn.XLOOKUP(A243,'Current Month'!A:A,'Current Month'!I:I,"")</f>
        <v/>
      </c>
      <c r="F243" s="21" t="str">
        <f>_xlfn.XLOOKUP(A243,'Prior Month'!A:A,'Prior Month'!I:I,"")</f>
        <v/>
      </c>
      <c r="G243" s="18" t="str">
        <f>_xlfn.XLOOKUP(A243,'Year end 2024'!A:A,'Year end 2024'!I:I,"")</f>
        <v/>
      </c>
      <c r="H243" s="19">
        <f>_xlfn.XLOOKUP(A243,'Current Month'!A:A,'Current Month'!E:E,0,0)</f>
        <v>16662.97</v>
      </c>
      <c r="I243" s="32">
        <f>_xlfn.XLOOKUP(A243,'Prior Month'!A:A,'Prior Month'!E:E,0,0)</f>
        <v>15396.16</v>
      </c>
      <c r="J243" s="32">
        <f>_xlfn.XLOOKUP(A243,'Year end 2024'!A:A,'Year end 2024'!E:E,0,0)</f>
        <v>0</v>
      </c>
      <c r="K243" s="14">
        <f t="shared" si="6"/>
        <v>1266.8100000000013</v>
      </c>
      <c r="L243" s="14">
        <f t="shared" si="7"/>
        <v>16662.97</v>
      </c>
    </row>
    <row r="244" spans="1:12" ht="35.15" customHeight="1" x14ac:dyDescent="0.4">
      <c r="A244" s="11" t="s">
        <v>550</v>
      </c>
      <c r="B244" s="11" t="s">
        <v>551</v>
      </c>
      <c r="C244" s="11" t="s">
        <v>101</v>
      </c>
      <c r="D244" s="11" t="s">
        <v>100</v>
      </c>
      <c r="E244" s="18">
        <f>_xlfn.XLOOKUP(A244,'Current Month'!A:A,'Current Month'!I:I,"")</f>
        <v>1.4205248875036407</v>
      </c>
      <c r="F244" s="21">
        <f>_xlfn.XLOOKUP(A244,'Prior Month'!A:A,'Prior Month'!I:I,"")</f>
        <v>0.296276025</v>
      </c>
      <c r="G244" s="18" t="str">
        <f>_xlfn.XLOOKUP(A244,'Year end 2024'!A:A,'Year end 2024'!I:I,"")</f>
        <v/>
      </c>
      <c r="H244" s="19">
        <f>_xlfn.XLOOKUP(A244,'Current Month'!A:A,'Current Month'!E:E,0,0)</f>
        <v>263758.96999999997</v>
      </c>
      <c r="I244" s="32">
        <f>_xlfn.XLOOKUP(A244,'Prior Month'!A:A,'Prior Month'!E:E,0,0)</f>
        <v>118510.41</v>
      </c>
      <c r="J244" s="32">
        <f>_xlfn.XLOOKUP(A244,'Year end 2024'!A:A,'Year end 2024'!E:E,0,0)</f>
        <v>0</v>
      </c>
      <c r="K244" s="14">
        <f t="shared" si="6"/>
        <v>145248.55999999997</v>
      </c>
      <c r="L244" s="14">
        <f t="shared" si="7"/>
        <v>263758.96999999997</v>
      </c>
    </row>
    <row r="245" spans="1:12" ht="35.15" customHeight="1" x14ac:dyDescent="0.4">
      <c r="A245" s="11" t="s">
        <v>552</v>
      </c>
      <c r="B245" s="11" t="s">
        <v>553</v>
      </c>
      <c r="C245" s="11" t="s">
        <v>487</v>
      </c>
      <c r="D245" s="11" t="s">
        <v>486</v>
      </c>
      <c r="E245" s="18">
        <f>_xlfn.XLOOKUP(A245,'Current Month'!A:A,'Current Month'!I:I,"")</f>
        <v>2.51586E-2</v>
      </c>
      <c r="F245" s="21">
        <f>_xlfn.XLOOKUP(A245,'Prior Month'!A:A,'Prior Month'!I:I,"")</f>
        <v>6.5391953333333322E-2</v>
      </c>
      <c r="G245" s="18" t="str">
        <f>_xlfn.XLOOKUP(A245,'Year end 2024'!A:A,'Year end 2024'!I:I,"")</f>
        <v/>
      </c>
      <c r="H245" s="19">
        <f>_xlfn.XLOOKUP(A245,'Current Month'!A:A,'Current Month'!E:E,0,0)</f>
        <v>75475.8</v>
      </c>
      <c r="I245" s="32">
        <f>_xlfn.XLOOKUP(A245,'Prior Month'!A:A,'Prior Month'!E:E,0,0)</f>
        <v>196175.86</v>
      </c>
      <c r="J245" s="32">
        <f>_xlfn.XLOOKUP(A245,'Year end 2024'!A:A,'Year end 2024'!E:E,0,0)</f>
        <v>0</v>
      </c>
      <c r="K245" s="14">
        <f t="shared" si="6"/>
        <v>-120700.05999999998</v>
      </c>
      <c r="L245" s="14">
        <f t="shared" si="7"/>
        <v>75475.8</v>
      </c>
    </row>
    <row r="246" spans="1:12" ht="35.15" customHeight="1" x14ac:dyDescent="0.4">
      <c r="A246" s="11" t="s">
        <v>554</v>
      </c>
      <c r="B246" s="11" t="s">
        <v>555</v>
      </c>
      <c r="C246" s="11" t="s">
        <v>259</v>
      </c>
      <c r="D246" s="11" t="s">
        <v>258</v>
      </c>
      <c r="E246" s="18">
        <f>_xlfn.XLOOKUP(A246,'Current Month'!A:A,'Current Month'!I:I,"")</f>
        <v>5.3344324722278444E-2</v>
      </c>
      <c r="F246" s="21">
        <f>_xlfn.XLOOKUP(A246,'Prior Month'!A:A,'Prior Month'!I:I,"")</f>
        <v>3.0352965892185019E-2</v>
      </c>
      <c r="G246" s="18" t="str">
        <f>_xlfn.XLOOKUP(A246,'Year end 2024'!A:A,'Year end 2024'!I:I,"")</f>
        <v/>
      </c>
      <c r="H246" s="19">
        <f>_xlfn.XLOOKUP(A246,'Current Month'!A:A,'Current Month'!E:E,0,0)</f>
        <v>90197.3</v>
      </c>
      <c r="I246" s="32">
        <f>_xlfn.XLOOKUP(A246,'Prior Month'!A:A,'Prior Month'!E:E,0,0)</f>
        <v>51322.34</v>
      </c>
      <c r="J246" s="32">
        <f>_xlfn.XLOOKUP(A246,'Year end 2024'!A:A,'Year end 2024'!E:E,0,0)</f>
        <v>0</v>
      </c>
      <c r="K246" s="14">
        <f t="shared" si="6"/>
        <v>38874.960000000006</v>
      </c>
      <c r="L246" s="14">
        <f t="shared" si="7"/>
        <v>90197.3</v>
      </c>
    </row>
    <row r="247" spans="1:12" ht="35.15" customHeight="1" x14ac:dyDescent="0.4">
      <c r="A247" s="11" t="s">
        <v>556</v>
      </c>
      <c r="B247" s="11" t="s">
        <v>557</v>
      </c>
      <c r="C247" s="11" t="s">
        <v>67</v>
      </c>
      <c r="D247" s="11" t="s">
        <v>66</v>
      </c>
      <c r="E247" s="18">
        <f>_xlfn.XLOOKUP(A247,'Current Month'!A:A,'Current Month'!I:I,"")</f>
        <v>1.1920333333333335E-3</v>
      </c>
      <c r="F247" s="21">
        <f>_xlfn.XLOOKUP(A247,'Prior Month'!A:A,'Prior Month'!I:I,"")</f>
        <v>1.1920333333333335E-3</v>
      </c>
      <c r="G247" s="18" t="str">
        <f>_xlfn.XLOOKUP(A247,'Year end 2024'!A:A,'Year end 2024'!I:I,"")</f>
        <v/>
      </c>
      <c r="H247" s="19">
        <f>_xlfn.XLOOKUP(A247,'Current Month'!A:A,'Current Month'!E:E,0,0)</f>
        <v>357.61</v>
      </c>
      <c r="I247" s="32">
        <f>_xlfn.XLOOKUP(A247,'Prior Month'!A:A,'Prior Month'!E:E,0,0)</f>
        <v>357.61</v>
      </c>
      <c r="J247" s="32">
        <f>_xlfn.XLOOKUP(A247,'Year end 2024'!A:A,'Year end 2024'!E:E,0,0)</f>
        <v>995</v>
      </c>
      <c r="K247" s="14">
        <f t="shared" si="6"/>
        <v>0</v>
      </c>
      <c r="L247" s="14">
        <f t="shared" si="7"/>
        <v>-637.39</v>
      </c>
    </row>
    <row r="248" spans="1:12" ht="35.15" customHeight="1" x14ac:dyDescent="0.4">
      <c r="A248" s="11" t="s">
        <v>558</v>
      </c>
      <c r="B248" s="11" t="s">
        <v>559</v>
      </c>
      <c r="C248" s="11" t="s">
        <v>457</v>
      </c>
      <c r="D248" s="11" t="s">
        <v>456</v>
      </c>
      <c r="E248" s="18">
        <f>_xlfn.XLOOKUP(A248,'Current Month'!A:A,'Current Month'!I:I,"")</f>
        <v>5.630554188846751E-3</v>
      </c>
      <c r="F248" s="21">
        <f>_xlfn.XLOOKUP(A248,'Prior Month'!A:A,'Prior Month'!I:I,"")</f>
        <v>7.4054014556336634E-3</v>
      </c>
      <c r="G248" s="18" t="str">
        <f>_xlfn.XLOOKUP(A248,'Year end 2024'!A:A,'Year end 2024'!I:I,"")</f>
        <v/>
      </c>
      <c r="H248" s="19">
        <f>_xlfn.XLOOKUP(A248,'Current Month'!A:A,'Current Month'!E:E,0,0)</f>
        <v>6735.4</v>
      </c>
      <c r="I248" s="32">
        <f>_xlfn.XLOOKUP(A248,'Prior Month'!A:A,'Prior Month'!E:E,0,0)</f>
        <v>8870.7800000000007</v>
      </c>
      <c r="J248" s="32">
        <f>_xlfn.XLOOKUP(A248,'Year end 2024'!A:A,'Year end 2024'!E:E,0,0)</f>
        <v>0</v>
      </c>
      <c r="K248" s="14">
        <f t="shared" si="6"/>
        <v>-2135.380000000001</v>
      </c>
      <c r="L248" s="14">
        <f t="shared" si="7"/>
        <v>6735.4</v>
      </c>
    </row>
    <row r="249" spans="1:12" ht="35.15" customHeight="1" x14ac:dyDescent="0.4">
      <c r="A249" s="11" t="s">
        <v>560</v>
      </c>
      <c r="B249" s="11" t="s">
        <v>561</v>
      </c>
      <c r="C249" s="11" t="s">
        <v>57</v>
      </c>
      <c r="D249" s="11" t="s">
        <v>56</v>
      </c>
      <c r="E249" s="18">
        <f>_xlfn.XLOOKUP(A249,'Current Month'!A:A,'Current Month'!I:I,"")</f>
        <v>2.6163840000000001E-2</v>
      </c>
      <c r="F249" s="21">
        <f>_xlfn.XLOOKUP(A249,'Prior Month'!A:A,'Prior Month'!I:I,"")</f>
        <v>8.7625759999999997E-2</v>
      </c>
      <c r="G249" s="18" t="str">
        <f>_xlfn.XLOOKUP(A249,'Year end 2024'!A:A,'Year end 2024'!I:I,"")</f>
        <v/>
      </c>
      <c r="H249" s="19">
        <f>_xlfn.XLOOKUP(A249,'Current Month'!A:A,'Current Month'!E:E,0,0)</f>
        <v>6540.96</v>
      </c>
      <c r="I249" s="32">
        <f>_xlfn.XLOOKUP(A249,'Prior Month'!A:A,'Prior Month'!E:E,0,0)</f>
        <v>21906.44</v>
      </c>
      <c r="J249" s="32">
        <f>_xlfn.XLOOKUP(A249,'Year end 2024'!A:A,'Year end 2024'!E:E,0,0)</f>
        <v>1902.69</v>
      </c>
      <c r="K249" s="14">
        <f t="shared" si="6"/>
        <v>-15365.48</v>
      </c>
      <c r="L249" s="14">
        <f t="shared" si="7"/>
        <v>4638.2700000000004</v>
      </c>
    </row>
    <row r="250" spans="1:12" ht="35.15" customHeight="1" x14ac:dyDescent="0.4">
      <c r="A250" s="11" t="s">
        <v>562</v>
      </c>
      <c r="B250" s="11" t="s">
        <v>563</v>
      </c>
      <c r="C250" s="11" t="s">
        <v>457</v>
      </c>
      <c r="D250" s="11" t="s">
        <v>456</v>
      </c>
      <c r="E250" s="18">
        <f>_xlfn.XLOOKUP(A250,'Current Month'!A:A,'Current Month'!I:I,"")</f>
        <v>1.1358977123656503E-3</v>
      </c>
      <c r="F250" s="21">
        <f>_xlfn.XLOOKUP(A250,'Prior Month'!A:A,'Prior Month'!I:I,"")</f>
        <v>1.5940425545055068E-3</v>
      </c>
      <c r="G250" s="18" t="str">
        <f>_xlfn.XLOOKUP(A250,'Year end 2024'!A:A,'Year end 2024'!I:I,"")</f>
        <v/>
      </c>
      <c r="H250" s="19">
        <f>_xlfn.XLOOKUP(A250,'Current Month'!A:A,'Current Month'!E:E,0,0)</f>
        <v>901.68</v>
      </c>
      <c r="I250" s="32">
        <f>_xlfn.XLOOKUP(A250,'Prior Month'!A:A,'Prior Month'!E:E,0,0)</f>
        <v>1269.8900000000001</v>
      </c>
      <c r="J250" s="32">
        <f>_xlfn.XLOOKUP(A250,'Year end 2024'!A:A,'Year end 2024'!E:E,0,0)</f>
        <v>0</v>
      </c>
      <c r="K250" s="14">
        <f t="shared" si="6"/>
        <v>-368.21000000000015</v>
      </c>
      <c r="L250" s="14">
        <f t="shared" si="7"/>
        <v>901.68</v>
      </c>
    </row>
    <row r="251" spans="1:12" ht="35.15" customHeight="1" x14ac:dyDescent="0.4">
      <c r="A251" s="11" t="s">
        <v>564</v>
      </c>
      <c r="B251" s="11" t="s">
        <v>565</v>
      </c>
      <c r="C251" s="11" t="s">
        <v>101</v>
      </c>
      <c r="D251" s="11" t="s">
        <v>100</v>
      </c>
      <c r="E251" s="18">
        <f>_xlfn.XLOOKUP(A251,'Current Month'!A:A,'Current Month'!I:I,"")</f>
        <v>0.50278160000000005</v>
      </c>
      <c r="F251" s="21">
        <f>_xlfn.XLOOKUP(A251,'Prior Month'!A:A,'Prior Month'!I:I,"")</f>
        <v>0.84341960000000005</v>
      </c>
      <c r="G251" s="18" t="str">
        <f>_xlfn.XLOOKUP(A251,'Year end 2024'!A:A,'Year end 2024'!I:I,"")</f>
        <v/>
      </c>
      <c r="H251" s="19">
        <f>_xlfn.XLOOKUP(A251,'Current Month'!A:A,'Current Month'!E:E,0,0)</f>
        <v>25139.08</v>
      </c>
      <c r="I251" s="32">
        <f>_xlfn.XLOOKUP(A251,'Prior Month'!A:A,'Prior Month'!E:E,0,0)</f>
        <v>42170.98</v>
      </c>
      <c r="J251" s="32">
        <f>_xlfn.XLOOKUP(A251,'Year end 2024'!A:A,'Year end 2024'!E:E,0,0)</f>
        <v>0</v>
      </c>
      <c r="K251" s="14">
        <f t="shared" si="6"/>
        <v>-17031.900000000001</v>
      </c>
      <c r="L251" s="14">
        <f t="shared" si="7"/>
        <v>25139.08</v>
      </c>
    </row>
    <row r="252" spans="1:12" ht="35.15" customHeight="1" x14ac:dyDescent="0.4">
      <c r="A252" s="11" t="s">
        <v>566</v>
      </c>
      <c r="B252" s="11" t="s">
        <v>567</v>
      </c>
      <c r="C252" s="11" t="s">
        <v>29</v>
      </c>
      <c r="D252" s="11" t="s">
        <v>28</v>
      </c>
      <c r="E252" s="18" t="str">
        <f>_xlfn.XLOOKUP(A252,'Current Month'!A:A,'Current Month'!I:I,"")</f>
        <v/>
      </c>
      <c r="F252" s="21" t="str">
        <f>_xlfn.XLOOKUP(A252,'Prior Month'!A:A,'Prior Month'!I:I,"")</f>
        <v/>
      </c>
      <c r="G252" s="18" t="str">
        <f>_xlfn.XLOOKUP(A252,'Year end 2024'!A:A,'Year end 2024'!I:I,"")</f>
        <v/>
      </c>
      <c r="H252" s="19">
        <f>_xlfn.XLOOKUP(A252,'Current Month'!A:A,'Current Month'!E:E,0,0)</f>
        <v>648911.48</v>
      </c>
      <c r="I252" s="32">
        <f>_xlfn.XLOOKUP(A252,'Prior Month'!A:A,'Prior Month'!E:E,0,0)</f>
        <v>584844.67000000004</v>
      </c>
      <c r="J252" s="32">
        <f>_xlfn.XLOOKUP(A252,'Year end 2024'!A:A,'Year end 2024'!E:E,0,0)</f>
        <v>356532.24</v>
      </c>
      <c r="K252" s="14">
        <f t="shared" si="6"/>
        <v>64066.809999999939</v>
      </c>
      <c r="L252" s="14">
        <f t="shared" si="7"/>
        <v>292379.24</v>
      </c>
    </row>
    <row r="253" spans="1:12" ht="35.15" customHeight="1" x14ac:dyDescent="0.4">
      <c r="A253" s="11" t="s">
        <v>568</v>
      </c>
      <c r="B253" s="11" t="s">
        <v>569</v>
      </c>
      <c r="C253" s="11" t="s">
        <v>101</v>
      </c>
      <c r="D253" s="11" t="s">
        <v>100</v>
      </c>
      <c r="E253" s="18">
        <f>_xlfn.XLOOKUP(A253,'Current Month'!A:A,'Current Month'!I:I,"")</f>
        <v>4.305987695765711E-2</v>
      </c>
      <c r="F253" s="21">
        <f>_xlfn.XLOOKUP(A253,'Prior Month'!A:A,'Prior Month'!I:I,"")</f>
        <v>4.8063874339150769E-2</v>
      </c>
      <c r="G253" s="18" t="str">
        <f>_xlfn.XLOOKUP(A253,'Year end 2024'!A:A,'Year end 2024'!I:I,"")</f>
        <v/>
      </c>
      <c r="H253" s="19">
        <f>_xlfn.XLOOKUP(A253,'Current Month'!A:A,'Current Month'!E:E,0,0)</f>
        <v>21255.3</v>
      </c>
      <c r="I253" s="32">
        <f>_xlfn.XLOOKUP(A253,'Prior Month'!A:A,'Prior Month'!E:E,0,0)</f>
        <v>23831.32</v>
      </c>
      <c r="J253" s="32">
        <f>_xlfn.XLOOKUP(A253,'Year end 2024'!A:A,'Year end 2024'!E:E,0,0)</f>
        <v>1000.71</v>
      </c>
      <c r="K253" s="14">
        <f t="shared" si="6"/>
        <v>-2576.0200000000004</v>
      </c>
      <c r="L253" s="14">
        <f t="shared" si="7"/>
        <v>20254.59</v>
      </c>
    </row>
    <row r="254" spans="1:12" ht="35.15" customHeight="1" x14ac:dyDescent="0.4">
      <c r="A254" s="11" t="s">
        <v>570</v>
      </c>
      <c r="B254" s="11" t="s">
        <v>571</v>
      </c>
      <c r="C254" s="11" t="s">
        <v>253</v>
      </c>
      <c r="D254" s="11" t="s">
        <v>252</v>
      </c>
      <c r="E254" s="18">
        <f>_xlfn.XLOOKUP(A254,'Current Month'!A:A,'Current Month'!I:I,"")</f>
        <v>0.34909168716925487</v>
      </c>
      <c r="F254" s="21">
        <f>_xlfn.XLOOKUP(A254,'Prior Month'!A:A,'Prior Month'!I:I,"")</f>
        <v>0.34568044201186132</v>
      </c>
      <c r="G254" s="18" t="str">
        <f>_xlfn.XLOOKUP(A254,'Year end 2024'!A:A,'Year end 2024'!I:I,"")</f>
        <v/>
      </c>
      <c r="H254" s="19">
        <f>_xlfn.XLOOKUP(A254,'Current Month'!A:A,'Current Month'!E:E,0,0)</f>
        <v>197589.33</v>
      </c>
      <c r="I254" s="32">
        <f>_xlfn.XLOOKUP(A254,'Prior Month'!A:A,'Prior Month'!E:E,0,0)</f>
        <v>196059.68</v>
      </c>
      <c r="J254" s="32">
        <f>_xlfn.XLOOKUP(A254,'Year end 2024'!A:A,'Year end 2024'!E:E,0,0)</f>
        <v>0</v>
      </c>
      <c r="K254" s="14">
        <f t="shared" si="6"/>
        <v>1529.6499999999942</v>
      </c>
      <c r="L254" s="14">
        <f t="shared" si="7"/>
        <v>197589.33</v>
      </c>
    </row>
    <row r="255" spans="1:12" ht="35.15" customHeight="1" x14ac:dyDescent="0.4">
      <c r="A255" s="11" t="s">
        <v>572</v>
      </c>
      <c r="B255" s="11" t="s">
        <v>573</v>
      </c>
      <c r="C255" s="11" t="s">
        <v>465</v>
      </c>
      <c r="D255" s="11" t="s">
        <v>464</v>
      </c>
      <c r="E255" s="18">
        <f>_xlfn.XLOOKUP(A255,'Current Month'!A:A,'Current Month'!I:I,"")</f>
        <v>0.24267065106764715</v>
      </c>
      <c r="F255" s="21">
        <f>_xlfn.XLOOKUP(A255,'Prior Month'!A:A,'Prior Month'!I:I,"")</f>
        <v>0.25424318085106384</v>
      </c>
      <c r="G255" s="18" t="str">
        <f>_xlfn.XLOOKUP(A255,'Year end 2024'!A:A,'Year end 2024'!I:I,"")</f>
        <v/>
      </c>
      <c r="H255" s="19">
        <f>_xlfn.XLOOKUP(A255,'Current Month'!A:A,'Current Month'!E:E,0,0)</f>
        <v>228022.49</v>
      </c>
      <c r="I255" s="32">
        <f>_xlfn.XLOOKUP(A255,'Prior Month'!A:A,'Prior Month'!E:E,0,0)</f>
        <v>238988.59</v>
      </c>
      <c r="J255" s="32">
        <f>_xlfn.XLOOKUP(A255,'Year end 2024'!A:A,'Year end 2024'!E:E,0,0)</f>
        <v>0</v>
      </c>
      <c r="K255" s="14">
        <f t="shared" si="6"/>
        <v>-10966.100000000006</v>
      </c>
      <c r="L255" s="14">
        <f t="shared" si="7"/>
        <v>228022.49</v>
      </c>
    </row>
    <row r="256" spans="1:12" ht="35.15" customHeight="1" x14ac:dyDescent="0.4">
      <c r="A256" s="11" t="s">
        <v>574</v>
      </c>
      <c r="B256" s="11" t="s">
        <v>575</v>
      </c>
      <c r="C256" s="11" t="s">
        <v>465</v>
      </c>
      <c r="D256" s="11" t="s">
        <v>464</v>
      </c>
      <c r="E256" s="18">
        <f>_xlfn.XLOOKUP(A256,'Current Month'!A:A,'Current Month'!I:I,"")</f>
        <v>3.4143366881720434E-2</v>
      </c>
      <c r="F256" s="21">
        <f>_xlfn.XLOOKUP(A256,'Prior Month'!A:A,'Prior Month'!I:I,"")</f>
        <v>3.9869618924731183E-2</v>
      </c>
      <c r="G256" s="18" t="str">
        <f>_xlfn.XLOOKUP(A256,'Year end 2024'!A:A,'Year end 2024'!I:I,"")</f>
        <v/>
      </c>
      <c r="H256" s="19">
        <f>_xlfn.XLOOKUP(A256,'Current Month'!A:A,'Current Month'!E:E,0,0)</f>
        <v>396916.64</v>
      </c>
      <c r="I256" s="32">
        <f>_xlfn.XLOOKUP(A256,'Prior Month'!A:A,'Prior Month'!E:E,0,0)</f>
        <v>463484.32</v>
      </c>
      <c r="J256" s="32">
        <f>_xlfn.XLOOKUP(A256,'Year end 2024'!A:A,'Year end 2024'!E:E,0,0)</f>
        <v>0</v>
      </c>
      <c r="K256" s="14">
        <f t="shared" si="6"/>
        <v>-66567.679999999993</v>
      </c>
      <c r="L256" s="14">
        <f t="shared" si="7"/>
        <v>396916.64</v>
      </c>
    </row>
    <row r="257" spans="1:12" ht="35.15" customHeight="1" x14ac:dyDescent="0.4">
      <c r="A257" s="11" t="s">
        <v>576</v>
      </c>
      <c r="B257" s="11" t="s">
        <v>577</v>
      </c>
      <c r="C257" s="11" t="s">
        <v>253</v>
      </c>
      <c r="D257" s="11" t="s">
        <v>252</v>
      </c>
      <c r="E257" s="18">
        <f>_xlfn.XLOOKUP(A257,'Current Month'!A:A,'Current Month'!I:I,"")</f>
        <v>2.1835400000000001E-2</v>
      </c>
      <c r="F257" s="21">
        <f>_xlfn.XLOOKUP(A257,'Prior Month'!A:A,'Prior Month'!I:I,"")</f>
        <v>8.7826333333333329E-3</v>
      </c>
      <c r="G257" s="18" t="str">
        <f>_xlfn.XLOOKUP(A257,'Year end 2024'!A:A,'Year end 2024'!I:I,"")</f>
        <v/>
      </c>
      <c r="H257" s="19">
        <f>_xlfn.XLOOKUP(A257,'Current Month'!A:A,'Current Month'!E:E,0,0)</f>
        <v>6550.62</v>
      </c>
      <c r="I257" s="32">
        <f>_xlfn.XLOOKUP(A257,'Prior Month'!A:A,'Prior Month'!E:E,0,0)</f>
        <v>2634.79</v>
      </c>
      <c r="J257" s="32">
        <f>_xlfn.XLOOKUP(A257,'Year end 2024'!A:A,'Year end 2024'!E:E,0,0)</f>
        <v>0</v>
      </c>
      <c r="K257" s="14">
        <f t="shared" ref="K257:K316" si="8">IFERROR(SUM(H257-I257),H257)</f>
        <v>3915.83</v>
      </c>
      <c r="L257" s="14">
        <f t="shared" ref="L257:L316" si="9">IFERROR(SUM(H257-J257),H257)</f>
        <v>6550.62</v>
      </c>
    </row>
    <row r="258" spans="1:12" ht="35.15" customHeight="1" x14ac:dyDescent="0.4">
      <c r="A258" s="11" t="s">
        <v>578</v>
      </c>
      <c r="B258" s="11" t="s">
        <v>579</v>
      </c>
      <c r="C258" s="11" t="s">
        <v>457</v>
      </c>
      <c r="D258" s="11" t="s">
        <v>456</v>
      </c>
      <c r="E258" s="18">
        <f>_xlfn.XLOOKUP(A258,'Current Month'!A:A,'Current Month'!I:I,"")</f>
        <v>1.368750721033701E-2</v>
      </c>
      <c r="F258" s="21">
        <f>_xlfn.XLOOKUP(A258,'Prior Month'!A:A,'Prior Month'!I:I,"")</f>
        <v>1.3103303870678406E-2</v>
      </c>
      <c r="G258" s="18" t="str">
        <f>_xlfn.XLOOKUP(A258,'Year end 2024'!A:A,'Year end 2024'!I:I,"")</f>
        <v/>
      </c>
      <c r="H258" s="19">
        <f>_xlfn.XLOOKUP(A258,'Current Month'!A:A,'Current Month'!E:E,0,0)</f>
        <v>3223.58</v>
      </c>
      <c r="I258" s="32">
        <f>_xlfn.XLOOKUP(A258,'Prior Month'!A:A,'Prior Month'!E:E,0,0)</f>
        <v>3093.29</v>
      </c>
      <c r="J258" s="32">
        <f>_xlfn.XLOOKUP(A258,'Year end 2024'!A:A,'Year end 2024'!E:E,0,0)</f>
        <v>0</v>
      </c>
      <c r="K258" s="14">
        <f t="shared" si="8"/>
        <v>130.28999999999996</v>
      </c>
      <c r="L258" s="14">
        <f t="shared" si="9"/>
        <v>3223.58</v>
      </c>
    </row>
    <row r="259" spans="1:12" ht="35.15" customHeight="1" x14ac:dyDescent="0.4">
      <c r="A259" s="11" t="s">
        <v>580</v>
      </c>
      <c r="B259" s="11" t="s">
        <v>581</v>
      </c>
      <c r="C259" s="11" t="s">
        <v>29</v>
      </c>
      <c r="D259" s="11" t="s">
        <v>28</v>
      </c>
      <c r="E259" s="18">
        <f>_xlfn.XLOOKUP(A259,'Current Month'!A:A,'Current Month'!I:I,"")</f>
        <v>7.5891929640893585E-5</v>
      </c>
      <c r="F259" s="21">
        <f>_xlfn.XLOOKUP(A259,'Prior Month'!A:A,'Prior Month'!I:I,"")</f>
        <v>7.1750000000000009E-5</v>
      </c>
      <c r="G259" s="18" t="str">
        <f>_xlfn.XLOOKUP(A259,'Year end 2024'!A:A,'Year end 2024'!I:I,"")</f>
        <v/>
      </c>
      <c r="H259" s="19">
        <f>_xlfn.XLOOKUP(A259,'Current Month'!A:A,'Current Month'!E:E,0,0)</f>
        <v>12.08</v>
      </c>
      <c r="I259" s="32">
        <f>_xlfn.XLOOKUP(A259,'Prior Month'!A:A,'Prior Month'!E:E,0,0)</f>
        <v>11.48</v>
      </c>
      <c r="J259" s="32">
        <f>_xlfn.XLOOKUP(A259,'Year end 2024'!A:A,'Year end 2024'!E:E,0,0)</f>
        <v>1.4</v>
      </c>
      <c r="K259" s="14">
        <f t="shared" si="8"/>
        <v>0.59999999999999964</v>
      </c>
      <c r="L259" s="14">
        <f t="shared" si="9"/>
        <v>10.68</v>
      </c>
    </row>
    <row r="260" spans="1:12" ht="35.15" customHeight="1" x14ac:dyDescent="0.4">
      <c r="A260" s="11" t="s">
        <v>582</v>
      </c>
      <c r="B260" s="11" t="s">
        <v>583</v>
      </c>
      <c r="C260" s="11" t="s">
        <v>15</v>
      </c>
      <c r="D260" s="11" t="s">
        <v>14</v>
      </c>
      <c r="E260" s="18">
        <f>_xlfn.XLOOKUP(A260,'Current Month'!A:A,'Current Month'!I:I,"")</f>
        <v>1.9993472954217208E-3</v>
      </c>
      <c r="F260" s="21">
        <f>_xlfn.XLOOKUP(A260,'Prior Month'!A:A,'Prior Month'!I:I,"")</f>
        <v>1.9987450061026918E-3</v>
      </c>
      <c r="G260" s="18" t="str">
        <f>_xlfn.XLOOKUP(A260,'Year end 2024'!A:A,'Year end 2024'!I:I,"")</f>
        <v/>
      </c>
      <c r="H260" s="19">
        <f>_xlfn.XLOOKUP(A260,'Current Month'!A:A,'Current Month'!E:E,0,0)</f>
        <v>9967.75</v>
      </c>
      <c r="I260" s="32">
        <f>_xlfn.XLOOKUP(A260,'Prior Month'!A:A,'Prior Month'!E:E,0,0)</f>
        <v>9967.75</v>
      </c>
      <c r="J260" s="32">
        <f>_xlfn.XLOOKUP(A260,'Year end 2024'!A:A,'Year end 2024'!E:E,0,0)</f>
        <v>0</v>
      </c>
      <c r="K260" s="14">
        <f t="shared" si="8"/>
        <v>0</v>
      </c>
      <c r="L260" s="14">
        <f t="shared" si="9"/>
        <v>9967.75</v>
      </c>
    </row>
    <row r="261" spans="1:12" ht="35.15" customHeight="1" x14ac:dyDescent="0.4">
      <c r="A261" s="11" t="s">
        <v>584</v>
      </c>
      <c r="B261" s="11" t="s">
        <v>585</v>
      </c>
      <c r="C261" s="11" t="s">
        <v>15</v>
      </c>
      <c r="D261" s="11" t="s">
        <v>14</v>
      </c>
      <c r="E261" s="18">
        <f>_xlfn.XLOOKUP(A261,'Current Month'!A:A,'Current Month'!I:I,"")</f>
        <v>1.3103260251194557</v>
      </c>
      <c r="F261" s="21">
        <f>_xlfn.XLOOKUP(A261,'Prior Month'!A:A,'Prior Month'!I:I,"")</f>
        <v>1.2376785682270046</v>
      </c>
      <c r="G261" s="18">
        <f>_xlfn.XLOOKUP(A261,'Year end 2024'!A:A,'Year end 2024'!I:I,"")</f>
        <v>0.34828754148867208</v>
      </c>
      <c r="H261" s="19">
        <f>_xlfn.XLOOKUP(A261,'Current Month'!A:A,'Current Month'!E:E,0,0)</f>
        <v>168022.7</v>
      </c>
      <c r="I261" s="32">
        <f>_xlfn.XLOOKUP(A261,'Prior Month'!A:A,'Prior Month'!E:E,0,0)</f>
        <v>209860.58</v>
      </c>
      <c r="J261" s="32">
        <f>_xlfn.XLOOKUP(A261,'Year end 2024'!A:A,'Year end 2024'!E:E,0,0)</f>
        <v>186401.5</v>
      </c>
      <c r="K261" s="14">
        <f t="shared" si="8"/>
        <v>-41837.879999999976</v>
      </c>
      <c r="L261" s="14">
        <f t="shared" si="9"/>
        <v>-18378.799999999988</v>
      </c>
    </row>
    <row r="262" spans="1:12" ht="35.15" customHeight="1" x14ac:dyDescent="0.4">
      <c r="A262" s="11" t="s">
        <v>32</v>
      </c>
      <c r="B262" s="11" t="s">
        <v>586</v>
      </c>
      <c r="C262" s="11" t="s">
        <v>109</v>
      </c>
      <c r="D262" s="11" t="s">
        <v>108</v>
      </c>
      <c r="E262" s="18">
        <f>_xlfn.XLOOKUP(A262,'Current Month'!A:A,'Current Month'!I:I,"")</f>
        <v>123.91582863927036</v>
      </c>
      <c r="F262" s="21">
        <f>_xlfn.XLOOKUP(A262,'Prior Month'!A:A,'Prior Month'!I:I,"")</f>
        <v>43.065796109649838</v>
      </c>
      <c r="G262" s="18">
        <f>_xlfn.XLOOKUP(A262,'Year end 2024'!A:A,'Year end 2024'!I:I,"")</f>
        <v>5.6355062320922791</v>
      </c>
      <c r="H262" s="19">
        <f>_xlfn.XLOOKUP(A262,'Current Month'!A:A,'Current Month'!E:E,0,0)</f>
        <v>335039.90000000002</v>
      </c>
      <c r="I262" s="32">
        <f>_xlfn.XLOOKUP(A262,'Prior Month'!A:A,'Prior Month'!E:E,0,0)</f>
        <v>333026.94</v>
      </c>
      <c r="J262" s="32">
        <f>_xlfn.XLOOKUP(A262,'Year end 2024'!A:A,'Year end 2024'!E:E,0,0)</f>
        <v>350238.09</v>
      </c>
      <c r="K262" s="14">
        <f t="shared" si="8"/>
        <v>2012.960000000021</v>
      </c>
      <c r="L262" s="14">
        <f t="shared" si="9"/>
        <v>-15198.190000000002</v>
      </c>
    </row>
    <row r="263" spans="1:12" ht="35.15" customHeight="1" x14ac:dyDescent="0.4">
      <c r="A263" s="11" t="s">
        <v>587</v>
      </c>
      <c r="B263" s="11" t="s">
        <v>588</v>
      </c>
      <c r="C263" s="11" t="s">
        <v>259</v>
      </c>
      <c r="D263" s="11" t="s">
        <v>258</v>
      </c>
      <c r="E263" s="18">
        <f>_xlfn.XLOOKUP(A263,'Current Month'!A:A,'Current Month'!I:I,"")</f>
        <v>1.0850368386056889E-2</v>
      </c>
      <c r="F263" s="21">
        <f>_xlfn.XLOOKUP(A263,'Prior Month'!A:A,'Prior Month'!I:I,"")</f>
        <v>4.4694898476200307E-3</v>
      </c>
      <c r="G263" s="18" t="str">
        <f>_xlfn.XLOOKUP(A263,'Year end 2024'!A:A,'Year end 2024'!I:I,"")</f>
        <v/>
      </c>
      <c r="H263" s="19">
        <f>_xlfn.XLOOKUP(A263,'Current Month'!A:A,'Current Month'!E:E,0,0)</f>
        <v>28674.73</v>
      </c>
      <c r="I263" s="32">
        <f>_xlfn.XLOOKUP(A263,'Prior Month'!A:A,'Prior Month'!E:E,0,0)</f>
        <v>11897.85</v>
      </c>
      <c r="J263" s="32">
        <f>_xlfn.XLOOKUP(A263,'Year end 2024'!A:A,'Year end 2024'!E:E,0,0)</f>
        <v>0</v>
      </c>
      <c r="K263" s="14">
        <f t="shared" si="8"/>
        <v>16776.879999999997</v>
      </c>
      <c r="L263" s="14">
        <f t="shared" si="9"/>
        <v>28674.73</v>
      </c>
    </row>
    <row r="264" spans="1:12" ht="35.15" customHeight="1" x14ac:dyDescent="0.4">
      <c r="A264" s="11" t="s">
        <v>589</v>
      </c>
      <c r="B264" s="11" t="s">
        <v>590</v>
      </c>
      <c r="C264" s="11" t="s">
        <v>487</v>
      </c>
      <c r="D264" s="11" t="s">
        <v>486</v>
      </c>
      <c r="E264" s="18">
        <f>_xlfn.XLOOKUP(A264,'Current Month'!A:A,'Current Month'!I:I,"")</f>
        <v>8.0767956349206346E-3</v>
      </c>
      <c r="F264" s="21">
        <f>_xlfn.XLOOKUP(A264,'Prior Month'!A:A,'Prior Month'!I:I,"")</f>
        <v>0</v>
      </c>
      <c r="G264" s="18" t="str">
        <f>_xlfn.XLOOKUP(A264,'Year end 2024'!A:A,'Year end 2024'!I:I,"")</f>
        <v/>
      </c>
      <c r="H264" s="19">
        <f>_xlfn.XLOOKUP(A264,'Current Month'!A:A,'Current Month'!E:E,0,0)</f>
        <v>8141.41</v>
      </c>
      <c r="I264" s="32">
        <f>_xlfn.XLOOKUP(A264,'Prior Month'!A:A,'Prior Month'!E:E,0,0)</f>
        <v>0</v>
      </c>
      <c r="J264" s="32">
        <f>_xlfn.XLOOKUP(A264,'Year end 2024'!A:A,'Year end 2024'!E:E,0,0)</f>
        <v>0</v>
      </c>
      <c r="K264" s="14">
        <f t="shared" si="8"/>
        <v>8141.41</v>
      </c>
      <c r="L264" s="14">
        <f t="shared" si="9"/>
        <v>8141.41</v>
      </c>
    </row>
    <row r="265" spans="1:12" ht="35.15" customHeight="1" x14ac:dyDescent="0.4">
      <c r="A265" s="11" t="s">
        <v>591</v>
      </c>
      <c r="B265" s="11" t="s">
        <v>592</v>
      </c>
      <c r="C265" s="11" t="s">
        <v>253</v>
      </c>
      <c r="D265" s="11" t="s">
        <v>252</v>
      </c>
      <c r="E265" s="18">
        <f>_xlfn.XLOOKUP(A265,'Current Month'!A:A,'Current Month'!I:I,"")</f>
        <v>1.8432248</v>
      </c>
      <c r="F265" s="21">
        <f>_xlfn.XLOOKUP(A265,'Prior Month'!A:A,'Prior Month'!I:I,"")</f>
        <v>2.637632</v>
      </c>
      <c r="G265" s="18" t="str">
        <f>_xlfn.XLOOKUP(A265,'Year end 2024'!A:A,'Year end 2024'!I:I,"")</f>
        <v/>
      </c>
      <c r="H265" s="19">
        <f>_xlfn.XLOOKUP(A265,'Current Month'!A:A,'Current Month'!E:E,0,0)</f>
        <v>921612.4</v>
      </c>
      <c r="I265" s="32">
        <f>_xlfn.XLOOKUP(A265,'Prior Month'!A:A,'Prior Month'!E:E,0,0)</f>
        <v>1318816</v>
      </c>
      <c r="J265" s="32">
        <f>_xlfn.XLOOKUP(A265,'Year end 2024'!A:A,'Year end 2024'!E:E,0,0)</f>
        <v>0</v>
      </c>
      <c r="K265" s="14">
        <f t="shared" si="8"/>
        <v>-397203.6</v>
      </c>
      <c r="L265" s="14">
        <f t="shared" si="9"/>
        <v>921612.4</v>
      </c>
    </row>
    <row r="266" spans="1:12" ht="35.15" customHeight="1" x14ac:dyDescent="0.4">
      <c r="A266" s="11" t="s">
        <v>593</v>
      </c>
      <c r="B266" s="11" t="s">
        <v>594</v>
      </c>
      <c r="C266" s="11" t="s">
        <v>259</v>
      </c>
      <c r="D266" s="11" t="s">
        <v>258</v>
      </c>
      <c r="E266" s="18">
        <f>_xlfn.XLOOKUP(A266,'Current Month'!A:A,'Current Month'!I:I,"")</f>
        <v>1.5215736427027192E-2</v>
      </c>
      <c r="F266" s="21">
        <f>_xlfn.XLOOKUP(A266,'Prior Month'!A:A,'Prior Month'!I:I,"")</f>
        <v>1.5215736427027192E-2</v>
      </c>
      <c r="G266" s="18" t="str">
        <f>_xlfn.XLOOKUP(A266,'Year end 2024'!A:A,'Year end 2024'!I:I,"")</f>
        <v/>
      </c>
      <c r="H266" s="19">
        <f>_xlfn.XLOOKUP(A266,'Current Month'!A:A,'Current Month'!E:E,0,0)</f>
        <v>24985</v>
      </c>
      <c r="I266" s="32">
        <f>_xlfn.XLOOKUP(A266,'Prior Month'!A:A,'Prior Month'!E:E,0,0)</f>
        <v>24985</v>
      </c>
      <c r="J266" s="32">
        <f>_xlfn.XLOOKUP(A266,'Year end 2024'!A:A,'Year end 2024'!E:E,0,0)</f>
        <v>0</v>
      </c>
      <c r="K266" s="14">
        <f t="shared" si="8"/>
        <v>0</v>
      </c>
      <c r="L266" s="14">
        <f t="shared" si="9"/>
        <v>24985</v>
      </c>
    </row>
    <row r="267" spans="1:12" ht="35.15" customHeight="1" x14ac:dyDescent="0.4">
      <c r="A267" s="11" t="s">
        <v>595</v>
      </c>
      <c r="B267" s="11" t="s">
        <v>596</v>
      </c>
      <c r="C267" s="11" t="s">
        <v>487</v>
      </c>
      <c r="D267" s="11" t="s">
        <v>486</v>
      </c>
      <c r="E267" s="18" t="str">
        <f>_xlfn.XLOOKUP(A267,'Current Month'!A:A,'Current Month'!I:I,"")</f>
        <v/>
      </c>
      <c r="F267" s="21" t="str">
        <f>_xlfn.XLOOKUP(A267,'Prior Month'!A:A,'Prior Month'!I:I,"")</f>
        <v/>
      </c>
      <c r="G267" s="18" t="str">
        <f>_xlfn.XLOOKUP(A267,'Year end 2024'!A:A,'Year end 2024'!I:I,"")</f>
        <v/>
      </c>
      <c r="H267" s="19">
        <f>_xlfn.XLOOKUP(A267,'Current Month'!A:A,'Current Month'!E:E,0,0)</f>
        <v>962</v>
      </c>
      <c r="I267" s="32">
        <f>_xlfn.XLOOKUP(A267,'Prior Month'!A:A,'Prior Month'!E:E,0,0)</f>
        <v>971.51</v>
      </c>
      <c r="J267" s="32">
        <f>_xlfn.XLOOKUP(A267,'Year end 2024'!A:A,'Year end 2024'!E:E,0,0)</f>
        <v>0</v>
      </c>
      <c r="K267" s="14">
        <f t="shared" si="8"/>
        <v>-9.5099999999999909</v>
      </c>
      <c r="L267" s="14">
        <f t="shared" si="9"/>
        <v>962</v>
      </c>
    </row>
    <row r="268" spans="1:12" ht="35.15" customHeight="1" x14ac:dyDescent="0.4">
      <c r="A268" s="11" t="s">
        <v>597</v>
      </c>
      <c r="B268" s="11" t="s">
        <v>598</v>
      </c>
      <c r="C268" s="11" t="s">
        <v>600</v>
      </c>
      <c r="D268" s="11" t="s">
        <v>599</v>
      </c>
      <c r="E268" s="18" t="str">
        <f>_xlfn.XLOOKUP(A268,'Current Month'!A:A,'Current Month'!I:I,"")</f>
        <v/>
      </c>
      <c r="F268" s="21" t="str">
        <f>_xlfn.XLOOKUP(A268,'Prior Month'!A:A,'Prior Month'!I:I,"")</f>
        <v/>
      </c>
      <c r="G268" s="18" t="str">
        <f>_xlfn.XLOOKUP(A268,'Year end 2024'!A:A,'Year end 2024'!I:I,"")</f>
        <v/>
      </c>
      <c r="H268" s="19">
        <f>_xlfn.XLOOKUP(A268,'Current Month'!A:A,'Current Month'!E:E,0,0)</f>
        <v>613438.96</v>
      </c>
      <c r="I268" s="32">
        <f>_xlfn.XLOOKUP(A268,'Prior Month'!A:A,'Prior Month'!E:E,0,0)</f>
        <v>729035.08</v>
      </c>
      <c r="J268" s="32">
        <f>_xlfn.XLOOKUP(A268,'Year end 2024'!A:A,'Year end 2024'!E:E,0,0)</f>
        <v>366650.35</v>
      </c>
      <c r="K268" s="14">
        <f t="shared" si="8"/>
        <v>-115596.12</v>
      </c>
      <c r="L268" s="14">
        <f t="shared" si="9"/>
        <v>246788.61</v>
      </c>
    </row>
    <row r="269" spans="1:12" ht="35.15" customHeight="1" x14ac:dyDescent="0.4">
      <c r="A269" s="11" t="s">
        <v>601</v>
      </c>
      <c r="B269" s="11" t="s">
        <v>602</v>
      </c>
      <c r="C269" s="11" t="s">
        <v>405</v>
      </c>
      <c r="D269" s="11" t="s">
        <v>404</v>
      </c>
      <c r="E269" s="18" t="str">
        <f>_xlfn.XLOOKUP(A269,'Current Month'!A:A,'Current Month'!I:I,"")</f>
        <v/>
      </c>
      <c r="F269" s="21" t="str">
        <f>_xlfn.XLOOKUP(A269,'Prior Month'!A:A,'Prior Month'!I:I,"")</f>
        <v/>
      </c>
      <c r="G269" s="18" t="str">
        <f>_xlfn.XLOOKUP(A269,'Year end 2024'!A:A,'Year end 2024'!I:I,"")</f>
        <v/>
      </c>
      <c r="H269" s="19">
        <f>_xlfn.XLOOKUP(A269,'Current Month'!A:A,'Current Month'!E:E,0,0)</f>
        <v>89761.66</v>
      </c>
      <c r="I269" s="32">
        <f>_xlfn.XLOOKUP(A269,'Prior Month'!A:A,'Prior Month'!E:E,0,0)</f>
        <v>127162.75</v>
      </c>
      <c r="J269" s="32">
        <f>_xlfn.XLOOKUP(A269,'Year end 2024'!A:A,'Year end 2024'!E:E,0,0)</f>
        <v>0</v>
      </c>
      <c r="K269" s="14">
        <f t="shared" si="8"/>
        <v>-37401.089999999997</v>
      </c>
      <c r="L269" s="14">
        <f t="shared" si="9"/>
        <v>89761.66</v>
      </c>
    </row>
    <row r="270" spans="1:12" ht="35.15" customHeight="1" x14ac:dyDescent="0.4">
      <c r="A270" s="11" t="s">
        <v>603</v>
      </c>
      <c r="B270" s="11" t="s">
        <v>604</v>
      </c>
      <c r="C270" s="11" t="s">
        <v>51</v>
      </c>
      <c r="D270" s="11" t="s">
        <v>50</v>
      </c>
      <c r="E270" s="18">
        <f>_xlfn.XLOOKUP(A270,'Current Month'!A:A,'Current Month'!I:I,"")</f>
        <v>0.66676225806451617</v>
      </c>
      <c r="F270" s="21" t="str">
        <f>_xlfn.XLOOKUP(A270,'Prior Month'!A:A,'Prior Month'!I:I,"")</f>
        <v/>
      </c>
      <c r="G270" s="18">
        <f>_xlfn.XLOOKUP(A270,'Year end 2024'!A:A,'Year end 2024'!I:I,"")</f>
        <v>12.659128824603236</v>
      </c>
      <c r="H270" s="19">
        <f>_xlfn.XLOOKUP(A270,'Current Month'!A:A,'Current Month'!E:E,0,0)</f>
        <v>41339.26</v>
      </c>
      <c r="I270" s="32">
        <f>_xlfn.XLOOKUP(A270,'Prior Month'!A:A,'Prior Month'!E:E,0,0)</f>
        <v>2578.2800000000002</v>
      </c>
      <c r="J270" s="32">
        <f>_xlfn.XLOOKUP(A270,'Year end 2024'!A:A,'Year end 2024'!E:E,0,0)</f>
        <v>14493.31</v>
      </c>
      <c r="K270" s="14">
        <f t="shared" si="8"/>
        <v>38760.980000000003</v>
      </c>
      <c r="L270" s="14">
        <f t="shared" si="9"/>
        <v>26845.950000000004</v>
      </c>
    </row>
    <row r="271" spans="1:12" ht="35.15" customHeight="1" x14ac:dyDescent="0.4">
      <c r="A271" s="11" t="s">
        <v>607</v>
      </c>
      <c r="B271" s="11" t="s">
        <v>608</v>
      </c>
      <c r="C271" s="11" t="s">
        <v>33</v>
      </c>
      <c r="D271" s="11" t="s">
        <v>32</v>
      </c>
      <c r="E271" s="18" t="str">
        <f>_xlfn.XLOOKUP(A271,'Current Month'!A:A,'Current Month'!I:I,"")</f>
        <v/>
      </c>
      <c r="F271" s="21" t="str">
        <f>_xlfn.XLOOKUP(A271,'Prior Month'!A:A,'Prior Month'!I:I,"")</f>
        <v/>
      </c>
      <c r="G271" s="18" t="str">
        <f>_xlfn.XLOOKUP(A271,'Year end 2024'!A:A,'Year end 2024'!I:I,"")</f>
        <v/>
      </c>
      <c r="H271" s="19">
        <f>_xlfn.XLOOKUP(A271,'Current Month'!A:A,'Current Month'!E:E,0,0)</f>
        <v>24816.75</v>
      </c>
      <c r="I271" s="32">
        <f>_xlfn.XLOOKUP(A271,'Prior Month'!A:A,'Prior Month'!E:E,0,0)</f>
        <v>24816.75</v>
      </c>
      <c r="J271" s="32">
        <f>_xlfn.XLOOKUP(A271,'Year end 2024'!A:A,'Year end 2024'!E:E,0,0)</f>
        <v>0</v>
      </c>
      <c r="K271" s="14">
        <f t="shared" si="8"/>
        <v>0</v>
      </c>
      <c r="L271" s="14">
        <f t="shared" si="9"/>
        <v>24816.75</v>
      </c>
    </row>
    <row r="272" spans="1:12" ht="35.15" customHeight="1" x14ac:dyDescent="0.4">
      <c r="A272" s="11" t="s">
        <v>609</v>
      </c>
      <c r="B272" s="11" t="s">
        <v>610</v>
      </c>
      <c r="C272" s="11" t="s">
        <v>385</v>
      </c>
      <c r="D272" s="11" t="s">
        <v>384</v>
      </c>
      <c r="E272" s="18" t="str">
        <f>_xlfn.XLOOKUP(A272,'Current Month'!A:A,'Current Month'!I:I,"")</f>
        <v/>
      </c>
      <c r="F272" s="21" t="str">
        <f>_xlfn.XLOOKUP(A272,'Prior Month'!A:A,'Prior Month'!I:I,"")</f>
        <v/>
      </c>
      <c r="G272" s="18" t="str">
        <f>_xlfn.XLOOKUP(A272,'Year end 2024'!A:A,'Year end 2024'!I:I,"")</f>
        <v/>
      </c>
      <c r="H272" s="19">
        <f>_xlfn.XLOOKUP(A272,'Current Month'!A:A,'Current Month'!E:E,0,0)</f>
        <v>265.49</v>
      </c>
      <c r="I272" s="32">
        <f>_xlfn.XLOOKUP(A272,'Prior Month'!A:A,'Prior Month'!E:E,0,0)</f>
        <v>265.49</v>
      </c>
      <c r="J272" s="32">
        <f>_xlfn.XLOOKUP(A272,'Year end 2024'!A:A,'Year end 2024'!E:E,0,0)</f>
        <v>0</v>
      </c>
      <c r="K272" s="14">
        <f t="shared" si="8"/>
        <v>0</v>
      </c>
      <c r="L272" s="14">
        <f t="shared" si="9"/>
        <v>265.49</v>
      </c>
    </row>
    <row r="273" spans="1:12" ht="35.15" customHeight="1" x14ac:dyDescent="0.4">
      <c r="A273" s="11" t="s">
        <v>611</v>
      </c>
      <c r="B273" s="11" t="s">
        <v>612</v>
      </c>
      <c r="C273" s="11" t="s">
        <v>11</v>
      </c>
      <c r="D273" s="11" t="s">
        <v>10</v>
      </c>
      <c r="E273" s="18" t="str">
        <f>_xlfn.XLOOKUP(A273,'Current Month'!A:A,'Current Month'!I:I,"")</f>
        <v/>
      </c>
      <c r="F273" s="21" t="str">
        <f>_xlfn.XLOOKUP(A273,'Prior Month'!A:A,'Prior Month'!I:I,"")</f>
        <v/>
      </c>
      <c r="G273" s="18" t="str">
        <f>_xlfn.XLOOKUP(A273,'Year end 2024'!A:A,'Year end 2024'!I:I,"")</f>
        <v/>
      </c>
      <c r="H273" s="19">
        <f>_xlfn.XLOOKUP(A273,'Current Month'!A:A,'Current Month'!E:E,0,0)</f>
        <v>16444.560000000001</v>
      </c>
      <c r="I273" s="32">
        <f>_xlfn.XLOOKUP(A273,'Prior Month'!A:A,'Prior Month'!E:E,0,0)</f>
        <v>23336.91</v>
      </c>
      <c r="J273" s="32">
        <f>_xlfn.XLOOKUP(A273,'Year end 2024'!A:A,'Year end 2024'!E:E,0,0)</f>
        <v>0</v>
      </c>
      <c r="K273" s="14">
        <f t="shared" si="8"/>
        <v>-6892.3499999999985</v>
      </c>
      <c r="L273" s="14">
        <f t="shared" si="9"/>
        <v>16444.560000000001</v>
      </c>
    </row>
    <row r="274" spans="1:12" ht="35.15" customHeight="1" x14ac:dyDescent="0.4">
      <c r="A274" s="11" t="s">
        <v>613</v>
      </c>
      <c r="B274" s="11" t="s">
        <v>614</v>
      </c>
      <c r="C274" s="11" t="s">
        <v>41</v>
      </c>
      <c r="D274" s="11" t="s">
        <v>40</v>
      </c>
      <c r="E274" s="18" t="str">
        <f>_xlfn.XLOOKUP(A274,'Current Month'!A:A,'Current Month'!I:I,"")</f>
        <v/>
      </c>
      <c r="F274" s="21" t="str">
        <f>_xlfn.XLOOKUP(A274,'Prior Month'!A:A,'Prior Month'!I:I,"")</f>
        <v/>
      </c>
      <c r="G274" s="18" t="str">
        <f>_xlfn.XLOOKUP(A274,'Year end 2024'!A:A,'Year end 2024'!I:I,"")</f>
        <v/>
      </c>
      <c r="H274" s="19">
        <f>_xlfn.XLOOKUP(A274,'Current Month'!A:A,'Current Month'!E:E,0,0)</f>
        <v>428.06</v>
      </c>
      <c r="I274" s="32">
        <f>_xlfn.XLOOKUP(A274,'Prior Month'!A:A,'Prior Month'!E:E,0,0)</f>
        <v>428.06</v>
      </c>
      <c r="J274" s="32">
        <f>_xlfn.XLOOKUP(A274,'Year end 2024'!A:A,'Year end 2024'!E:E,0,0)</f>
        <v>0</v>
      </c>
      <c r="K274" s="14">
        <f t="shared" si="8"/>
        <v>0</v>
      </c>
      <c r="L274" s="14">
        <f t="shared" si="9"/>
        <v>428.06</v>
      </c>
    </row>
    <row r="275" spans="1:12" ht="35.15" customHeight="1" x14ac:dyDescent="0.4">
      <c r="A275" s="11" t="s">
        <v>615</v>
      </c>
      <c r="B275" s="11" t="s">
        <v>616</v>
      </c>
      <c r="C275" s="11" t="s">
        <v>385</v>
      </c>
      <c r="D275" s="11" t="s">
        <v>384</v>
      </c>
      <c r="E275" s="18" t="str">
        <f>_xlfn.XLOOKUP(A275,'Current Month'!A:A,'Current Month'!I:I,"")</f>
        <v/>
      </c>
      <c r="F275" s="21" t="str">
        <f>_xlfn.XLOOKUP(A275,'Prior Month'!A:A,'Prior Month'!I:I,"")</f>
        <v/>
      </c>
      <c r="G275" s="18" t="str">
        <f>_xlfn.XLOOKUP(A275,'Year end 2024'!A:A,'Year end 2024'!I:I,"")</f>
        <v/>
      </c>
      <c r="H275" s="19">
        <f>_xlfn.XLOOKUP(A275,'Current Month'!A:A,'Current Month'!E:E,0,0)</f>
        <v>58009.58</v>
      </c>
      <c r="I275" s="32">
        <f>_xlfn.XLOOKUP(A275,'Prior Month'!A:A,'Prior Month'!E:E,0,0)</f>
        <v>5000</v>
      </c>
      <c r="J275" s="32">
        <f>_xlfn.XLOOKUP(A275,'Year end 2024'!A:A,'Year end 2024'!E:E,0,0)</f>
        <v>0</v>
      </c>
      <c r="K275" s="14">
        <f t="shared" si="8"/>
        <v>53009.58</v>
      </c>
      <c r="L275" s="14">
        <f t="shared" si="9"/>
        <v>58009.58</v>
      </c>
    </row>
    <row r="276" spans="1:12" ht="35.15" customHeight="1" x14ac:dyDescent="0.4">
      <c r="A276" s="11" t="s">
        <v>617</v>
      </c>
      <c r="B276" s="11" t="s">
        <v>618</v>
      </c>
      <c r="C276" s="11" t="s">
        <v>620</v>
      </c>
      <c r="D276" s="11" t="s">
        <v>619</v>
      </c>
      <c r="E276" s="18" t="str">
        <f>_xlfn.XLOOKUP(A276,'Current Month'!A:A,'Current Month'!I:I,"")</f>
        <v/>
      </c>
      <c r="F276" s="21" t="str">
        <f>_xlfn.XLOOKUP(A276,'Prior Month'!A:A,'Prior Month'!I:I,"")</f>
        <v/>
      </c>
      <c r="G276" s="18" t="str">
        <f>_xlfn.XLOOKUP(A276,'Year end 2024'!A:A,'Year end 2024'!I:I,"")</f>
        <v/>
      </c>
      <c r="H276" s="19">
        <f>_xlfn.XLOOKUP(A276,'Current Month'!A:A,'Current Month'!E:E,0,0)</f>
        <v>100</v>
      </c>
      <c r="I276" s="32">
        <f>_xlfn.XLOOKUP(A276,'Prior Month'!A:A,'Prior Month'!E:E,0,0)</f>
        <v>100</v>
      </c>
      <c r="J276" s="32">
        <f>_xlfn.XLOOKUP(A276,'Year end 2024'!A:A,'Year end 2024'!E:E,0,0)</f>
        <v>0</v>
      </c>
      <c r="K276" s="14">
        <f t="shared" si="8"/>
        <v>0</v>
      </c>
      <c r="L276" s="14">
        <f t="shared" si="9"/>
        <v>100</v>
      </c>
    </row>
    <row r="277" spans="1:12" ht="35.15" customHeight="1" x14ac:dyDescent="0.4">
      <c r="A277" s="11" t="s">
        <v>621</v>
      </c>
      <c r="B277" s="11" t="s">
        <v>622</v>
      </c>
      <c r="C277" s="11" t="s">
        <v>41</v>
      </c>
      <c r="D277" s="11" t="s">
        <v>40</v>
      </c>
      <c r="E277" s="18" t="str">
        <f>_xlfn.XLOOKUP(A277,'Current Month'!A:A,'Current Month'!I:I,"")</f>
        <v/>
      </c>
      <c r="F277" s="21" t="str">
        <f>_xlfn.XLOOKUP(A277,'Prior Month'!A:A,'Prior Month'!I:I,"")</f>
        <v/>
      </c>
      <c r="G277" s="18" t="str">
        <f>_xlfn.XLOOKUP(A277,'Year end 2024'!A:A,'Year end 2024'!I:I,"")</f>
        <v/>
      </c>
      <c r="H277" s="19">
        <f>_xlfn.XLOOKUP(A277,'Current Month'!A:A,'Current Month'!E:E,0,0)</f>
        <v>100</v>
      </c>
      <c r="I277" s="32">
        <f>_xlfn.XLOOKUP(A277,'Prior Month'!A:A,'Prior Month'!E:E,0,0)</f>
        <v>100</v>
      </c>
      <c r="J277" s="32">
        <f>_xlfn.XLOOKUP(A277,'Year end 2024'!A:A,'Year end 2024'!E:E,0,0)</f>
        <v>0</v>
      </c>
      <c r="K277" s="14">
        <f t="shared" si="8"/>
        <v>0</v>
      </c>
      <c r="L277" s="14">
        <f t="shared" si="9"/>
        <v>100</v>
      </c>
    </row>
    <row r="278" spans="1:12" ht="35.15" customHeight="1" x14ac:dyDescent="0.4">
      <c r="A278" s="11" t="s">
        <v>623</v>
      </c>
      <c r="B278" s="11" t="s">
        <v>624</v>
      </c>
      <c r="C278" s="11" t="s">
        <v>33</v>
      </c>
      <c r="D278" s="11" t="s">
        <v>32</v>
      </c>
      <c r="E278" s="18" t="str">
        <f>_xlfn.XLOOKUP(A278,'Current Month'!A:A,'Current Month'!I:I,"")</f>
        <v/>
      </c>
      <c r="F278" s="21" t="str">
        <f>_xlfn.XLOOKUP(A278,'Prior Month'!A:A,'Prior Month'!I:I,"")</f>
        <v/>
      </c>
      <c r="G278" s="18" t="str">
        <f>_xlfn.XLOOKUP(A278,'Year end 2024'!A:A,'Year end 2024'!I:I,"")</f>
        <v/>
      </c>
      <c r="H278" s="19">
        <f>_xlfn.XLOOKUP(A278,'Current Month'!A:A,'Current Month'!E:E,0,0)</f>
        <v>579869.81999999995</v>
      </c>
      <c r="I278" s="32">
        <f>_xlfn.XLOOKUP(A278,'Prior Month'!A:A,'Prior Month'!E:E,0,0)</f>
        <v>150001.76999999999</v>
      </c>
      <c r="J278" s="32">
        <f>_xlfn.XLOOKUP(A278,'Year end 2024'!A:A,'Year end 2024'!E:E,0,0)</f>
        <v>0</v>
      </c>
      <c r="K278" s="14">
        <f t="shared" si="8"/>
        <v>429868.04999999993</v>
      </c>
      <c r="L278" s="14">
        <f t="shared" si="9"/>
        <v>579869.81999999995</v>
      </c>
    </row>
    <row r="279" spans="1:12" ht="35.15" customHeight="1" x14ac:dyDescent="0.4">
      <c r="A279" s="11" t="s">
        <v>625</v>
      </c>
      <c r="B279" s="11" t="s">
        <v>626</v>
      </c>
      <c r="C279" s="11" t="s">
        <v>33</v>
      </c>
      <c r="D279" s="11" t="s">
        <v>32</v>
      </c>
      <c r="E279" s="18" t="str">
        <f>_xlfn.XLOOKUP(A279,'Current Month'!A:A,'Current Month'!I:I,"")</f>
        <v/>
      </c>
      <c r="F279" s="21" t="str">
        <f>_xlfn.XLOOKUP(A279,'Prior Month'!A:A,'Prior Month'!I:I,"")</f>
        <v/>
      </c>
      <c r="G279" s="18" t="str">
        <f>_xlfn.XLOOKUP(A279,'Year end 2024'!A:A,'Year end 2024'!I:I,"")</f>
        <v/>
      </c>
      <c r="H279" s="19">
        <f>_xlfn.XLOOKUP(A279,'Current Month'!A:A,'Current Month'!E:E,0,0)</f>
        <v>72996.320000000007</v>
      </c>
      <c r="I279" s="32">
        <f>_xlfn.XLOOKUP(A279,'Prior Month'!A:A,'Prior Month'!E:E,0,0)</f>
        <v>0</v>
      </c>
      <c r="J279" s="32">
        <f>_xlfn.XLOOKUP(A279,'Year end 2024'!A:A,'Year end 2024'!E:E,0,0)</f>
        <v>0</v>
      </c>
      <c r="K279" s="14">
        <f t="shared" si="8"/>
        <v>72996.320000000007</v>
      </c>
      <c r="L279" s="14">
        <f t="shared" si="9"/>
        <v>72996.320000000007</v>
      </c>
    </row>
    <row r="280" spans="1:12" ht="35.15" customHeight="1" x14ac:dyDescent="0.4">
      <c r="A280" s="11" t="s">
        <v>627</v>
      </c>
      <c r="B280" s="11" t="s">
        <v>628</v>
      </c>
      <c r="C280" s="11" t="s">
        <v>29</v>
      </c>
      <c r="D280" s="11" t="s">
        <v>28</v>
      </c>
      <c r="E280" s="18" t="str">
        <f>_xlfn.XLOOKUP(A280,'Current Month'!A:A,'Current Month'!I:I,"")</f>
        <v/>
      </c>
      <c r="F280" s="21" t="str">
        <f>_xlfn.XLOOKUP(A280,'Prior Month'!A:A,'Prior Month'!I:I,"")</f>
        <v/>
      </c>
      <c r="G280" s="18" t="str">
        <f>_xlfn.XLOOKUP(A280,'Year end 2024'!A:A,'Year end 2024'!I:I,"")</f>
        <v/>
      </c>
      <c r="H280" s="19">
        <f>_xlfn.XLOOKUP(A280,'Current Month'!A:A,'Current Month'!E:E,0,0)</f>
        <v>20</v>
      </c>
      <c r="I280" s="32">
        <f>_xlfn.XLOOKUP(A280,'Prior Month'!A:A,'Prior Month'!E:E,0,0)</f>
        <v>0</v>
      </c>
      <c r="J280" s="32">
        <f>_xlfn.XLOOKUP(A280,'Year end 2024'!A:A,'Year end 2024'!E:E,0,0)</f>
        <v>0</v>
      </c>
      <c r="K280" s="14">
        <f t="shared" si="8"/>
        <v>20</v>
      </c>
      <c r="L280" s="14">
        <f t="shared" si="9"/>
        <v>20</v>
      </c>
    </row>
    <row r="281" spans="1:12" ht="35.15" customHeight="1" x14ac:dyDescent="0.4">
      <c r="A281" s="11" t="s">
        <v>629</v>
      </c>
      <c r="B281" s="11" t="s">
        <v>630</v>
      </c>
      <c r="C281" s="11" t="s">
        <v>57</v>
      </c>
      <c r="D281" s="11" t="s">
        <v>56</v>
      </c>
      <c r="E281" s="18" t="str">
        <f>_xlfn.XLOOKUP(A281,'Current Month'!A:A,'Current Month'!I:I,"")</f>
        <v/>
      </c>
      <c r="F281" s="21" t="str">
        <f>_xlfn.XLOOKUP(A281,'Prior Month'!A:A,'Prior Month'!I:I,"")</f>
        <v/>
      </c>
      <c r="G281" s="18" t="str">
        <f>_xlfn.XLOOKUP(A281,'Year end 2024'!A:A,'Year end 2024'!I:I,"")</f>
        <v/>
      </c>
      <c r="H281" s="19">
        <f>_xlfn.XLOOKUP(A281,'Current Month'!A:A,'Current Month'!E:E,0,0)</f>
        <v>82549.27</v>
      </c>
      <c r="I281" s="32">
        <f>_xlfn.XLOOKUP(A281,'Prior Month'!A:A,'Prior Month'!E:E,0,0)</f>
        <v>88705.44</v>
      </c>
      <c r="J281" s="32">
        <f>_xlfn.XLOOKUP(A281,'Year end 2024'!A:A,'Year end 2024'!E:E,0,0)</f>
        <v>96342.9</v>
      </c>
      <c r="K281" s="14">
        <f t="shared" si="8"/>
        <v>-6156.1699999999983</v>
      </c>
      <c r="L281" s="14">
        <f t="shared" si="9"/>
        <v>-13793.62999999999</v>
      </c>
    </row>
    <row r="282" spans="1:12" ht="35.15" customHeight="1" x14ac:dyDescent="0.4">
      <c r="A282" s="11" t="s">
        <v>631</v>
      </c>
      <c r="B282" s="11" t="s">
        <v>632</v>
      </c>
      <c r="C282" s="11" t="s">
        <v>465</v>
      </c>
      <c r="D282" s="11" t="s">
        <v>464</v>
      </c>
      <c r="E282" s="18">
        <f>_xlfn.XLOOKUP(A282,'Current Month'!A:A,'Current Month'!I:I,"")</f>
        <v>4.9129360355633735E-2</v>
      </c>
      <c r="F282" s="21">
        <f>_xlfn.XLOOKUP(A282,'Prior Month'!A:A,'Prior Month'!I:I,"")</f>
        <v>3.4541861476942368E-2</v>
      </c>
      <c r="G282" s="18">
        <f>_xlfn.XLOOKUP(A282,'Year end 2024'!A:A,'Year end 2024'!I:I,"")</f>
        <v>0.12291010293060653</v>
      </c>
      <c r="H282" s="19">
        <f>_xlfn.XLOOKUP(A282,'Current Month'!A:A,'Current Month'!E:E,0,0)</f>
        <v>264783.57</v>
      </c>
      <c r="I282" s="32">
        <f>_xlfn.XLOOKUP(A282,'Prior Month'!A:A,'Prior Month'!E:E,0,0)</f>
        <v>186822.96</v>
      </c>
      <c r="J282" s="32">
        <f>_xlfn.XLOOKUP(A282,'Year end 2024'!A:A,'Year end 2024'!E:E,0,0)</f>
        <v>457838.57</v>
      </c>
      <c r="K282" s="14">
        <f t="shared" si="8"/>
        <v>77960.610000000015</v>
      </c>
      <c r="L282" s="14">
        <f t="shared" si="9"/>
        <v>-193055</v>
      </c>
    </row>
    <row r="283" spans="1:12" ht="35.15" customHeight="1" x14ac:dyDescent="0.4">
      <c r="A283" s="11" t="s">
        <v>633</v>
      </c>
      <c r="B283" s="11" t="s">
        <v>634</v>
      </c>
      <c r="C283" s="11" t="s">
        <v>29</v>
      </c>
      <c r="D283" s="11" t="s">
        <v>28</v>
      </c>
      <c r="E283" s="18">
        <f>_xlfn.XLOOKUP(A283,'Current Month'!A:A,'Current Month'!I:I,"")</f>
        <v>1.9820000000000001E-2</v>
      </c>
      <c r="F283" s="21">
        <f>_xlfn.XLOOKUP(A283,'Prior Month'!A:A,'Prior Month'!I:I,"")</f>
        <v>3.2000000000000001E-2</v>
      </c>
      <c r="G283" s="18" t="str">
        <f>_xlfn.XLOOKUP(A283,'Year end 2024'!A:A,'Year end 2024'!I:I,"")</f>
        <v/>
      </c>
      <c r="H283" s="19">
        <f>_xlfn.XLOOKUP(A283,'Current Month'!A:A,'Current Month'!E:E,0,0)</f>
        <v>991</v>
      </c>
      <c r="I283" s="32">
        <f>_xlfn.XLOOKUP(A283,'Prior Month'!A:A,'Prior Month'!E:E,0,0)</f>
        <v>1600</v>
      </c>
      <c r="J283" s="32">
        <f>_xlfn.XLOOKUP(A283,'Year end 2024'!A:A,'Year end 2024'!E:E,0,0)</f>
        <v>231</v>
      </c>
      <c r="K283" s="14">
        <f t="shared" si="8"/>
        <v>-609</v>
      </c>
      <c r="L283" s="14">
        <f t="shared" si="9"/>
        <v>760</v>
      </c>
    </row>
    <row r="284" spans="1:12" ht="35.15" customHeight="1" x14ac:dyDescent="0.4">
      <c r="A284" s="11" t="s">
        <v>2220</v>
      </c>
      <c r="B284" s="11" t="s">
        <v>2221</v>
      </c>
      <c r="C284" s="11" t="s">
        <v>385</v>
      </c>
      <c r="D284" s="11" t="s">
        <v>384</v>
      </c>
      <c r="E284" s="18" t="str">
        <f>_xlfn.XLOOKUP(A284,'Current Month'!A:A,'Current Month'!I:I,"")</f>
        <v/>
      </c>
      <c r="F284" s="21" t="str">
        <f>_xlfn.XLOOKUP(A284,'Prior Month'!A:A,'Prior Month'!I:I,"")</f>
        <v/>
      </c>
      <c r="G284" s="18" t="str">
        <f>_xlfn.XLOOKUP(A284,'Year end 2024'!A:A,'Year end 2024'!I:I,"")</f>
        <v/>
      </c>
      <c r="H284" s="19">
        <f>_xlfn.XLOOKUP(A284,'Current Month'!A:A,'Current Month'!E:E,0,0)</f>
        <v>0</v>
      </c>
      <c r="I284" s="32">
        <f>_xlfn.XLOOKUP(A284,'Prior Month'!A:A,'Prior Month'!E:E,0,0)</f>
        <v>0</v>
      </c>
      <c r="J284" s="32">
        <f>_xlfn.XLOOKUP(A284,'Year end 2024'!A:A,'Year end 2024'!E:E,0,0)</f>
        <v>0</v>
      </c>
      <c r="K284" s="14">
        <f t="shared" si="8"/>
        <v>0</v>
      </c>
      <c r="L284" s="14">
        <f t="shared" si="9"/>
        <v>0</v>
      </c>
    </row>
    <row r="285" spans="1:12" ht="35.15" customHeight="1" x14ac:dyDescent="0.4">
      <c r="A285" s="11" t="s">
        <v>635</v>
      </c>
      <c r="B285" s="11" t="s">
        <v>636</v>
      </c>
      <c r="C285" s="11" t="s">
        <v>109</v>
      </c>
      <c r="D285" s="11" t="s">
        <v>108</v>
      </c>
      <c r="E285" s="18" t="str">
        <f>_xlfn.XLOOKUP(A285,'Current Month'!A:A,'Current Month'!I:I,"")</f>
        <v/>
      </c>
      <c r="F285" s="21" t="str">
        <f>_xlfn.XLOOKUP(A285,'Prior Month'!A:A,'Prior Month'!I:I,"")</f>
        <v/>
      </c>
      <c r="G285" s="18" t="str">
        <f>_xlfn.XLOOKUP(A285,'Year end 2024'!A:A,'Year end 2024'!I:I,"")</f>
        <v/>
      </c>
      <c r="H285" s="19">
        <f>_xlfn.XLOOKUP(A285,'Current Month'!A:A,'Current Month'!E:E,0,0)</f>
        <v>17502.830000000002</v>
      </c>
      <c r="I285" s="32">
        <f>_xlfn.XLOOKUP(A285,'Prior Month'!A:A,'Prior Month'!E:E,0,0)</f>
        <v>18335.48</v>
      </c>
      <c r="J285" s="32">
        <f>_xlfn.XLOOKUP(A285,'Year end 2024'!A:A,'Year end 2024'!E:E,0,0)</f>
        <v>13445.83</v>
      </c>
      <c r="K285" s="14">
        <f t="shared" si="8"/>
        <v>-832.64999999999782</v>
      </c>
      <c r="L285" s="14">
        <f t="shared" si="9"/>
        <v>4057.0000000000018</v>
      </c>
    </row>
    <row r="286" spans="1:12" ht="35.15" customHeight="1" x14ac:dyDescent="0.4">
      <c r="A286" s="11" t="s">
        <v>637</v>
      </c>
      <c r="B286" s="11" t="s">
        <v>638</v>
      </c>
      <c r="C286" s="11" t="s">
        <v>19</v>
      </c>
      <c r="D286" s="11" t="s">
        <v>18</v>
      </c>
      <c r="E286" s="18" t="str">
        <f>_xlfn.XLOOKUP(A286,'Current Month'!A:A,'Current Month'!I:I,"")</f>
        <v/>
      </c>
      <c r="F286" s="21" t="str">
        <f>_xlfn.XLOOKUP(A286,'Prior Month'!A:A,'Prior Month'!I:I,"")</f>
        <v/>
      </c>
      <c r="G286" s="18">
        <f>_xlfn.XLOOKUP(A286,'Year end 2024'!A:A,'Year end 2024'!I:I,"")</f>
        <v>31.162926585436029</v>
      </c>
      <c r="H286" s="19">
        <f>_xlfn.XLOOKUP(A286,'Current Month'!A:A,'Current Month'!E:E,0,0)</f>
        <v>1398591.51</v>
      </c>
      <c r="I286" s="32">
        <f>_xlfn.XLOOKUP(A286,'Prior Month'!A:A,'Prior Month'!E:E,0,0)</f>
        <v>1399654.07</v>
      </c>
      <c r="J286" s="32">
        <f>_xlfn.XLOOKUP(A286,'Year end 2024'!A:A,'Year end 2024'!E:E,0,0)</f>
        <v>1163335.1100000001</v>
      </c>
      <c r="K286" s="14">
        <f t="shared" si="8"/>
        <v>-1062.5600000000559</v>
      </c>
      <c r="L286" s="14">
        <f t="shared" si="9"/>
        <v>235256.39999999991</v>
      </c>
    </row>
    <row r="287" spans="1:12" ht="35.15" customHeight="1" x14ac:dyDescent="0.4">
      <c r="A287" s="11" t="s">
        <v>639</v>
      </c>
      <c r="B287" s="11" t="s">
        <v>640</v>
      </c>
      <c r="C287" s="11" t="s">
        <v>642</v>
      </c>
      <c r="D287" s="11" t="s">
        <v>641</v>
      </c>
      <c r="E287" s="18">
        <f>_xlfn.XLOOKUP(A287,'Current Month'!A:A,'Current Month'!I:I,"")</f>
        <v>1.6834263464852937</v>
      </c>
      <c r="F287" s="21">
        <f>_xlfn.XLOOKUP(A287,'Prior Month'!A:A,'Prior Month'!I:I,"")</f>
        <v>1.73134471466762</v>
      </c>
      <c r="G287" s="18">
        <f>_xlfn.XLOOKUP(A287,'Year end 2024'!A:A,'Year end 2024'!I:I,"")</f>
        <v>2.1102720364879373</v>
      </c>
      <c r="H287" s="19">
        <f>_xlfn.XLOOKUP(A287,'Current Month'!A:A,'Current Month'!E:E,0,0)</f>
        <v>50887.79</v>
      </c>
      <c r="I287" s="32">
        <f>_xlfn.XLOOKUP(A287,'Prior Month'!A:A,'Prior Month'!E:E,0,0)</f>
        <v>53267.85</v>
      </c>
      <c r="J287" s="32">
        <f>_xlfn.XLOOKUP(A287,'Year end 2024'!A:A,'Year end 2024'!E:E,0,0)</f>
        <v>76841.61</v>
      </c>
      <c r="K287" s="14">
        <f t="shared" si="8"/>
        <v>-2380.0599999999977</v>
      </c>
      <c r="L287" s="14">
        <f t="shared" si="9"/>
        <v>-25953.82</v>
      </c>
    </row>
    <row r="288" spans="1:12" ht="35.15" customHeight="1" x14ac:dyDescent="0.4">
      <c r="A288" s="11" t="s">
        <v>643</v>
      </c>
      <c r="B288" s="11" t="s">
        <v>644</v>
      </c>
      <c r="C288" s="11" t="s">
        <v>57</v>
      </c>
      <c r="D288" s="11" t="s">
        <v>56</v>
      </c>
      <c r="E288" s="18" t="str">
        <f>_xlfn.XLOOKUP(A288,'Current Month'!A:A,'Current Month'!I:I,"")</f>
        <v/>
      </c>
      <c r="F288" s="21" t="str">
        <f>_xlfn.XLOOKUP(A288,'Prior Month'!A:A,'Prior Month'!I:I,"")</f>
        <v/>
      </c>
      <c r="G288" s="18" t="str">
        <f>_xlfn.XLOOKUP(A288,'Year end 2024'!A:A,'Year end 2024'!I:I,"")</f>
        <v/>
      </c>
      <c r="H288" s="19">
        <f>_xlfn.XLOOKUP(A288,'Current Month'!A:A,'Current Month'!E:E,0,0)</f>
        <v>0</v>
      </c>
      <c r="I288" s="32">
        <f>_xlfn.XLOOKUP(A288,'Prior Month'!A:A,'Prior Month'!E:E,0,0)</f>
        <v>116.25</v>
      </c>
      <c r="J288" s="32">
        <f>_xlfn.XLOOKUP(A288,'Year end 2024'!A:A,'Year end 2024'!E:E,0,0)</f>
        <v>651.25</v>
      </c>
      <c r="K288" s="14">
        <f t="shared" si="8"/>
        <v>-116.25</v>
      </c>
      <c r="L288" s="14">
        <f t="shared" si="9"/>
        <v>-651.25</v>
      </c>
    </row>
    <row r="289" spans="1:12" ht="35.15" customHeight="1" x14ac:dyDescent="0.4">
      <c r="A289" s="11" t="s">
        <v>645</v>
      </c>
      <c r="B289" s="11" t="s">
        <v>646</v>
      </c>
      <c r="C289" s="11" t="s">
        <v>51</v>
      </c>
      <c r="D289" s="11" t="s">
        <v>50</v>
      </c>
      <c r="E289" s="18" t="str">
        <f>_xlfn.XLOOKUP(A289,'Current Month'!A:A,'Current Month'!I:I,"")</f>
        <v/>
      </c>
      <c r="F289" s="21" t="str">
        <f>_xlfn.XLOOKUP(A289,'Prior Month'!A:A,'Prior Month'!I:I,"")</f>
        <v/>
      </c>
      <c r="G289" s="18" t="str">
        <f>_xlfn.XLOOKUP(A289,'Year end 2024'!A:A,'Year end 2024'!I:I,"")</f>
        <v/>
      </c>
      <c r="H289" s="19">
        <f>_xlfn.XLOOKUP(A289,'Current Month'!A:A,'Current Month'!E:E,0,0)</f>
        <v>436648.83</v>
      </c>
      <c r="I289" s="32">
        <f>_xlfn.XLOOKUP(A289,'Prior Month'!A:A,'Prior Month'!E:E,0,0)</f>
        <v>486864.59</v>
      </c>
      <c r="J289" s="32">
        <f>_xlfn.XLOOKUP(A289,'Year end 2024'!A:A,'Year end 2024'!E:E,0,0)</f>
        <v>489840.84</v>
      </c>
      <c r="K289" s="14">
        <f t="shared" si="8"/>
        <v>-50215.760000000009</v>
      </c>
      <c r="L289" s="14">
        <f t="shared" si="9"/>
        <v>-53192.010000000009</v>
      </c>
    </row>
    <row r="290" spans="1:12" ht="35.15" customHeight="1" x14ac:dyDescent="0.4">
      <c r="A290" s="11" t="s">
        <v>647</v>
      </c>
      <c r="B290" s="11" t="s">
        <v>648</v>
      </c>
      <c r="C290" s="11" t="s">
        <v>19</v>
      </c>
      <c r="D290" s="11" t="s">
        <v>18</v>
      </c>
      <c r="E290" s="18" t="str">
        <f>_xlfn.XLOOKUP(A290,'Current Month'!A:A,'Current Month'!I:I,"")</f>
        <v/>
      </c>
      <c r="F290" s="21" t="str">
        <f>_xlfn.XLOOKUP(A290,'Prior Month'!A:A,'Prior Month'!I:I,"")</f>
        <v/>
      </c>
      <c r="G290" s="18">
        <f>_xlfn.XLOOKUP(A290,'Year end 2024'!A:A,'Year end 2024'!I:I,"")</f>
        <v>0.70651195820666635</v>
      </c>
      <c r="H290" s="19">
        <f>_xlfn.XLOOKUP(A290,'Current Month'!A:A,'Current Month'!E:E,0,0)</f>
        <v>30594.89</v>
      </c>
      <c r="I290" s="32">
        <f>_xlfn.XLOOKUP(A290,'Prior Month'!A:A,'Prior Month'!E:E,0,0)</f>
        <v>19703.64</v>
      </c>
      <c r="J290" s="32">
        <f>_xlfn.XLOOKUP(A290,'Year end 2024'!A:A,'Year end 2024'!E:E,0,0)</f>
        <v>105995.05</v>
      </c>
      <c r="K290" s="14">
        <f t="shared" si="8"/>
        <v>10891.25</v>
      </c>
      <c r="L290" s="14">
        <f t="shared" si="9"/>
        <v>-75400.160000000003</v>
      </c>
    </row>
    <row r="291" spans="1:12" ht="35.15" customHeight="1" x14ac:dyDescent="0.4">
      <c r="A291" s="11" t="s">
        <v>649</v>
      </c>
      <c r="B291" s="11" t="s">
        <v>650</v>
      </c>
      <c r="C291" s="11" t="s">
        <v>77</v>
      </c>
      <c r="D291" s="11" t="s">
        <v>76</v>
      </c>
      <c r="E291" s="18" t="str">
        <f>_xlfn.XLOOKUP(A291,'Current Month'!A:A,'Current Month'!I:I,"")</f>
        <v/>
      </c>
      <c r="F291" s="21" t="str">
        <f>_xlfn.XLOOKUP(A291,'Prior Month'!A:A,'Prior Month'!I:I,"")</f>
        <v/>
      </c>
      <c r="G291" s="18" t="str">
        <f>_xlfn.XLOOKUP(A291,'Year end 2024'!A:A,'Year end 2024'!I:I,"")</f>
        <v/>
      </c>
      <c r="H291" s="19">
        <f>_xlfn.XLOOKUP(A291,'Current Month'!A:A,'Current Month'!E:E,0,0)</f>
        <v>12754.35</v>
      </c>
      <c r="I291" s="32">
        <f>_xlfn.XLOOKUP(A291,'Prior Month'!A:A,'Prior Month'!E:E,0,0)</f>
        <v>33017.21</v>
      </c>
      <c r="J291" s="32">
        <f>_xlfn.XLOOKUP(A291,'Year end 2024'!A:A,'Year end 2024'!E:E,0,0)</f>
        <v>49585.77</v>
      </c>
      <c r="K291" s="14">
        <f t="shared" si="8"/>
        <v>-20262.86</v>
      </c>
      <c r="L291" s="14">
        <f t="shared" si="9"/>
        <v>-36831.42</v>
      </c>
    </row>
    <row r="292" spans="1:12" ht="35.15" customHeight="1" x14ac:dyDescent="0.4">
      <c r="A292" s="11" t="s">
        <v>651</v>
      </c>
      <c r="B292" s="11" t="s">
        <v>652</v>
      </c>
      <c r="C292" s="11" t="s">
        <v>19</v>
      </c>
      <c r="D292" s="11" t="s">
        <v>18</v>
      </c>
      <c r="E292" s="18" t="str">
        <f>_xlfn.XLOOKUP(A292,'Current Month'!A:A,'Current Month'!I:I,"")</f>
        <v/>
      </c>
      <c r="F292" s="21" t="str">
        <f>_xlfn.XLOOKUP(A292,'Prior Month'!A:A,'Prior Month'!I:I,"")</f>
        <v/>
      </c>
      <c r="G292" s="18" t="str">
        <f>_xlfn.XLOOKUP(A292,'Year end 2024'!A:A,'Year end 2024'!I:I,"")</f>
        <v/>
      </c>
      <c r="H292" s="19">
        <f>_xlfn.XLOOKUP(A292,'Current Month'!A:A,'Current Month'!E:E,0,0)</f>
        <v>353063.02</v>
      </c>
      <c r="I292" s="32">
        <f>_xlfn.XLOOKUP(A292,'Prior Month'!A:A,'Prior Month'!E:E,0,0)</f>
        <v>352716.06</v>
      </c>
      <c r="J292" s="32">
        <f>_xlfn.XLOOKUP(A292,'Year end 2024'!A:A,'Year end 2024'!E:E,0,0)</f>
        <v>388830.66</v>
      </c>
      <c r="K292" s="14">
        <f t="shared" si="8"/>
        <v>346.96000000002095</v>
      </c>
      <c r="L292" s="14">
        <f t="shared" si="9"/>
        <v>-35767.639999999956</v>
      </c>
    </row>
    <row r="293" spans="1:12" ht="35.15" customHeight="1" x14ac:dyDescent="0.4">
      <c r="A293" s="11" t="s">
        <v>653</v>
      </c>
      <c r="B293" s="11" t="s">
        <v>654</v>
      </c>
      <c r="C293" s="11" t="s">
        <v>57</v>
      </c>
      <c r="D293" s="11" t="s">
        <v>56</v>
      </c>
      <c r="E293" s="18" t="str">
        <f>_xlfn.XLOOKUP(A293,'Current Month'!A:A,'Current Month'!I:I,"")</f>
        <v/>
      </c>
      <c r="F293" s="21" t="str">
        <f>_xlfn.XLOOKUP(A293,'Prior Month'!A:A,'Prior Month'!I:I,"")</f>
        <v/>
      </c>
      <c r="G293" s="18" t="str">
        <f>_xlfn.XLOOKUP(A293,'Year end 2024'!A:A,'Year end 2024'!I:I,"")</f>
        <v/>
      </c>
      <c r="H293" s="19">
        <f>_xlfn.XLOOKUP(A293,'Current Month'!A:A,'Current Month'!E:E,0,0)</f>
        <v>484563.85</v>
      </c>
      <c r="I293" s="32">
        <f>_xlfn.XLOOKUP(A293,'Prior Month'!A:A,'Prior Month'!E:E,0,0)</f>
        <v>484487.65</v>
      </c>
      <c r="J293" s="32">
        <f>_xlfn.XLOOKUP(A293,'Year end 2024'!A:A,'Year end 2024'!E:E,0,0)</f>
        <v>660233.23</v>
      </c>
      <c r="K293" s="14">
        <f t="shared" si="8"/>
        <v>76.199999999953434</v>
      </c>
      <c r="L293" s="14">
        <f t="shared" si="9"/>
        <v>-175669.38</v>
      </c>
    </row>
    <row r="294" spans="1:12" ht="35.15" customHeight="1" x14ac:dyDescent="0.4">
      <c r="A294" s="11" t="s">
        <v>655</v>
      </c>
      <c r="B294" s="11" t="s">
        <v>656</v>
      </c>
      <c r="C294" s="11" t="s">
        <v>51</v>
      </c>
      <c r="D294" s="11" t="s">
        <v>50</v>
      </c>
      <c r="E294" s="18">
        <f>_xlfn.XLOOKUP(A294,'Current Month'!A:A,'Current Month'!I:I,"")</f>
        <v>415.81099</v>
      </c>
      <c r="F294" s="21">
        <f>_xlfn.XLOOKUP(A294,'Prior Month'!A:A,'Prior Month'!I:I,"")</f>
        <v>493.18565999999998</v>
      </c>
      <c r="G294" s="18">
        <f>_xlfn.XLOOKUP(A294,'Year end 2024'!A:A,'Year end 2024'!I:I,"")</f>
        <v>399.34902</v>
      </c>
      <c r="H294" s="19">
        <f>_xlfn.XLOOKUP(A294,'Current Month'!A:A,'Current Month'!E:E,0,0)</f>
        <v>415810.99</v>
      </c>
      <c r="I294" s="32">
        <f>_xlfn.XLOOKUP(A294,'Prior Month'!A:A,'Prior Month'!E:E,0,0)</f>
        <v>493185.66</v>
      </c>
      <c r="J294" s="32">
        <f>_xlfn.XLOOKUP(A294,'Year end 2024'!A:A,'Year end 2024'!E:E,0,0)</f>
        <v>399349.02</v>
      </c>
      <c r="K294" s="14">
        <f t="shared" si="8"/>
        <v>-77374.669999999984</v>
      </c>
      <c r="L294" s="14">
        <f t="shared" si="9"/>
        <v>16461.969999999972</v>
      </c>
    </row>
    <row r="295" spans="1:12" ht="35.15" customHeight="1" x14ac:dyDescent="0.4">
      <c r="A295" s="11" t="s">
        <v>657</v>
      </c>
      <c r="B295" s="11" t="s">
        <v>658</v>
      </c>
      <c r="C295" s="11" t="s">
        <v>19</v>
      </c>
      <c r="D295" s="11" t="s">
        <v>18</v>
      </c>
      <c r="E295" s="18" t="str">
        <f>_xlfn.XLOOKUP(A295,'Current Month'!A:A,'Current Month'!I:I,"")</f>
        <v/>
      </c>
      <c r="F295" s="21" t="str">
        <f>_xlfn.XLOOKUP(A295,'Prior Month'!A:A,'Prior Month'!I:I,"")</f>
        <v/>
      </c>
      <c r="G295" s="18" t="str">
        <f>_xlfn.XLOOKUP(A295,'Year end 2024'!A:A,'Year end 2024'!I:I,"")</f>
        <v/>
      </c>
      <c r="H295" s="19">
        <f>_xlfn.XLOOKUP(A295,'Current Month'!A:A,'Current Month'!E:E,0,0)</f>
        <v>826.64</v>
      </c>
      <c r="I295" s="32">
        <f>_xlfn.XLOOKUP(A295,'Prior Month'!A:A,'Prior Month'!E:E,0,0)</f>
        <v>823.46</v>
      </c>
      <c r="J295" s="32">
        <f>_xlfn.XLOOKUP(A295,'Year end 2024'!A:A,'Year end 2024'!E:E,0,0)</f>
        <v>607.75</v>
      </c>
      <c r="K295" s="14">
        <f t="shared" si="8"/>
        <v>3.17999999999995</v>
      </c>
      <c r="L295" s="14">
        <f t="shared" si="9"/>
        <v>218.89</v>
      </c>
    </row>
    <row r="296" spans="1:12" ht="35.15" customHeight="1" x14ac:dyDescent="0.4">
      <c r="A296" s="11" t="s">
        <v>659</v>
      </c>
      <c r="B296" s="11" t="s">
        <v>660</v>
      </c>
      <c r="C296" s="11" t="s">
        <v>57</v>
      </c>
      <c r="D296" s="11" t="s">
        <v>56</v>
      </c>
      <c r="E296" s="18" t="str">
        <f>_xlfn.XLOOKUP(A296,'Current Month'!A:A,'Current Month'!I:I,"")</f>
        <v/>
      </c>
      <c r="F296" s="21" t="str">
        <f>_xlfn.XLOOKUP(A296,'Prior Month'!A:A,'Prior Month'!I:I,"")</f>
        <v/>
      </c>
      <c r="G296" s="18" t="str">
        <f>_xlfn.XLOOKUP(A296,'Year end 2024'!A:A,'Year end 2024'!I:I,"")</f>
        <v/>
      </c>
      <c r="H296" s="19">
        <f>_xlfn.XLOOKUP(A296,'Current Month'!A:A,'Current Month'!E:E,0,0)</f>
        <v>56929.15</v>
      </c>
      <c r="I296" s="32">
        <f>_xlfn.XLOOKUP(A296,'Prior Month'!A:A,'Prior Month'!E:E,0,0)</f>
        <v>40619.83</v>
      </c>
      <c r="J296" s="32">
        <f>_xlfn.XLOOKUP(A296,'Year end 2024'!A:A,'Year end 2024'!E:E,0,0)</f>
        <v>74869.539999999994</v>
      </c>
      <c r="K296" s="14">
        <f t="shared" si="8"/>
        <v>16309.32</v>
      </c>
      <c r="L296" s="14">
        <f t="shared" si="9"/>
        <v>-17940.389999999992</v>
      </c>
    </row>
    <row r="297" spans="1:12" ht="35.15" customHeight="1" x14ac:dyDescent="0.4">
      <c r="A297" s="11" t="s">
        <v>661</v>
      </c>
      <c r="B297" s="11" t="s">
        <v>662</v>
      </c>
      <c r="C297" s="11" t="s">
        <v>77</v>
      </c>
      <c r="D297" s="11" t="s">
        <v>76</v>
      </c>
      <c r="E297" s="18" t="str">
        <f>_xlfn.XLOOKUP(A297,'Current Month'!A:A,'Current Month'!I:I,"")</f>
        <v/>
      </c>
      <c r="F297" s="21" t="str">
        <f>_xlfn.XLOOKUP(A297,'Prior Month'!A:A,'Prior Month'!I:I,"")</f>
        <v/>
      </c>
      <c r="G297" s="18" t="str">
        <f>_xlfn.XLOOKUP(A297,'Year end 2024'!A:A,'Year end 2024'!I:I,"")</f>
        <v/>
      </c>
      <c r="H297" s="19">
        <f>_xlfn.XLOOKUP(A297,'Current Month'!A:A,'Current Month'!E:E,0,0)</f>
        <v>19668.03</v>
      </c>
      <c r="I297" s="32">
        <f>_xlfn.XLOOKUP(A297,'Prior Month'!A:A,'Prior Month'!E:E,0,0)</f>
        <v>11293.03</v>
      </c>
      <c r="J297" s="32">
        <f>_xlfn.XLOOKUP(A297,'Year end 2024'!A:A,'Year end 2024'!E:E,0,0)</f>
        <v>8043.64</v>
      </c>
      <c r="K297" s="14">
        <f t="shared" si="8"/>
        <v>8374.9999999999982</v>
      </c>
      <c r="L297" s="14">
        <f t="shared" si="9"/>
        <v>11624.39</v>
      </c>
    </row>
    <row r="298" spans="1:12" ht="35.15" customHeight="1" x14ac:dyDescent="0.4">
      <c r="A298" s="11" t="s">
        <v>663</v>
      </c>
      <c r="B298" s="11" t="s">
        <v>664</v>
      </c>
      <c r="C298" s="11" t="s">
        <v>51</v>
      </c>
      <c r="D298" s="11" t="s">
        <v>50</v>
      </c>
      <c r="E298" s="18" t="str">
        <f>_xlfn.XLOOKUP(A298,'Current Month'!A:A,'Current Month'!I:I,"")</f>
        <v/>
      </c>
      <c r="F298" s="21" t="str">
        <f>_xlfn.XLOOKUP(A298,'Prior Month'!A:A,'Prior Month'!I:I,"")</f>
        <v/>
      </c>
      <c r="G298" s="18" t="str">
        <f>_xlfn.XLOOKUP(A298,'Year end 2024'!A:A,'Year end 2024'!I:I,"")</f>
        <v/>
      </c>
      <c r="H298" s="19">
        <f>_xlfn.XLOOKUP(A298,'Current Month'!A:A,'Current Month'!E:E,0,0)</f>
        <v>334809.56</v>
      </c>
      <c r="I298" s="32">
        <f>_xlfn.XLOOKUP(A298,'Prior Month'!A:A,'Prior Month'!E:E,0,0)</f>
        <v>334808.84999999998</v>
      </c>
      <c r="J298" s="32">
        <f>_xlfn.XLOOKUP(A298,'Year end 2024'!A:A,'Year end 2024'!E:E,0,0)</f>
        <v>334816.17</v>
      </c>
      <c r="K298" s="14">
        <f t="shared" si="8"/>
        <v>0.71000000002095476</v>
      </c>
      <c r="L298" s="14">
        <f t="shared" si="9"/>
        <v>-6.6099999999860302</v>
      </c>
    </row>
    <row r="299" spans="1:12" ht="35.15" customHeight="1" x14ac:dyDescent="0.4">
      <c r="A299" s="11" t="s">
        <v>665</v>
      </c>
      <c r="B299" s="11" t="s">
        <v>666</v>
      </c>
      <c r="C299" s="11" t="s">
        <v>57</v>
      </c>
      <c r="D299" s="11" t="s">
        <v>56</v>
      </c>
      <c r="E299" s="18">
        <f>_xlfn.XLOOKUP(A299,'Current Month'!A:A,'Current Month'!I:I,"")</f>
        <v>1.0243901039902688</v>
      </c>
      <c r="F299" s="21">
        <f>_xlfn.XLOOKUP(A299,'Prior Month'!A:A,'Prior Month'!I:I,"")</f>
        <v>1.1442799751589467</v>
      </c>
      <c r="G299" s="18">
        <f>_xlfn.XLOOKUP(A299,'Year end 2024'!A:A,'Year end 2024'!I:I,"")</f>
        <v>0.9791405090434141</v>
      </c>
      <c r="H299" s="19">
        <f>_xlfn.XLOOKUP(A299,'Current Month'!A:A,'Current Month'!E:E,0,0)</f>
        <v>346439.78</v>
      </c>
      <c r="I299" s="32">
        <f>_xlfn.XLOOKUP(A299,'Prior Month'!A:A,'Prior Month'!E:E,0,0)</f>
        <v>387214.56</v>
      </c>
      <c r="J299" s="32">
        <f>_xlfn.XLOOKUP(A299,'Year end 2024'!A:A,'Year end 2024'!E:E,0,0)</f>
        <v>235152.95</v>
      </c>
      <c r="K299" s="14">
        <f t="shared" si="8"/>
        <v>-40774.77999999997</v>
      </c>
      <c r="L299" s="14">
        <f t="shared" si="9"/>
        <v>111286.83000000002</v>
      </c>
    </row>
    <row r="300" spans="1:12" ht="35.15" customHeight="1" x14ac:dyDescent="0.4">
      <c r="A300" s="11" t="s">
        <v>667</v>
      </c>
      <c r="B300" s="11" t="s">
        <v>668</v>
      </c>
      <c r="C300" s="11" t="s">
        <v>19</v>
      </c>
      <c r="D300" s="11" t="s">
        <v>18</v>
      </c>
      <c r="E300" s="18" t="str">
        <f>_xlfn.XLOOKUP(A300,'Current Month'!A:A,'Current Month'!I:I,"")</f>
        <v/>
      </c>
      <c r="F300" s="21" t="str">
        <f>_xlfn.XLOOKUP(A300,'Prior Month'!A:A,'Prior Month'!I:I,"")</f>
        <v/>
      </c>
      <c r="G300" s="18" t="str">
        <f>_xlfn.XLOOKUP(A300,'Year end 2024'!A:A,'Year end 2024'!I:I,"")</f>
        <v/>
      </c>
      <c r="H300" s="19">
        <f>_xlfn.XLOOKUP(A300,'Current Month'!A:A,'Current Month'!E:E,0,0)</f>
        <v>105890.11</v>
      </c>
      <c r="I300" s="32">
        <f>_xlfn.XLOOKUP(A300,'Prior Month'!A:A,'Prior Month'!E:E,0,0)</f>
        <v>196677.6</v>
      </c>
      <c r="J300" s="32">
        <f>_xlfn.XLOOKUP(A300,'Year end 2024'!A:A,'Year end 2024'!E:E,0,0)</f>
        <v>223059.07</v>
      </c>
      <c r="K300" s="14">
        <f t="shared" si="8"/>
        <v>-90787.49</v>
      </c>
      <c r="L300" s="14">
        <f t="shared" si="9"/>
        <v>-117168.96000000001</v>
      </c>
    </row>
    <row r="301" spans="1:12" ht="35.15" customHeight="1" x14ac:dyDescent="0.4">
      <c r="A301" s="11" t="s">
        <v>76</v>
      </c>
      <c r="B301" s="11" t="s">
        <v>669</v>
      </c>
      <c r="C301" s="11" t="s">
        <v>51</v>
      </c>
      <c r="D301" s="11" t="s">
        <v>50</v>
      </c>
      <c r="E301" s="18">
        <f>_xlfn.XLOOKUP(A301,'Current Month'!A:A,'Current Month'!I:I,"")</f>
        <v>1.5361248021865728</v>
      </c>
      <c r="F301" s="21">
        <f>_xlfn.XLOOKUP(A301,'Prior Month'!A:A,'Prior Month'!I:I,"")</f>
        <v>1.2507951535713062</v>
      </c>
      <c r="G301" s="18">
        <f>_xlfn.XLOOKUP(A301,'Year end 2024'!A:A,'Year end 2024'!I:I,"")</f>
        <v>0.37282786842643256</v>
      </c>
      <c r="H301" s="19">
        <f>_xlfn.XLOOKUP(A301,'Current Month'!A:A,'Current Month'!E:E,0,0)</f>
        <v>94914.11</v>
      </c>
      <c r="I301" s="32">
        <f>_xlfn.XLOOKUP(A301,'Prior Month'!A:A,'Prior Month'!E:E,0,0)</f>
        <v>77392.75</v>
      </c>
      <c r="J301" s="32">
        <f>_xlfn.XLOOKUP(A301,'Year end 2024'!A:A,'Year end 2024'!E:E,0,0)</f>
        <v>38735.19</v>
      </c>
      <c r="K301" s="14">
        <f t="shared" si="8"/>
        <v>17521.36</v>
      </c>
      <c r="L301" s="14">
        <f t="shared" si="9"/>
        <v>56178.92</v>
      </c>
    </row>
    <row r="302" spans="1:12" ht="35.15" customHeight="1" x14ac:dyDescent="0.4">
      <c r="A302" s="11" t="s">
        <v>670</v>
      </c>
      <c r="B302" s="11" t="s">
        <v>671</v>
      </c>
      <c r="C302" s="11" t="s">
        <v>19</v>
      </c>
      <c r="D302" s="11" t="s">
        <v>18</v>
      </c>
      <c r="E302" s="18" t="str">
        <f>_xlfn.XLOOKUP(A302,'Current Month'!A:A,'Current Month'!I:I,"")</f>
        <v/>
      </c>
      <c r="F302" s="21" t="str">
        <f>_xlfn.XLOOKUP(A302,'Prior Month'!A:A,'Prior Month'!I:I,"")</f>
        <v/>
      </c>
      <c r="G302" s="18" t="str">
        <f>_xlfn.XLOOKUP(A302,'Year end 2024'!A:A,'Year end 2024'!I:I,"")</f>
        <v/>
      </c>
      <c r="H302" s="19">
        <f>_xlfn.XLOOKUP(A302,'Current Month'!A:A,'Current Month'!E:E,0,0)</f>
        <v>221289.43</v>
      </c>
      <c r="I302" s="32">
        <f>_xlfn.XLOOKUP(A302,'Prior Month'!A:A,'Prior Month'!E:E,0,0)</f>
        <v>208908</v>
      </c>
      <c r="J302" s="32">
        <f>_xlfn.XLOOKUP(A302,'Year end 2024'!A:A,'Year end 2024'!E:E,0,0)</f>
        <v>206228.52</v>
      </c>
      <c r="K302" s="14">
        <f t="shared" si="8"/>
        <v>12381.429999999993</v>
      </c>
      <c r="L302" s="14">
        <f t="shared" si="9"/>
        <v>15060.910000000003</v>
      </c>
    </row>
    <row r="303" spans="1:12" ht="35.15" customHeight="1" x14ac:dyDescent="0.4">
      <c r="A303" s="11" t="s">
        <v>672</v>
      </c>
      <c r="B303" s="11" t="s">
        <v>673</v>
      </c>
      <c r="C303" s="11" t="s">
        <v>101</v>
      </c>
      <c r="D303" s="11" t="s">
        <v>100</v>
      </c>
      <c r="E303" s="18">
        <f>_xlfn.XLOOKUP(A303,'Current Month'!A:A,'Current Month'!I:I,"")</f>
        <v>170.44251933907063</v>
      </c>
      <c r="F303" s="21">
        <f>_xlfn.XLOOKUP(A303,'Prior Month'!A:A,'Prior Month'!I:I,"")</f>
        <v>118.10612499197428</v>
      </c>
      <c r="G303" s="18">
        <f>_xlfn.XLOOKUP(A303,'Year end 2024'!A:A,'Year end 2024'!I:I,"")</f>
        <v>18.274982318383511</v>
      </c>
      <c r="H303" s="19">
        <f>_xlfn.XLOOKUP(A303,'Current Month'!A:A,'Current Month'!E:E,0,0)</f>
        <v>2420593.98</v>
      </c>
      <c r="I303" s="32">
        <f>_xlfn.XLOOKUP(A303,'Prior Month'!A:A,'Prior Month'!E:E,0,0)</f>
        <v>1986653.68</v>
      </c>
      <c r="J303" s="32">
        <f>_xlfn.XLOOKUP(A303,'Year end 2024'!A:A,'Year end 2024'!E:E,0,0)</f>
        <v>1776170.02</v>
      </c>
      <c r="K303" s="14">
        <f t="shared" si="8"/>
        <v>433940.30000000005</v>
      </c>
      <c r="L303" s="14">
        <f t="shared" si="9"/>
        <v>644423.96</v>
      </c>
    </row>
    <row r="304" spans="1:12" ht="35.15" customHeight="1" x14ac:dyDescent="0.4">
      <c r="A304" s="11" t="s">
        <v>674</v>
      </c>
      <c r="B304" s="11" t="s">
        <v>675</v>
      </c>
      <c r="C304" s="11" t="s">
        <v>15</v>
      </c>
      <c r="D304" s="11" t="s">
        <v>14</v>
      </c>
      <c r="E304" s="18">
        <f>_xlfn.XLOOKUP(A304,'Current Month'!A:A,'Current Month'!I:I,"")</f>
        <v>2.6006650941260184E-2</v>
      </c>
      <c r="F304" s="21">
        <f>_xlfn.XLOOKUP(A304,'Prior Month'!A:A,'Prior Month'!I:I,"")</f>
        <v>3.5363472549959397E-2</v>
      </c>
      <c r="G304" s="18">
        <f>_xlfn.XLOOKUP(A304,'Year end 2024'!A:A,'Year end 2024'!I:I,"")</f>
        <v>0.10794202373517112</v>
      </c>
      <c r="H304" s="19">
        <f>_xlfn.XLOOKUP(A304,'Current Month'!A:A,'Current Month'!E:E,0,0)</f>
        <v>58004.22</v>
      </c>
      <c r="I304" s="32">
        <f>_xlfn.XLOOKUP(A304,'Prior Month'!A:A,'Prior Month'!E:E,0,0)</f>
        <v>78873.31</v>
      </c>
      <c r="J304" s="32">
        <f>_xlfn.XLOOKUP(A304,'Year end 2024'!A:A,'Year end 2024'!E:E,0,0)</f>
        <v>240749.68</v>
      </c>
      <c r="K304" s="14">
        <f t="shared" si="8"/>
        <v>-20869.089999999997</v>
      </c>
      <c r="L304" s="14">
        <f t="shared" si="9"/>
        <v>-182745.46</v>
      </c>
    </row>
    <row r="305" spans="1:12" ht="35.15" customHeight="1" x14ac:dyDescent="0.4">
      <c r="A305" s="11" t="s">
        <v>676</v>
      </c>
      <c r="B305" s="11" t="s">
        <v>677</v>
      </c>
      <c r="C305" s="11" t="s">
        <v>19</v>
      </c>
      <c r="D305" s="11" t="s">
        <v>18</v>
      </c>
      <c r="E305" s="18" t="str">
        <f>_xlfn.XLOOKUP(A305,'Current Month'!A:A,'Current Month'!I:I,"")</f>
        <v/>
      </c>
      <c r="F305" s="21" t="str">
        <f>_xlfn.XLOOKUP(A305,'Prior Month'!A:A,'Prior Month'!I:I,"")</f>
        <v/>
      </c>
      <c r="G305" s="18" t="str">
        <f>_xlfn.XLOOKUP(A305,'Year end 2024'!A:A,'Year end 2024'!I:I,"")</f>
        <v/>
      </c>
      <c r="H305" s="19">
        <f>_xlfn.XLOOKUP(A305,'Current Month'!A:A,'Current Month'!E:E,0,0)</f>
        <v>208683.43</v>
      </c>
      <c r="I305" s="32">
        <f>_xlfn.XLOOKUP(A305,'Prior Month'!A:A,'Prior Month'!E:E,0,0)</f>
        <v>204084.08</v>
      </c>
      <c r="J305" s="32">
        <f>_xlfn.XLOOKUP(A305,'Year end 2024'!A:A,'Year end 2024'!E:E,0,0)</f>
        <v>288121.95</v>
      </c>
      <c r="K305" s="14">
        <f t="shared" si="8"/>
        <v>4599.3500000000058</v>
      </c>
      <c r="L305" s="14">
        <f t="shared" si="9"/>
        <v>-79438.520000000019</v>
      </c>
    </row>
    <row r="306" spans="1:12" ht="35.15" customHeight="1" x14ac:dyDescent="0.4">
      <c r="A306" s="11" t="s">
        <v>678</v>
      </c>
      <c r="B306" s="11" t="s">
        <v>679</v>
      </c>
      <c r="C306" s="11" t="s">
        <v>19</v>
      </c>
      <c r="D306" s="11" t="s">
        <v>18</v>
      </c>
      <c r="E306" s="18">
        <f>_xlfn.XLOOKUP(A306,'Current Month'!A:A,'Current Month'!I:I,"")</f>
        <v>1.3094950968121117</v>
      </c>
      <c r="F306" s="21">
        <f>_xlfn.XLOOKUP(A306,'Prior Month'!A:A,'Prior Month'!I:I,"")</f>
        <v>0.89440943478753898</v>
      </c>
      <c r="G306" s="18">
        <f>_xlfn.XLOOKUP(A306,'Year end 2024'!A:A,'Year end 2024'!I:I,"")</f>
        <v>1.3780285722541037</v>
      </c>
      <c r="H306" s="19">
        <f>_xlfn.XLOOKUP(A306,'Current Month'!A:A,'Current Month'!E:E,0,0)</f>
        <v>24063.02</v>
      </c>
      <c r="I306" s="32">
        <f>_xlfn.XLOOKUP(A306,'Prior Month'!A:A,'Prior Month'!E:E,0,0)</f>
        <v>16563.3</v>
      </c>
      <c r="J306" s="32">
        <f>_xlfn.XLOOKUP(A306,'Year end 2024'!A:A,'Year end 2024'!E:E,0,0)</f>
        <v>27185.1</v>
      </c>
      <c r="K306" s="14">
        <f t="shared" si="8"/>
        <v>7499.7200000000012</v>
      </c>
      <c r="L306" s="14">
        <f t="shared" si="9"/>
        <v>-3122.0799999999981</v>
      </c>
    </row>
    <row r="307" spans="1:12" ht="35.15" customHeight="1" x14ac:dyDescent="0.4">
      <c r="A307" s="11" t="s">
        <v>50</v>
      </c>
      <c r="B307" s="11" t="s">
        <v>680</v>
      </c>
      <c r="C307" s="11" t="s">
        <v>19</v>
      </c>
      <c r="D307" s="11" t="s">
        <v>18</v>
      </c>
      <c r="E307" s="18" t="str">
        <f>_xlfn.XLOOKUP(A307,'Current Month'!A:A,'Current Month'!I:I,"")</f>
        <v/>
      </c>
      <c r="F307" s="21" t="str">
        <f>_xlfn.XLOOKUP(A307,'Prior Month'!A:A,'Prior Month'!I:I,"")</f>
        <v/>
      </c>
      <c r="G307" s="18" t="str">
        <f>_xlfn.XLOOKUP(A307,'Year end 2024'!A:A,'Year end 2024'!I:I,"")</f>
        <v/>
      </c>
      <c r="H307" s="19">
        <f>_xlfn.XLOOKUP(A307,'Current Month'!A:A,'Current Month'!E:E,0,0)</f>
        <v>293900.44</v>
      </c>
      <c r="I307" s="32">
        <f>_xlfn.XLOOKUP(A307,'Prior Month'!A:A,'Prior Month'!E:E,0,0)</f>
        <v>294087.24</v>
      </c>
      <c r="J307" s="32">
        <f>_xlfn.XLOOKUP(A307,'Year end 2024'!A:A,'Year end 2024'!E:E,0,0)</f>
        <v>293091</v>
      </c>
      <c r="K307" s="14">
        <f t="shared" si="8"/>
        <v>-186.79999999998836</v>
      </c>
      <c r="L307" s="14">
        <f t="shared" si="9"/>
        <v>809.44000000000233</v>
      </c>
    </row>
    <row r="308" spans="1:12" ht="35.15" customHeight="1" x14ac:dyDescent="0.4">
      <c r="A308" s="11" t="s">
        <v>681</v>
      </c>
      <c r="B308" s="11" t="s">
        <v>682</v>
      </c>
      <c r="C308" s="11" t="s">
        <v>29</v>
      </c>
      <c r="D308" s="11" t="s">
        <v>28</v>
      </c>
      <c r="E308" s="18" t="str">
        <f>_xlfn.XLOOKUP(A308,'Current Month'!A:A,'Current Month'!I:I,"")</f>
        <v/>
      </c>
      <c r="F308" s="21" t="str">
        <f>_xlfn.XLOOKUP(A308,'Prior Month'!A:A,'Prior Month'!I:I,"")</f>
        <v/>
      </c>
      <c r="G308" s="18" t="str">
        <f>_xlfn.XLOOKUP(A308,'Year end 2024'!A:A,'Year end 2024'!I:I,"")</f>
        <v/>
      </c>
      <c r="H308" s="19">
        <f>_xlfn.XLOOKUP(A308,'Current Month'!A:A,'Current Month'!E:E,0,0)</f>
        <v>414472.35</v>
      </c>
      <c r="I308" s="32">
        <f>_xlfn.XLOOKUP(A308,'Prior Month'!A:A,'Prior Month'!E:E,0,0)</f>
        <v>413449.42</v>
      </c>
      <c r="J308" s="32">
        <f>_xlfn.XLOOKUP(A308,'Year end 2024'!A:A,'Year end 2024'!E:E,0,0)</f>
        <v>404443.11</v>
      </c>
      <c r="K308" s="14">
        <f t="shared" si="8"/>
        <v>1022.929999999993</v>
      </c>
      <c r="L308" s="14">
        <f t="shared" si="9"/>
        <v>10029.239999999991</v>
      </c>
    </row>
    <row r="309" spans="1:12" ht="35.15" customHeight="1" x14ac:dyDescent="0.4">
      <c r="A309" s="11" t="s">
        <v>683</v>
      </c>
      <c r="B309" s="11" t="s">
        <v>684</v>
      </c>
      <c r="C309" s="11" t="s">
        <v>109</v>
      </c>
      <c r="D309" s="11" t="s">
        <v>108</v>
      </c>
      <c r="E309" s="18" t="str">
        <f>_xlfn.XLOOKUP(A309,'Current Month'!A:A,'Current Month'!I:I,"")</f>
        <v/>
      </c>
      <c r="F309" s="21" t="str">
        <f>_xlfn.XLOOKUP(A309,'Prior Month'!A:A,'Prior Month'!I:I,"")</f>
        <v/>
      </c>
      <c r="G309" s="18" t="str">
        <f>_xlfn.XLOOKUP(A309,'Year end 2024'!A:A,'Year end 2024'!I:I,"")</f>
        <v/>
      </c>
      <c r="H309" s="19">
        <f>_xlfn.XLOOKUP(A309,'Current Month'!A:A,'Current Month'!E:E,0,0)</f>
        <v>164635.68</v>
      </c>
      <c r="I309" s="32">
        <f>_xlfn.XLOOKUP(A309,'Prior Month'!A:A,'Prior Month'!E:E,0,0)</f>
        <v>162816.88</v>
      </c>
      <c r="J309" s="32">
        <f>_xlfn.XLOOKUP(A309,'Year end 2024'!A:A,'Year end 2024'!E:E,0,0)</f>
        <v>150940.98000000001</v>
      </c>
      <c r="K309" s="14">
        <f t="shared" si="8"/>
        <v>1818.7999999999884</v>
      </c>
      <c r="L309" s="14">
        <f t="shared" si="9"/>
        <v>13694.699999999983</v>
      </c>
    </row>
    <row r="310" spans="1:12" ht="35.15" customHeight="1" x14ac:dyDescent="0.4">
      <c r="A310" s="11" t="s">
        <v>685</v>
      </c>
      <c r="B310" s="11" t="s">
        <v>686</v>
      </c>
      <c r="C310" s="11" t="s">
        <v>57</v>
      </c>
      <c r="D310" s="11" t="s">
        <v>56</v>
      </c>
      <c r="E310" s="18">
        <f>_xlfn.XLOOKUP(A310,'Current Month'!A:A,'Current Month'!I:I,"")</f>
        <v>0.25270710000000002</v>
      </c>
      <c r="F310" s="21">
        <f>_xlfn.XLOOKUP(A310,'Prior Month'!A:A,'Prior Month'!I:I,"")</f>
        <v>0.3574079</v>
      </c>
      <c r="G310" s="18">
        <f>_xlfn.XLOOKUP(A310,'Year end 2024'!A:A,'Year end 2024'!I:I,"")</f>
        <v>0.30619819999999998</v>
      </c>
      <c r="H310" s="19">
        <f>_xlfn.XLOOKUP(A310,'Current Month'!A:A,'Current Month'!E:E,0,0)</f>
        <v>50541.42</v>
      </c>
      <c r="I310" s="32">
        <f>_xlfn.XLOOKUP(A310,'Prior Month'!A:A,'Prior Month'!E:E,0,0)</f>
        <v>71481.58</v>
      </c>
      <c r="J310" s="32">
        <f>_xlfn.XLOOKUP(A310,'Year end 2024'!A:A,'Year end 2024'!E:E,0,0)</f>
        <v>61239.64</v>
      </c>
      <c r="K310" s="14">
        <f t="shared" si="8"/>
        <v>-20940.160000000003</v>
      </c>
      <c r="L310" s="14">
        <f t="shared" si="9"/>
        <v>-10698.220000000001</v>
      </c>
    </row>
    <row r="311" spans="1:12" ht="35.15" customHeight="1" x14ac:dyDescent="0.4">
      <c r="A311" s="11" t="s">
        <v>687</v>
      </c>
      <c r="B311" s="11" t="s">
        <v>688</v>
      </c>
      <c r="C311" s="11" t="s">
        <v>57</v>
      </c>
      <c r="D311" s="11" t="s">
        <v>56</v>
      </c>
      <c r="E311" s="18">
        <f>_xlfn.XLOOKUP(A311,'Current Month'!A:A,'Current Month'!I:I,"")</f>
        <v>60.880780000000001</v>
      </c>
      <c r="F311" s="21">
        <f>_xlfn.XLOOKUP(A311,'Prior Month'!A:A,'Prior Month'!I:I,"")</f>
        <v>70.683466666666661</v>
      </c>
      <c r="G311" s="18">
        <f>_xlfn.XLOOKUP(A311,'Year end 2024'!A:A,'Year end 2024'!I:I,"")</f>
        <v>6.4725000000000001</v>
      </c>
      <c r="H311" s="19">
        <f>_xlfn.XLOOKUP(A311,'Current Month'!A:A,'Current Month'!E:E,0,0)</f>
        <v>91321.17</v>
      </c>
      <c r="I311" s="32">
        <f>_xlfn.XLOOKUP(A311,'Prior Month'!A:A,'Prior Month'!E:E,0,0)</f>
        <v>106025.2</v>
      </c>
      <c r="J311" s="32">
        <f>_xlfn.XLOOKUP(A311,'Year end 2024'!A:A,'Year end 2024'!E:E,0,0)</f>
        <v>9708.75</v>
      </c>
      <c r="K311" s="14">
        <f t="shared" si="8"/>
        <v>-14704.029999999999</v>
      </c>
      <c r="L311" s="14">
        <f t="shared" si="9"/>
        <v>81612.42</v>
      </c>
    </row>
    <row r="312" spans="1:12" ht="35.15" customHeight="1" x14ac:dyDescent="0.4">
      <c r="A312" s="11" t="s">
        <v>689</v>
      </c>
      <c r="B312" s="11" t="s">
        <v>690</v>
      </c>
      <c r="C312" s="11" t="s">
        <v>57</v>
      </c>
      <c r="D312" s="11" t="s">
        <v>56</v>
      </c>
      <c r="E312" s="18">
        <f>_xlfn.XLOOKUP(A312,'Current Month'!A:A,'Current Month'!I:I,"")</f>
        <v>0.83547660212809305</v>
      </c>
      <c r="F312" s="21">
        <f>_xlfn.XLOOKUP(A312,'Prior Month'!A:A,'Prior Month'!I:I,"")</f>
        <v>0.82058740214582038</v>
      </c>
      <c r="G312" s="18">
        <f>_xlfn.XLOOKUP(A312,'Year end 2024'!A:A,'Year end 2024'!I:I,"")</f>
        <v>0.7707549425567739</v>
      </c>
      <c r="H312" s="19">
        <f>_xlfn.XLOOKUP(A312,'Current Month'!A:A,'Current Month'!E:E,0,0)</f>
        <v>100913.15</v>
      </c>
      <c r="I312" s="32">
        <f>_xlfn.XLOOKUP(A312,'Prior Month'!A:A,'Prior Month'!E:E,0,0)</f>
        <v>100549.11</v>
      </c>
      <c r="J312" s="32">
        <f>_xlfn.XLOOKUP(A312,'Year end 2024'!A:A,'Year end 2024'!E:E,0,0)</f>
        <v>99088.24</v>
      </c>
      <c r="K312" s="14">
        <f t="shared" si="8"/>
        <v>364.0399999999936</v>
      </c>
      <c r="L312" s="14">
        <f t="shared" si="9"/>
        <v>1824.9099999999889</v>
      </c>
    </row>
    <row r="313" spans="1:12" ht="35.15" customHeight="1" x14ac:dyDescent="0.4">
      <c r="A313" s="11" t="s">
        <v>691</v>
      </c>
      <c r="B313" s="11" t="s">
        <v>692</v>
      </c>
      <c r="C313" s="11" t="s">
        <v>51</v>
      </c>
      <c r="D313" s="11" t="s">
        <v>50</v>
      </c>
      <c r="E313" s="18" t="str">
        <f>_xlfn.XLOOKUP(A313,'Current Month'!A:A,'Current Month'!I:I,"")</f>
        <v/>
      </c>
      <c r="F313" s="21" t="str">
        <f>_xlfn.XLOOKUP(A313,'Prior Month'!A:A,'Prior Month'!I:I,"")</f>
        <v/>
      </c>
      <c r="G313" s="18" t="str">
        <f>_xlfn.XLOOKUP(A313,'Year end 2024'!A:A,'Year end 2024'!I:I,"")</f>
        <v/>
      </c>
      <c r="H313" s="19">
        <f>_xlfn.XLOOKUP(A313,'Current Month'!A:A,'Current Month'!E:E,0,0)</f>
        <v>37649.08</v>
      </c>
      <c r="I313" s="32">
        <f>_xlfn.XLOOKUP(A313,'Prior Month'!A:A,'Prior Month'!E:E,0,0)</f>
        <v>32057.43</v>
      </c>
      <c r="J313" s="32">
        <f>_xlfn.XLOOKUP(A313,'Year end 2024'!A:A,'Year end 2024'!E:E,0,0)</f>
        <v>37343.949999999997</v>
      </c>
      <c r="K313" s="14">
        <f t="shared" si="8"/>
        <v>5591.6500000000015</v>
      </c>
      <c r="L313" s="14">
        <f t="shared" si="9"/>
        <v>305.13000000000466</v>
      </c>
    </row>
    <row r="314" spans="1:12" ht="35.15" customHeight="1" x14ac:dyDescent="0.4">
      <c r="A314" s="11" t="s">
        <v>693</v>
      </c>
      <c r="B314" s="11" t="s">
        <v>694</v>
      </c>
      <c r="C314" s="11" t="s">
        <v>67</v>
      </c>
      <c r="D314" s="11" t="s">
        <v>66</v>
      </c>
      <c r="E314" s="18" t="str">
        <f>_xlfn.XLOOKUP(A314,'Current Month'!A:A,'Current Month'!I:I,"")</f>
        <v/>
      </c>
      <c r="F314" s="21" t="str">
        <f>_xlfn.XLOOKUP(A314,'Prior Month'!A:A,'Prior Month'!I:I,"")</f>
        <v/>
      </c>
      <c r="G314" s="18" t="str">
        <f>_xlfn.XLOOKUP(A314,'Year end 2024'!A:A,'Year end 2024'!I:I,"")</f>
        <v/>
      </c>
      <c r="H314" s="19">
        <f>_xlfn.XLOOKUP(A314,'Current Month'!A:A,'Current Month'!E:E,0,0)</f>
        <v>1539987.5</v>
      </c>
      <c r="I314" s="32">
        <f>_xlfn.XLOOKUP(A314,'Prior Month'!A:A,'Prior Month'!E:E,0,0)</f>
        <v>1563190.81</v>
      </c>
      <c r="J314" s="32">
        <f>_xlfn.XLOOKUP(A314,'Year end 2024'!A:A,'Year end 2024'!E:E,0,0)</f>
        <v>1254375</v>
      </c>
      <c r="K314" s="14">
        <f t="shared" si="8"/>
        <v>-23203.310000000056</v>
      </c>
      <c r="L314" s="14">
        <f t="shared" si="9"/>
        <v>285612.5</v>
      </c>
    </row>
    <row r="315" spans="1:12" ht="35.15" customHeight="1" x14ac:dyDescent="0.4">
      <c r="A315" s="11" t="s">
        <v>695</v>
      </c>
      <c r="B315" s="11" t="s">
        <v>696</v>
      </c>
      <c r="C315" s="11" t="s">
        <v>109</v>
      </c>
      <c r="D315" s="11" t="s">
        <v>108</v>
      </c>
      <c r="E315" s="18" t="str">
        <f>_xlfn.XLOOKUP(A315,'Current Month'!A:A,'Current Month'!I:I,"")</f>
        <v/>
      </c>
      <c r="F315" s="21" t="str">
        <f>_xlfn.XLOOKUP(A315,'Prior Month'!A:A,'Prior Month'!I:I,"")</f>
        <v/>
      </c>
      <c r="G315" s="18" t="str">
        <f>_xlfn.XLOOKUP(A315,'Year end 2024'!A:A,'Year end 2024'!I:I,"")</f>
        <v/>
      </c>
      <c r="H315" s="19">
        <f>_xlfn.XLOOKUP(A315,'Current Month'!A:A,'Current Month'!E:E,0,0)</f>
        <v>471377.98</v>
      </c>
      <c r="I315" s="32">
        <f>_xlfn.XLOOKUP(A315,'Prior Month'!A:A,'Prior Month'!E:E,0,0)</f>
        <v>472952.92</v>
      </c>
      <c r="J315" s="32">
        <f>_xlfn.XLOOKUP(A315,'Year end 2024'!A:A,'Year end 2024'!E:E,0,0)</f>
        <v>501602.35</v>
      </c>
      <c r="K315" s="14">
        <f t="shared" si="8"/>
        <v>-1574.9400000000023</v>
      </c>
      <c r="L315" s="14">
        <f t="shared" si="9"/>
        <v>-30224.369999999995</v>
      </c>
    </row>
    <row r="316" spans="1:12" ht="35.15" customHeight="1" x14ac:dyDescent="0.4">
      <c r="A316" s="11" t="s">
        <v>697</v>
      </c>
      <c r="B316" s="11" t="s">
        <v>698</v>
      </c>
      <c r="C316" s="11" t="s">
        <v>19</v>
      </c>
      <c r="D316" s="11" t="s">
        <v>18</v>
      </c>
      <c r="E316" s="18">
        <f>_xlfn.XLOOKUP(A316,'Current Month'!A:A,'Current Month'!I:I,"")</f>
        <v>2.5370366666666664</v>
      </c>
      <c r="F316" s="21">
        <f>_xlfn.XLOOKUP(A316,'Prior Month'!A:A,'Prior Month'!I:I,"")</f>
        <v>2.8369800000000001</v>
      </c>
      <c r="G316" s="18">
        <f>_xlfn.XLOOKUP(A316,'Year end 2024'!A:A,'Year end 2024'!I:I,"")</f>
        <v>2.3014766666666668</v>
      </c>
      <c r="H316" s="19">
        <f>_xlfn.XLOOKUP(A316,'Current Month'!A:A,'Current Month'!E:E,0,0)</f>
        <v>7611.11</v>
      </c>
      <c r="I316" s="32">
        <f>_xlfn.XLOOKUP(A316,'Prior Month'!A:A,'Prior Month'!E:E,0,0)</f>
        <v>8510.94</v>
      </c>
      <c r="J316" s="32">
        <f>_xlfn.XLOOKUP(A316,'Year end 2024'!A:A,'Year end 2024'!E:E,0,0)</f>
        <v>6904.43</v>
      </c>
      <c r="K316" s="14">
        <f t="shared" si="8"/>
        <v>-899.83000000000084</v>
      </c>
      <c r="L316" s="14">
        <f t="shared" si="9"/>
        <v>706.67999999999938</v>
      </c>
    </row>
    <row r="317" spans="1:12" ht="35.15" customHeight="1" x14ac:dyDescent="0.4">
      <c r="A317" s="11" t="s">
        <v>699</v>
      </c>
      <c r="B317" s="11" t="s">
        <v>700</v>
      </c>
      <c r="C317" s="11" t="s">
        <v>19</v>
      </c>
      <c r="D317" s="11" t="s">
        <v>18</v>
      </c>
      <c r="E317" s="18" t="str">
        <f>_xlfn.XLOOKUP(A317,'Current Month'!A:A,'Current Month'!I:I,"")</f>
        <v/>
      </c>
      <c r="F317" s="21" t="str">
        <f>_xlfn.XLOOKUP(A317,'Prior Month'!A:A,'Prior Month'!I:I,"")</f>
        <v/>
      </c>
      <c r="G317" s="18" t="str">
        <f>_xlfn.XLOOKUP(A317,'Year end 2024'!A:A,'Year end 2024'!I:I,"")</f>
        <v/>
      </c>
      <c r="H317" s="19">
        <f>_xlfn.XLOOKUP(A317,'Current Month'!A:A,'Current Month'!E:E,0,0)</f>
        <v>7298.08</v>
      </c>
      <c r="I317" s="32">
        <f>_xlfn.XLOOKUP(A317,'Prior Month'!A:A,'Prior Month'!E:E,0,0)</f>
        <v>6216.22</v>
      </c>
      <c r="J317" s="32">
        <f>_xlfn.XLOOKUP(A317,'Year end 2024'!A:A,'Year end 2024'!E:E,0,0)</f>
        <v>3835.36</v>
      </c>
      <c r="K317" s="14">
        <f t="shared" ref="K317:K380" si="10">IFERROR(SUM(H317-I317),H317)</f>
        <v>1081.8599999999997</v>
      </c>
      <c r="L317" s="14">
        <f t="shared" ref="L317:L380" si="11">IFERROR(SUM(H317-J317),H317)</f>
        <v>3462.72</v>
      </c>
    </row>
    <row r="318" spans="1:12" ht="35.15" customHeight="1" x14ac:dyDescent="0.4">
      <c r="A318" s="11" t="s">
        <v>701</v>
      </c>
      <c r="B318" s="11" t="s">
        <v>702</v>
      </c>
      <c r="C318" s="11" t="s">
        <v>67</v>
      </c>
      <c r="D318" s="11" t="s">
        <v>66</v>
      </c>
      <c r="E318" s="18">
        <f>_xlfn.XLOOKUP(A318,'Current Month'!A:A,'Current Month'!I:I,"")</f>
        <v>0.20835819999999999</v>
      </c>
      <c r="F318" s="21">
        <f>_xlfn.XLOOKUP(A318,'Prior Month'!A:A,'Prior Month'!I:I,"")</f>
        <v>0.233206</v>
      </c>
      <c r="G318" s="18">
        <f>_xlfn.XLOOKUP(A318,'Year end 2024'!A:A,'Year end 2024'!I:I,"")</f>
        <v>0.36289269999999996</v>
      </c>
      <c r="H318" s="19">
        <f>_xlfn.XLOOKUP(A318,'Current Month'!A:A,'Current Month'!E:E,0,0)</f>
        <v>20835.82</v>
      </c>
      <c r="I318" s="32">
        <f>_xlfn.XLOOKUP(A318,'Prior Month'!A:A,'Prior Month'!E:E,0,0)</f>
        <v>23320.6</v>
      </c>
      <c r="J318" s="32">
        <f>_xlfn.XLOOKUP(A318,'Year end 2024'!A:A,'Year end 2024'!E:E,0,0)</f>
        <v>36289.269999999997</v>
      </c>
      <c r="K318" s="14">
        <f t="shared" si="10"/>
        <v>-2484.7799999999988</v>
      </c>
      <c r="L318" s="14">
        <f t="shared" si="11"/>
        <v>-15453.449999999997</v>
      </c>
    </row>
    <row r="319" spans="1:12" ht="35.15" customHeight="1" x14ac:dyDescent="0.4">
      <c r="A319" s="11" t="s">
        <v>703</v>
      </c>
      <c r="B319" s="11" t="s">
        <v>704</v>
      </c>
      <c r="C319" s="11" t="s">
        <v>213</v>
      </c>
      <c r="D319" s="11" t="s">
        <v>212</v>
      </c>
      <c r="E319" s="18">
        <f>_xlfn.XLOOKUP(A319,'Current Month'!A:A,'Current Month'!I:I,"")</f>
        <v>0</v>
      </c>
      <c r="F319" s="21">
        <f>_xlfn.XLOOKUP(A319,'Prior Month'!A:A,'Prior Month'!I:I,"")</f>
        <v>0</v>
      </c>
      <c r="G319" s="18">
        <f>_xlfn.XLOOKUP(A319,'Year end 2024'!A:A,'Year end 2024'!I:I,"")</f>
        <v>0</v>
      </c>
      <c r="H319" s="19">
        <f>_xlfn.XLOOKUP(A319,'Current Month'!A:A,'Current Month'!E:E,0,0)</f>
        <v>0</v>
      </c>
      <c r="I319" s="32">
        <f>_xlfn.XLOOKUP(A319,'Prior Month'!A:A,'Prior Month'!E:E,0,0)</f>
        <v>0</v>
      </c>
      <c r="J319" s="32">
        <f>_xlfn.XLOOKUP(A319,'Year end 2024'!A:A,'Year end 2024'!E:E,0,0)</f>
        <v>0</v>
      </c>
      <c r="K319" s="14">
        <f t="shared" si="10"/>
        <v>0</v>
      </c>
      <c r="L319" s="14">
        <f t="shared" si="11"/>
        <v>0</v>
      </c>
    </row>
    <row r="320" spans="1:12" ht="35.15" customHeight="1" x14ac:dyDescent="0.4">
      <c r="A320" s="11" t="s">
        <v>705</v>
      </c>
      <c r="B320" s="11" t="s">
        <v>706</v>
      </c>
      <c r="C320" s="11" t="s">
        <v>259</v>
      </c>
      <c r="D320" s="11" t="s">
        <v>258</v>
      </c>
      <c r="E320" s="18">
        <f>_xlfn.XLOOKUP(A320,'Current Month'!A:A,'Current Month'!I:I,"")</f>
        <v>2.4655670928536991E-2</v>
      </c>
      <c r="F320" s="21">
        <f>_xlfn.XLOOKUP(A320,'Prior Month'!A:A,'Prior Month'!I:I,"")</f>
        <v>9.8624689611306986E-3</v>
      </c>
      <c r="G320" s="18">
        <f>_xlfn.XLOOKUP(A320,'Year end 2024'!A:A,'Year end 2024'!I:I,"")</f>
        <v>0.16460610519008273</v>
      </c>
      <c r="H320" s="19">
        <f>_xlfn.XLOOKUP(A320,'Current Month'!A:A,'Current Month'!E:E,0,0)</f>
        <v>35428.400000000001</v>
      </c>
      <c r="I320" s="32">
        <f>_xlfn.XLOOKUP(A320,'Prior Month'!A:A,'Prior Month'!E:E,0,0)</f>
        <v>14343.52</v>
      </c>
      <c r="J320" s="32">
        <f>_xlfn.XLOOKUP(A320,'Year end 2024'!A:A,'Year end 2024'!E:E,0,0)</f>
        <v>264260.74</v>
      </c>
      <c r="K320" s="14">
        <f t="shared" si="10"/>
        <v>21084.880000000001</v>
      </c>
      <c r="L320" s="14">
        <f t="shared" si="11"/>
        <v>-228832.34</v>
      </c>
    </row>
    <row r="321" spans="1:12" ht="35.15" customHeight="1" x14ac:dyDescent="0.4">
      <c r="A321" s="11" t="s">
        <v>707</v>
      </c>
      <c r="B321" s="11" t="s">
        <v>708</v>
      </c>
      <c r="C321" s="11" t="s">
        <v>19</v>
      </c>
      <c r="D321" s="11" t="s">
        <v>18</v>
      </c>
      <c r="E321" s="18" t="str">
        <f>_xlfn.XLOOKUP(A321,'Current Month'!A:A,'Current Month'!I:I,"")</f>
        <v/>
      </c>
      <c r="F321" s="21" t="str">
        <f>_xlfn.XLOOKUP(A321,'Prior Month'!A:A,'Prior Month'!I:I,"")</f>
        <v/>
      </c>
      <c r="G321" s="18" t="str">
        <f>_xlfn.XLOOKUP(A321,'Year end 2024'!A:A,'Year end 2024'!I:I,"")</f>
        <v/>
      </c>
      <c r="H321" s="19">
        <f>_xlfn.XLOOKUP(A321,'Current Month'!A:A,'Current Month'!E:E,0,0)</f>
        <v>169999.84</v>
      </c>
      <c r="I321" s="32">
        <f>_xlfn.XLOOKUP(A321,'Prior Month'!A:A,'Prior Month'!E:E,0,0)</f>
        <v>173337.8</v>
      </c>
      <c r="J321" s="32">
        <f>_xlfn.XLOOKUP(A321,'Year end 2024'!A:A,'Year end 2024'!E:E,0,0)</f>
        <v>138129.51</v>
      </c>
      <c r="K321" s="14">
        <f t="shared" si="10"/>
        <v>-3337.9599999999919</v>
      </c>
      <c r="L321" s="14">
        <f t="shared" si="11"/>
        <v>31870.329999999987</v>
      </c>
    </row>
    <row r="322" spans="1:12" ht="35.15" customHeight="1" x14ac:dyDescent="0.4">
      <c r="A322" s="11" t="s">
        <v>709</v>
      </c>
      <c r="B322" s="11" t="s">
        <v>710</v>
      </c>
      <c r="C322" s="11" t="s">
        <v>41</v>
      </c>
      <c r="D322" s="11" t="s">
        <v>40</v>
      </c>
      <c r="E322" s="18" t="str">
        <f>_xlfn.XLOOKUP(A322,'Current Month'!A:A,'Current Month'!I:I,"")</f>
        <v/>
      </c>
      <c r="F322" s="21" t="str">
        <f>_xlfn.XLOOKUP(A322,'Prior Month'!A:A,'Prior Month'!I:I,"")</f>
        <v/>
      </c>
      <c r="G322" s="18" t="str">
        <f>_xlfn.XLOOKUP(A322,'Year end 2024'!A:A,'Year end 2024'!I:I,"")</f>
        <v/>
      </c>
      <c r="H322" s="19">
        <f>_xlfn.XLOOKUP(A322,'Current Month'!A:A,'Current Month'!E:E,0,0)</f>
        <v>540530.88</v>
      </c>
      <c r="I322" s="32">
        <f>_xlfn.XLOOKUP(A322,'Prior Month'!A:A,'Prior Month'!E:E,0,0)</f>
        <v>514870.84</v>
      </c>
      <c r="J322" s="32">
        <f>_xlfn.XLOOKUP(A322,'Year end 2024'!A:A,'Year end 2024'!E:E,0,0)</f>
        <v>739530.86</v>
      </c>
      <c r="K322" s="14">
        <f t="shared" si="10"/>
        <v>25660.039999999979</v>
      </c>
      <c r="L322" s="14">
        <f t="shared" si="11"/>
        <v>-198999.97999999998</v>
      </c>
    </row>
    <row r="323" spans="1:12" ht="35.15" customHeight="1" x14ac:dyDescent="0.4">
      <c r="A323" s="11" t="s">
        <v>711</v>
      </c>
      <c r="B323" s="11" t="s">
        <v>712</v>
      </c>
      <c r="C323" s="11" t="s">
        <v>51</v>
      </c>
      <c r="D323" s="11" t="s">
        <v>50</v>
      </c>
      <c r="E323" s="18">
        <f>_xlfn.XLOOKUP(A323,'Current Month'!A:A,'Current Month'!I:I,"")</f>
        <v>5.3341512718429858</v>
      </c>
      <c r="F323" s="21">
        <f>_xlfn.XLOOKUP(A323,'Prior Month'!A:A,'Prior Month'!I:I,"")</f>
        <v>5.3224574153814403</v>
      </c>
      <c r="G323" s="18">
        <f>_xlfn.XLOOKUP(A323,'Year end 2024'!A:A,'Year end 2024'!I:I,"")</f>
        <v>3.0781777919772972</v>
      </c>
      <c r="H323" s="19">
        <f>_xlfn.XLOOKUP(A323,'Current Month'!A:A,'Current Month'!E:E,0,0)</f>
        <v>593300.47</v>
      </c>
      <c r="I323" s="32">
        <f>_xlfn.XLOOKUP(A323,'Prior Month'!A:A,'Prior Month'!E:E,0,0)</f>
        <v>591999.80000000005</v>
      </c>
      <c r="J323" s="32">
        <f>_xlfn.XLOOKUP(A323,'Year end 2024'!A:A,'Year end 2024'!E:E,0,0)</f>
        <v>679630.69</v>
      </c>
      <c r="K323" s="14">
        <f t="shared" si="10"/>
        <v>1300.6699999999255</v>
      </c>
      <c r="L323" s="14">
        <f t="shared" si="11"/>
        <v>-86330.219999999972</v>
      </c>
    </row>
    <row r="324" spans="1:12" ht="35.15" customHeight="1" x14ac:dyDescent="0.4">
      <c r="A324" s="11" t="s">
        <v>713</v>
      </c>
      <c r="B324" s="11" t="s">
        <v>714</v>
      </c>
      <c r="C324" s="11" t="s">
        <v>67</v>
      </c>
      <c r="D324" s="11" t="s">
        <v>66</v>
      </c>
      <c r="E324" s="18" t="str">
        <f>_xlfn.XLOOKUP(A324,'Current Month'!A:A,'Current Month'!I:I,"")</f>
        <v/>
      </c>
      <c r="F324" s="21" t="str">
        <f>_xlfn.XLOOKUP(A324,'Prior Month'!A:A,'Prior Month'!I:I,"")</f>
        <v/>
      </c>
      <c r="G324" s="18" t="str">
        <f>_xlfn.XLOOKUP(A324,'Year end 2024'!A:A,'Year end 2024'!I:I,"")</f>
        <v/>
      </c>
      <c r="H324" s="19">
        <f>_xlfn.XLOOKUP(A324,'Current Month'!A:A,'Current Month'!E:E,0,0)</f>
        <v>790.17</v>
      </c>
      <c r="I324" s="32">
        <f>_xlfn.XLOOKUP(A324,'Prior Month'!A:A,'Prior Month'!E:E,0,0)</f>
        <v>795.17</v>
      </c>
      <c r="J324" s="32">
        <f>_xlfn.XLOOKUP(A324,'Year end 2024'!A:A,'Year end 2024'!E:E,0,0)</f>
        <v>112525.17</v>
      </c>
      <c r="K324" s="14">
        <f t="shared" si="10"/>
        <v>-5</v>
      </c>
      <c r="L324" s="14">
        <f t="shared" si="11"/>
        <v>-111735</v>
      </c>
    </row>
    <row r="325" spans="1:12" ht="35.15" customHeight="1" x14ac:dyDescent="0.4">
      <c r="A325" s="11" t="s">
        <v>715</v>
      </c>
      <c r="B325" s="11" t="s">
        <v>716</v>
      </c>
      <c r="C325" s="11" t="s">
        <v>19</v>
      </c>
      <c r="D325" s="11" t="s">
        <v>18</v>
      </c>
      <c r="E325" s="18">
        <f>_xlfn.XLOOKUP(A325,'Current Month'!A:A,'Current Month'!I:I,"")</f>
        <v>146.23034333333334</v>
      </c>
      <c r="F325" s="21">
        <f>_xlfn.XLOOKUP(A325,'Prior Month'!A:A,'Prior Month'!I:I,"")</f>
        <v>179.68643999999998</v>
      </c>
      <c r="G325" s="18">
        <f>_xlfn.XLOOKUP(A325,'Year end 2024'!A:A,'Year end 2024'!I:I,"")</f>
        <v>171.24615666666665</v>
      </c>
      <c r="H325" s="19">
        <f>_xlfn.XLOOKUP(A325,'Current Month'!A:A,'Current Month'!E:E,0,0)</f>
        <v>438691.03</v>
      </c>
      <c r="I325" s="32">
        <f>_xlfn.XLOOKUP(A325,'Prior Month'!A:A,'Prior Month'!E:E,0,0)</f>
        <v>539059.31999999995</v>
      </c>
      <c r="J325" s="32">
        <f>_xlfn.XLOOKUP(A325,'Year end 2024'!A:A,'Year end 2024'!E:E,0,0)</f>
        <v>513738.47</v>
      </c>
      <c r="K325" s="14">
        <f t="shared" si="10"/>
        <v>-100368.28999999992</v>
      </c>
      <c r="L325" s="14">
        <f t="shared" si="11"/>
        <v>-75047.439999999944</v>
      </c>
    </row>
    <row r="326" spans="1:12" ht="35.15" customHeight="1" x14ac:dyDescent="0.4">
      <c r="A326" s="11" t="s">
        <v>717</v>
      </c>
      <c r="B326" s="11" t="s">
        <v>718</v>
      </c>
      <c r="C326" s="11" t="s">
        <v>77</v>
      </c>
      <c r="D326" s="11" t="s">
        <v>76</v>
      </c>
      <c r="E326" s="18" t="str">
        <f>_xlfn.XLOOKUP(A326,'Current Month'!A:A,'Current Month'!I:I,"")</f>
        <v/>
      </c>
      <c r="F326" s="21" t="str">
        <f>_xlfn.XLOOKUP(A326,'Prior Month'!A:A,'Prior Month'!I:I,"")</f>
        <v/>
      </c>
      <c r="G326" s="18" t="str">
        <f>_xlfn.XLOOKUP(A326,'Year end 2024'!A:A,'Year end 2024'!I:I,"")</f>
        <v/>
      </c>
      <c r="H326" s="19">
        <f>_xlfn.XLOOKUP(A326,'Current Month'!A:A,'Current Month'!E:E,0,0)</f>
        <v>128546.52</v>
      </c>
      <c r="I326" s="32">
        <f>_xlfn.XLOOKUP(A326,'Prior Month'!A:A,'Prior Month'!E:E,0,0)</f>
        <v>126695.08</v>
      </c>
      <c r="J326" s="32">
        <f>_xlfn.XLOOKUP(A326,'Year end 2024'!A:A,'Year end 2024'!E:E,0,0)</f>
        <v>129571.69</v>
      </c>
      <c r="K326" s="14">
        <f t="shared" si="10"/>
        <v>1851.4400000000023</v>
      </c>
      <c r="L326" s="14">
        <f t="shared" si="11"/>
        <v>-1025.1699999999983</v>
      </c>
    </row>
    <row r="327" spans="1:12" ht="35.15" customHeight="1" x14ac:dyDescent="0.4">
      <c r="A327" s="11" t="s">
        <v>719</v>
      </c>
      <c r="B327" s="11" t="s">
        <v>720</v>
      </c>
      <c r="C327" s="11" t="s">
        <v>51</v>
      </c>
      <c r="D327" s="11" t="s">
        <v>50</v>
      </c>
      <c r="E327" s="18" t="str">
        <f>_xlfn.XLOOKUP(A327,'Current Month'!A:A,'Current Month'!I:I,"")</f>
        <v/>
      </c>
      <c r="F327" s="21" t="str">
        <f>_xlfn.XLOOKUP(A327,'Prior Month'!A:A,'Prior Month'!I:I,"")</f>
        <v/>
      </c>
      <c r="G327" s="18" t="str">
        <f>_xlfn.XLOOKUP(A327,'Year end 2024'!A:A,'Year end 2024'!I:I,"")</f>
        <v/>
      </c>
      <c r="H327" s="19">
        <f>_xlfn.XLOOKUP(A327,'Current Month'!A:A,'Current Month'!E:E,0,0)</f>
        <v>202505.86</v>
      </c>
      <c r="I327" s="32">
        <f>_xlfn.XLOOKUP(A327,'Prior Month'!A:A,'Prior Month'!E:E,0,0)</f>
        <v>189292.85</v>
      </c>
      <c r="J327" s="32">
        <f>_xlfn.XLOOKUP(A327,'Year end 2024'!A:A,'Year end 2024'!E:E,0,0)</f>
        <v>190747.1</v>
      </c>
      <c r="K327" s="14">
        <f t="shared" si="10"/>
        <v>13213.00999999998</v>
      </c>
      <c r="L327" s="14">
        <f t="shared" si="11"/>
        <v>11758.75999999998</v>
      </c>
    </row>
    <row r="328" spans="1:12" ht="35.15" customHeight="1" x14ac:dyDescent="0.4">
      <c r="A328" s="11" t="s">
        <v>721</v>
      </c>
      <c r="B328" s="11" t="s">
        <v>722</v>
      </c>
      <c r="C328" s="11" t="s">
        <v>253</v>
      </c>
      <c r="D328" s="11" t="s">
        <v>252</v>
      </c>
      <c r="E328" s="18">
        <f>_xlfn.XLOOKUP(A328,'Current Month'!A:A,'Current Month'!I:I,"")</f>
        <v>2.3458541902745312E-2</v>
      </c>
      <c r="F328" s="21">
        <f>_xlfn.XLOOKUP(A328,'Prior Month'!A:A,'Prior Month'!I:I,"")</f>
        <v>2.2101956050208569E-2</v>
      </c>
      <c r="G328" s="18">
        <f>_xlfn.XLOOKUP(A328,'Year end 2024'!A:A,'Year end 2024'!I:I,"")</f>
        <v>3.3940931131446021E-2</v>
      </c>
      <c r="H328" s="19">
        <f>_xlfn.XLOOKUP(A328,'Current Month'!A:A,'Current Month'!E:E,0,0)</f>
        <v>76521.66</v>
      </c>
      <c r="I328" s="32">
        <f>_xlfn.XLOOKUP(A328,'Prior Month'!A:A,'Prior Month'!E:E,0,0)</f>
        <v>72399.11</v>
      </c>
      <c r="J328" s="32">
        <f>_xlfn.XLOOKUP(A328,'Year end 2024'!A:A,'Year end 2024'!E:E,0,0)</f>
        <v>115046.86</v>
      </c>
      <c r="K328" s="14">
        <f t="shared" si="10"/>
        <v>4122.5500000000029</v>
      </c>
      <c r="L328" s="14">
        <f t="shared" si="11"/>
        <v>-38525.199999999997</v>
      </c>
    </row>
    <row r="329" spans="1:12" ht="35.15" customHeight="1" x14ac:dyDescent="0.4">
      <c r="A329" s="11" t="s">
        <v>723</v>
      </c>
      <c r="B329" s="11" t="s">
        <v>724</v>
      </c>
      <c r="C329" s="11" t="s">
        <v>77</v>
      </c>
      <c r="D329" s="11" t="s">
        <v>76</v>
      </c>
      <c r="E329" s="18" t="str">
        <f>_xlfn.XLOOKUP(A329,'Current Month'!A:A,'Current Month'!I:I,"")</f>
        <v/>
      </c>
      <c r="F329" s="21" t="str">
        <f>_xlfn.XLOOKUP(A329,'Prior Month'!A:A,'Prior Month'!I:I,"")</f>
        <v/>
      </c>
      <c r="G329" s="18" t="str">
        <f>_xlfn.XLOOKUP(A329,'Year end 2024'!A:A,'Year end 2024'!I:I,"")</f>
        <v/>
      </c>
      <c r="H329" s="19">
        <f>_xlfn.XLOOKUP(A329,'Current Month'!A:A,'Current Month'!E:E,0,0)</f>
        <v>241392.49</v>
      </c>
      <c r="I329" s="32">
        <f>_xlfn.XLOOKUP(A329,'Prior Month'!A:A,'Prior Month'!E:E,0,0)</f>
        <v>238132.46</v>
      </c>
      <c r="J329" s="32">
        <f>_xlfn.XLOOKUP(A329,'Year end 2024'!A:A,'Year end 2024'!E:E,0,0)</f>
        <v>167747.84</v>
      </c>
      <c r="K329" s="14">
        <f t="shared" si="10"/>
        <v>3260.0299999999988</v>
      </c>
      <c r="L329" s="14">
        <f t="shared" si="11"/>
        <v>73644.649999999994</v>
      </c>
    </row>
    <row r="330" spans="1:12" ht="35.15" customHeight="1" x14ac:dyDescent="0.4">
      <c r="A330" s="11" t="s">
        <v>725</v>
      </c>
      <c r="B330" s="11" t="s">
        <v>726</v>
      </c>
      <c r="C330" s="11" t="s">
        <v>109</v>
      </c>
      <c r="D330" s="11" t="s">
        <v>108</v>
      </c>
      <c r="E330" s="18" t="str">
        <f>_xlfn.XLOOKUP(A330,'Current Month'!A:A,'Current Month'!I:I,"")</f>
        <v/>
      </c>
      <c r="F330" s="21" t="str">
        <f>_xlfn.XLOOKUP(A330,'Prior Month'!A:A,'Prior Month'!I:I,"")</f>
        <v/>
      </c>
      <c r="G330" s="18" t="str">
        <f>_xlfn.XLOOKUP(A330,'Year end 2024'!A:A,'Year end 2024'!I:I,"")</f>
        <v/>
      </c>
      <c r="H330" s="19">
        <f>_xlfn.XLOOKUP(A330,'Current Month'!A:A,'Current Month'!E:E,0,0)</f>
        <v>1083877.3999999999</v>
      </c>
      <c r="I330" s="32">
        <f>_xlfn.XLOOKUP(A330,'Prior Month'!A:A,'Prior Month'!E:E,0,0)</f>
        <v>4148815.52</v>
      </c>
      <c r="J330" s="32">
        <f>_xlfn.XLOOKUP(A330,'Year end 2024'!A:A,'Year end 2024'!E:E,0,0)</f>
        <v>8262431.1299999999</v>
      </c>
      <c r="K330" s="14">
        <f t="shared" si="10"/>
        <v>-3064938.12</v>
      </c>
      <c r="L330" s="14">
        <f t="shared" si="11"/>
        <v>-7178553.7300000004</v>
      </c>
    </row>
    <row r="331" spans="1:12" ht="35.15" customHeight="1" x14ac:dyDescent="0.4">
      <c r="A331" s="11" t="s">
        <v>727</v>
      </c>
      <c r="B331" s="11" t="s">
        <v>728</v>
      </c>
      <c r="C331" s="11" t="s">
        <v>57</v>
      </c>
      <c r="D331" s="11" t="s">
        <v>56</v>
      </c>
      <c r="E331" s="18" t="str">
        <f>_xlfn.XLOOKUP(A331,'Current Month'!A:A,'Current Month'!I:I,"")</f>
        <v/>
      </c>
      <c r="F331" s="21" t="str">
        <f>_xlfn.XLOOKUP(A331,'Prior Month'!A:A,'Prior Month'!I:I,"")</f>
        <v/>
      </c>
      <c r="G331" s="18" t="str">
        <f>_xlfn.XLOOKUP(A331,'Year end 2024'!A:A,'Year end 2024'!I:I,"")</f>
        <v/>
      </c>
      <c r="H331" s="19">
        <f>_xlfn.XLOOKUP(A331,'Current Month'!A:A,'Current Month'!E:E,0,0)</f>
        <v>16099.75</v>
      </c>
      <c r="I331" s="32">
        <f>_xlfn.XLOOKUP(A331,'Prior Month'!A:A,'Prior Month'!E:E,0,0)</f>
        <v>18354.09</v>
      </c>
      <c r="J331" s="32">
        <f>_xlfn.XLOOKUP(A331,'Year end 2024'!A:A,'Year end 2024'!E:E,0,0)</f>
        <v>35457.97</v>
      </c>
      <c r="K331" s="14">
        <f t="shared" si="10"/>
        <v>-2254.34</v>
      </c>
      <c r="L331" s="14">
        <f t="shared" si="11"/>
        <v>-19358.22</v>
      </c>
    </row>
    <row r="332" spans="1:12" ht="35.15" customHeight="1" x14ac:dyDescent="0.4">
      <c r="A332" s="11" t="s">
        <v>729</v>
      </c>
      <c r="B332" s="11" t="s">
        <v>730</v>
      </c>
      <c r="C332" s="11" t="s">
        <v>77</v>
      </c>
      <c r="D332" s="11" t="s">
        <v>76</v>
      </c>
      <c r="E332" s="18" t="str">
        <f>_xlfn.XLOOKUP(A332,'Current Month'!A:A,'Current Month'!I:I,"")</f>
        <v/>
      </c>
      <c r="F332" s="21" t="str">
        <f>_xlfn.XLOOKUP(A332,'Prior Month'!A:A,'Prior Month'!I:I,"")</f>
        <v/>
      </c>
      <c r="G332" s="18" t="str">
        <f>_xlfn.XLOOKUP(A332,'Year end 2024'!A:A,'Year end 2024'!I:I,"")</f>
        <v/>
      </c>
      <c r="H332" s="19">
        <f>_xlfn.XLOOKUP(A332,'Current Month'!A:A,'Current Month'!E:E,0,0)</f>
        <v>96943.55</v>
      </c>
      <c r="I332" s="32">
        <f>_xlfn.XLOOKUP(A332,'Prior Month'!A:A,'Prior Month'!E:E,0,0)</f>
        <v>44566.87</v>
      </c>
      <c r="J332" s="32">
        <f>_xlfn.XLOOKUP(A332,'Year end 2024'!A:A,'Year end 2024'!E:E,0,0)</f>
        <v>86755.21</v>
      </c>
      <c r="K332" s="14">
        <f t="shared" si="10"/>
        <v>52376.68</v>
      </c>
      <c r="L332" s="14">
        <f t="shared" si="11"/>
        <v>10188.339999999997</v>
      </c>
    </row>
    <row r="333" spans="1:12" ht="35.15" customHeight="1" x14ac:dyDescent="0.4">
      <c r="A333" s="11" t="s">
        <v>731</v>
      </c>
      <c r="B333" s="11" t="s">
        <v>732</v>
      </c>
      <c r="C333" s="11" t="s">
        <v>457</v>
      </c>
      <c r="D333" s="11" t="s">
        <v>456</v>
      </c>
      <c r="E333" s="18">
        <f>_xlfn.XLOOKUP(A333,'Current Month'!A:A,'Current Month'!I:I,"")</f>
        <v>2.0282668023761361E-2</v>
      </c>
      <c r="F333" s="21">
        <f>_xlfn.XLOOKUP(A333,'Prior Month'!A:A,'Prior Month'!I:I,"")</f>
        <v>1.7549737937299876E-2</v>
      </c>
      <c r="G333" s="18">
        <f>_xlfn.XLOOKUP(A333,'Year end 2024'!A:A,'Year end 2024'!I:I,"")</f>
        <v>7.383784627094446E-2</v>
      </c>
      <c r="H333" s="19">
        <f>_xlfn.XLOOKUP(A333,'Current Month'!A:A,'Current Month'!E:E,0,0)</f>
        <v>105598.42</v>
      </c>
      <c r="I333" s="32">
        <f>_xlfn.XLOOKUP(A333,'Prior Month'!A:A,'Prior Month'!E:E,0,0)</f>
        <v>92054.01</v>
      </c>
      <c r="J333" s="32">
        <f>_xlfn.XLOOKUP(A333,'Year end 2024'!A:A,'Year end 2024'!E:E,0,0)</f>
        <v>414698.88</v>
      </c>
      <c r="K333" s="14">
        <f t="shared" si="10"/>
        <v>13544.410000000003</v>
      </c>
      <c r="L333" s="14">
        <f t="shared" si="11"/>
        <v>-309100.46000000002</v>
      </c>
    </row>
    <row r="334" spans="1:12" ht="35.15" customHeight="1" x14ac:dyDescent="0.4">
      <c r="A334" s="11" t="s">
        <v>733</v>
      </c>
      <c r="B334" s="11" t="s">
        <v>734</v>
      </c>
      <c r="C334" s="11" t="s">
        <v>19</v>
      </c>
      <c r="D334" s="11" t="s">
        <v>18</v>
      </c>
      <c r="E334" s="18" t="str">
        <f>_xlfn.XLOOKUP(A334,'Current Month'!A:A,'Current Month'!I:I,"")</f>
        <v/>
      </c>
      <c r="F334" s="21" t="str">
        <f>_xlfn.XLOOKUP(A334,'Prior Month'!A:A,'Prior Month'!I:I,"")</f>
        <v/>
      </c>
      <c r="G334" s="18" t="str">
        <f>_xlfn.XLOOKUP(A334,'Year end 2024'!A:A,'Year end 2024'!I:I,"")</f>
        <v/>
      </c>
      <c r="H334" s="19">
        <f>_xlfn.XLOOKUP(A334,'Current Month'!A:A,'Current Month'!E:E,0,0)</f>
        <v>239576.14</v>
      </c>
      <c r="I334" s="32">
        <f>_xlfn.XLOOKUP(A334,'Prior Month'!A:A,'Prior Month'!E:E,0,0)</f>
        <v>239533.21</v>
      </c>
      <c r="J334" s="32">
        <f>_xlfn.XLOOKUP(A334,'Year end 2024'!A:A,'Year end 2024'!E:E,0,0)</f>
        <v>248948.21</v>
      </c>
      <c r="K334" s="14">
        <f t="shared" si="10"/>
        <v>42.930000000022119</v>
      </c>
      <c r="L334" s="14">
        <f t="shared" si="11"/>
        <v>-9372.0699999999779</v>
      </c>
    </row>
    <row r="335" spans="1:12" ht="35.15" customHeight="1" x14ac:dyDescent="0.4">
      <c r="A335" s="11" t="s">
        <v>735</v>
      </c>
      <c r="B335" s="11" t="s">
        <v>736</v>
      </c>
      <c r="C335" s="11" t="s">
        <v>487</v>
      </c>
      <c r="D335" s="11" t="s">
        <v>486</v>
      </c>
      <c r="E335" s="18">
        <f>_xlfn.XLOOKUP(A335,'Current Month'!A:A,'Current Month'!I:I,"")</f>
        <v>5.2419210000000001E-2</v>
      </c>
      <c r="F335" s="21">
        <f>_xlfn.XLOOKUP(A335,'Prior Month'!A:A,'Prior Month'!I:I,"")</f>
        <v>6.8547136666666661E-2</v>
      </c>
      <c r="G335" s="18">
        <f>_xlfn.XLOOKUP(A335,'Year end 2024'!A:A,'Year end 2024'!I:I,"")</f>
        <v>5.3979839999999994E-2</v>
      </c>
      <c r="H335" s="19">
        <f>_xlfn.XLOOKUP(A335,'Current Month'!A:A,'Current Month'!E:E,0,0)</f>
        <v>157257.63</v>
      </c>
      <c r="I335" s="32">
        <f>_xlfn.XLOOKUP(A335,'Prior Month'!A:A,'Prior Month'!E:E,0,0)</f>
        <v>205641.41</v>
      </c>
      <c r="J335" s="32">
        <f>_xlfn.XLOOKUP(A335,'Year end 2024'!A:A,'Year end 2024'!E:E,0,0)</f>
        <v>161939.51999999999</v>
      </c>
      <c r="K335" s="14">
        <f t="shared" si="10"/>
        <v>-48383.78</v>
      </c>
      <c r="L335" s="14">
        <f t="shared" si="11"/>
        <v>-4681.8899999999849</v>
      </c>
    </row>
    <row r="336" spans="1:12" ht="35.15" customHeight="1" x14ac:dyDescent="0.4">
      <c r="A336" s="11" t="s">
        <v>737</v>
      </c>
      <c r="B336" s="11" t="s">
        <v>738</v>
      </c>
      <c r="C336" s="11" t="s">
        <v>33</v>
      </c>
      <c r="D336" s="11" t="s">
        <v>32</v>
      </c>
      <c r="E336" s="18" t="str">
        <f>_xlfn.XLOOKUP(A336,'Current Month'!A:A,'Current Month'!I:I,"")</f>
        <v/>
      </c>
      <c r="F336" s="21" t="str">
        <f>_xlfn.XLOOKUP(A336,'Prior Month'!A:A,'Prior Month'!I:I,"")</f>
        <v/>
      </c>
      <c r="G336" s="18" t="str">
        <f>_xlfn.XLOOKUP(A336,'Year end 2024'!A:A,'Year end 2024'!I:I,"")</f>
        <v/>
      </c>
      <c r="H336" s="19">
        <f>_xlfn.XLOOKUP(A336,'Current Month'!A:A,'Current Month'!E:E,0,0)</f>
        <v>3568.3</v>
      </c>
      <c r="I336" s="32">
        <f>_xlfn.XLOOKUP(A336,'Prior Month'!A:A,'Prior Month'!E:E,0,0)</f>
        <v>3568.3</v>
      </c>
      <c r="J336" s="32">
        <f>_xlfn.XLOOKUP(A336,'Year end 2024'!A:A,'Year end 2024'!E:E,0,0)</f>
        <v>3568.3</v>
      </c>
      <c r="K336" s="14">
        <f t="shared" si="10"/>
        <v>0</v>
      </c>
      <c r="L336" s="14">
        <f t="shared" si="11"/>
        <v>0</v>
      </c>
    </row>
    <row r="337" spans="1:12" ht="35.15" customHeight="1" x14ac:dyDescent="0.4">
      <c r="A337" s="11" t="s">
        <v>739</v>
      </c>
      <c r="B337" s="11" t="s">
        <v>740</v>
      </c>
      <c r="C337" s="11" t="s">
        <v>77</v>
      </c>
      <c r="D337" s="11" t="s">
        <v>76</v>
      </c>
      <c r="E337" s="18" t="str">
        <f>_xlfn.XLOOKUP(A337,'Current Month'!A:A,'Current Month'!I:I,"")</f>
        <v/>
      </c>
      <c r="F337" s="21" t="str">
        <f>_xlfn.XLOOKUP(A337,'Prior Month'!A:A,'Prior Month'!I:I,"")</f>
        <v/>
      </c>
      <c r="G337" s="18" t="str">
        <f>_xlfn.XLOOKUP(A337,'Year end 2024'!A:A,'Year end 2024'!I:I,"")</f>
        <v/>
      </c>
      <c r="H337" s="19">
        <f>_xlfn.XLOOKUP(A337,'Current Month'!A:A,'Current Month'!E:E,0,0)</f>
        <v>71865.279999999999</v>
      </c>
      <c r="I337" s="32">
        <f>_xlfn.XLOOKUP(A337,'Prior Month'!A:A,'Prior Month'!E:E,0,0)</f>
        <v>65411.79</v>
      </c>
      <c r="J337" s="32">
        <f>_xlfn.XLOOKUP(A337,'Year end 2024'!A:A,'Year end 2024'!E:E,0,0)</f>
        <v>53523.93</v>
      </c>
      <c r="K337" s="14">
        <f t="shared" si="10"/>
        <v>6453.489999999998</v>
      </c>
      <c r="L337" s="14">
        <f t="shared" si="11"/>
        <v>18341.349999999999</v>
      </c>
    </row>
    <row r="338" spans="1:12" ht="35.15" customHeight="1" x14ac:dyDescent="0.4">
      <c r="A338" s="11" t="s">
        <v>741</v>
      </c>
      <c r="B338" s="11" t="s">
        <v>742</v>
      </c>
      <c r="C338" s="11" t="s">
        <v>109</v>
      </c>
      <c r="D338" s="11" t="s">
        <v>108</v>
      </c>
      <c r="E338" s="18" t="str">
        <f>_xlfn.XLOOKUP(A338,'Current Month'!A:A,'Current Month'!I:I,"")</f>
        <v/>
      </c>
      <c r="F338" s="21" t="str">
        <f>_xlfn.XLOOKUP(A338,'Prior Month'!A:A,'Prior Month'!I:I,"")</f>
        <v/>
      </c>
      <c r="G338" s="18" t="str">
        <f>_xlfn.XLOOKUP(A338,'Year end 2024'!A:A,'Year end 2024'!I:I,"")</f>
        <v/>
      </c>
      <c r="H338" s="19">
        <f>_xlfn.XLOOKUP(A338,'Current Month'!A:A,'Current Month'!E:E,0,0)</f>
        <v>46633.83</v>
      </c>
      <c r="I338" s="32">
        <f>_xlfn.XLOOKUP(A338,'Prior Month'!A:A,'Prior Month'!E:E,0,0)</f>
        <v>45633.83</v>
      </c>
      <c r="J338" s="32">
        <f>_xlfn.XLOOKUP(A338,'Year end 2024'!A:A,'Year end 2024'!E:E,0,0)</f>
        <v>69788.09</v>
      </c>
      <c r="K338" s="14">
        <f t="shared" si="10"/>
        <v>1000</v>
      </c>
      <c r="L338" s="14">
        <f t="shared" si="11"/>
        <v>-23154.259999999995</v>
      </c>
    </row>
    <row r="339" spans="1:12" ht="35.15" customHeight="1" x14ac:dyDescent="0.4">
      <c r="A339" s="11" t="s">
        <v>743</v>
      </c>
      <c r="B339" s="11" t="s">
        <v>744</v>
      </c>
      <c r="C339" s="11" t="s">
        <v>29</v>
      </c>
      <c r="D339" s="11" t="s">
        <v>28</v>
      </c>
      <c r="E339" s="18">
        <f>_xlfn.XLOOKUP(A339,'Current Month'!A:A,'Current Month'!I:I,"")</f>
        <v>0.31198893456635629</v>
      </c>
      <c r="F339" s="21">
        <f>_xlfn.XLOOKUP(A339,'Prior Month'!A:A,'Prior Month'!I:I,"")</f>
        <v>0.29695563120303825</v>
      </c>
      <c r="G339" s="18">
        <f>_xlfn.XLOOKUP(A339,'Year end 2024'!A:A,'Year end 2024'!I:I,"")</f>
        <v>0.21521415772240154</v>
      </c>
      <c r="H339" s="19">
        <f>_xlfn.XLOOKUP(A339,'Current Month'!A:A,'Current Month'!E:E,0,0)</f>
        <v>5420.19</v>
      </c>
      <c r="I339" s="32">
        <f>_xlfn.XLOOKUP(A339,'Prior Month'!A:A,'Prior Month'!E:E,0,0)</f>
        <v>5370.11</v>
      </c>
      <c r="J339" s="32">
        <f>_xlfn.XLOOKUP(A339,'Year end 2024'!A:A,'Year end 2024'!E:E,0,0)</f>
        <v>5202.9399999999996</v>
      </c>
      <c r="K339" s="14">
        <f t="shared" si="10"/>
        <v>50.079999999999927</v>
      </c>
      <c r="L339" s="14">
        <f t="shared" si="11"/>
        <v>217.25</v>
      </c>
    </row>
    <row r="340" spans="1:12" ht="35.15" customHeight="1" x14ac:dyDescent="0.4">
      <c r="A340" s="11" t="s">
        <v>745</v>
      </c>
      <c r="B340" s="11" t="s">
        <v>746</v>
      </c>
      <c r="C340" s="11" t="s">
        <v>213</v>
      </c>
      <c r="D340" s="11" t="s">
        <v>212</v>
      </c>
      <c r="E340" s="18">
        <f>_xlfn.XLOOKUP(A340,'Current Month'!A:A,'Current Month'!I:I,"")</f>
        <v>0.89328867496049225</v>
      </c>
      <c r="F340" s="21">
        <f>_xlfn.XLOOKUP(A340,'Prior Month'!A:A,'Prior Month'!I:I,"")</f>
        <v>1.0168627165695114</v>
      </c>
      <c r="G340" s="18">
        <f>_xlfn.XLOOKUP(A340,'Year end 2024'!A:A,'Year end 2024'!I:I,"")</f>
        <v>0.39360258281740051</v>
      </c>
      <c r="H340" s="19">
        <f>_xlfn.XLOOKUP(A340,'Current Month'!A:A,'Current Month'!E:E,0,0)</f>
        <v>39941.42</v>
      </c>
      <c r="I340" s="32">
        <f>_xlfn.XLOOKUP(A340,'Prior Month'!A:A,'Prior Month'!E:E,0,0)</f>
        <v>48223.85</v>
      </c>
      <c r="J340" s="32">
        <f>_xlfn.XLOOKUP(A340,'Year end 2024'!A:A,'Year end 2024'!E:E,0,0)</f>
        <v>22800.39</v>
      </c>
      <c r="K340" s="14">
        <f t="shared" si="10"/>
        <v>-8282.43</v>
      </c>
      <c r="L340" s="14">
        <f t="shared" si="11"/>
        <v>17141.03</v>
      </c>
    </row>
    <row r="341" spans="1:12" ht="35.15" customHeight="1" x14ac:dyDescent="0.4">
      <c r="A341" s="11" t="s">
        <v>747</v>
      </c>
      <c r="B341" s="11" t="s">
        <v>748</v>
      </c>
      <c r="C341" s="11" t="s">
        <v>15</v>
      </c>
      <c r="D341" s="11" t="s">
        <v>14</v>
      </c>
      <c r="E341" s="18">
        <f>_xlfn.XLOOKUP(A341,'Current Month'!A:A,'Current Month'!I:I,"")</f>
        <v>3.3118054637131418</v>
      </c>
      <c r="F341" s="21">
        <f>_xlfn.XLOOKUP(A341,'Prior Month'!A:A,'Prior Month'!I:I,"")</f>
        <v>3.1697944740848616</v>
      </c>
      <c r="G341" s="18">
        <f>_xlfn.XLOOKUP(A341,'Year end 2024'!A:A,'Year end 2024'!I:I,"")</f>
        <v>2.3982694808194909</v>
      </c>
      <c r="H341" s="19">
        <f>_xlfn.XLOOKUP(A341,'Current Month'!A:A,'Current Month'!E:E,0,0)</f>
        <v>4685250.5999999996</v>
      </c>
      <c r="I341" s="32">
        <f>_xlfn.XLOOKUP(A341,'Prior Month'!A:A,'Prior Month'!E:E,0,0)</f>
        <v>4489320.4800000004</v>
      </c>
      <c r="J341" s="32">
        <f>_xlfn.XLOOKUP(A341,'Year end 2024'!A:A,'Year end 2024'!E:E,0,0)</f>
        <v>3439220.29</v>
      </c>
      <c r="K341" s="14">
        <f t="shared" si="10"/>
        <v>195930.11999999918</v>
      </c>
      <c r="L341" s="14">
        <f t="shared" si="11"/>
        <v>1246030.3099999996</v>
      </c>
    </row>
    <row r="342" spans="1:12" ht="35.15" customHeight="1" x14ac:dyDescent="0.4">
      <c r="A342" s="11" t="s">
        <v>749</v>
      </c>
      <c r="B342" s="11" t="s">
        <v>750</v>
      </c>
      <c r="C342" s="11" t="s">
        <v>51</v>
      </c>
      <c r="D342" s="11" t="s">
        <v>50</v>
      </c>
      <c r="E342" s="18" t="str">
        <f>_xlfn.XLOOKUP(A342,'Current Month'!A:A,'Current Month'!I:I,"")</f>
        <v/>
      </c>
      <c r="F342" s="21" t="str">
        <f>_xlfn.XLOOKUP(A342,'Prior Month'!A:A,'Prior Month'!I:I,"")</f>
        <v/>
      </c>
      <c r="G342" s="18" t="str">
        <f>_xlfn.XLOOKUP(A342,'Year end 2024'!A:A,'Year end 2024'!I:I,"")</f>
        <v/>
      </c>
      <c r="H342" s="19">
        <f>_xlfn.XLOOKUP(A342,'Current Month'!A:A,'Current Month'!E:E,0,0)</f>
        <v>183640.76</v>
      </c>
      <c r="I342" s="32">
        <f>_xlfn.XLOOKUP(A342,'Prior Month'!A:A,'Prior Month'!E:E,0,0)</f>
        <v>32871.32</v>
      </c>
      <c r="J342" s="32">
        <f>_xlfn.XLOOKUP(A342,'Year end 2024'!A:A,'Year end 2024'!E:E,0,0)</f>
        <v>9055.24</v>
      </c>
      <c r="K342" s="14">
        <f t="shared" si="10"/>
        <v>150769.44</v>
      </c>
      <c r="L342" s="14">
        <f t="shared" si="11"/>
        <v>174585.52000000002</v>
      </c>
    </row>
    <row r="343" spans="1:12" ht="35.15" customHeight="1" x14ac:dyDescent="0.4">
      <c r="A343" s="11" t="s">
        <v>751</v>
      </c>
      <c r="B343" s="11" t="s">
        <v>752</v>
      </c>
      <c r="C343" s="11" t="s">
        <v>77</v>
      </c>
      <c r="D343" s="11" t="s">
        <v>76</v>
      </c>
      <c r="E343" s="18" t="str">
        <f>_xlfn.XLOOKUP(A343,'Current Month'!A:A,'Current Month'!I:I,"")</f>
        <v/>
      </c>
      <c r="F343" s="21" t="str">
        <f>_xlfn.XLOOKUP(A343,'Prior Month'!A:A,'Prior Month'!I:I,"")</f>
        <v/>
      </c>
      <c r="G343" s="18">
        <f>_xlfn.XLOOKUP(A343,'Year end 2024'!A:A,'Year end 2024'!I:I,"")</f>
        <v>0.13471268456375837</v>
      </c>
      <c r="H343" s="19">
        <f>_xlfn.XLOOKUP(A343,'Current Month'!A:A,'Current Month'!E:E,0,0)</f>
        <v>25747.64</v>
      </c>
      <c r="I343" s="32">
        <f>_xlfn.XLOOKUP(A343,'Prior Month'!A:A,'Prior Month'!E:E,0,0)</f>
        <v>64309.61</v>
      </c>
      <c r="J343" s="32">
        <f>_xlfn.XLOOKUP(A343,'Year end 2024'!A:A,'Year end 2024'!E:E,0,0)</f>
        <v>20072.189999999999</v>
      </c>
      <c r="K343" s="14">
        <f t="shared" si="10"/>
        <v>-38561.97</v>
      </c>
      <c r="L343" s="14">
        <f t="shared" si="11"/>
        <v>5675.4500000000007</v>
      </c>
    </row>
    <row r="344" spans="1:12" ht="35.15" customHeight="1" x14ac:dyDescent="0.4">
      <c r="A344" s="11" t="s">
        <v>753</v>
      </c>
      <c r="B344" s="11" t="s">
        <v>754</v>
      </c>
      <c r="C344" s="11" t="s">
        <v>465</v>
      </c>
      <c r="D344" s="11" t="s">
        <v>464</v>
      </c>
      <c r="E344" s="18">
        <f>_xlfn.XLOOKUP(A344,'Current Month'!A:A,'Current Month'!I:I,"")</f>
        <v>0.29124913406596392</v>
      </c>
      <c r="F344" s="21">
        <f>_xlfn.XLOOKUP(A344,'Prior Month'!A:A,'Prior Month'!I:I,"")</f>
        <v>0.38367422704278425</v>
      </c>
      <c r="G344" s="18">
        <f>_xlfn.XLOOKUP(A344,'Year end 2024'!A:A,'Year end 2024'!I:I,"")</f>
        <v>0.28186751237312135</v>
      </c>
      <c r="H344" s="19">
        <f>_xlfn.XLOOKUP(A344,'Current Month'!A:A,'Current Month'!E:E,0,0)</f>
        <v>1117110.44</v>
      </c>
      <c r="I344" s="32">
        <f>_xlfn.XLOOKUP(A344,'Prior Month'!A:A,'Prior Month'!E:E,0,0)</f>
        <v>1479071.93</v>
      </c>
      <c r="J344" s="32">
        <f>_xlfn.XLOOKUP(A344,'Year end 2024'!A:A,'Year end 2024'!E:E,0,0)</f>
        <v>1132686.58</v>
      </c>
      <c r="K344" s="14">
        <f t="shared" si="10"/>
        <v>-361961.49</v>
      </c>
      <c r="L344" s="14">
        <f t="shared" si="11"/>
        <v>-15576.14000000013</v>
      </c>
    </row>
    <row r="345" spans="1:12" ht="35.15" customHeight="1" x14ac:dyDescent="0.4">
      <c r="A345" s="11" t="s">
        <v>755</v>
      </c>
      <c r="B345" s="11" t="s">
        <v>756</v>
      </c>
      <c r="C345" s="11" t="s">
        <v>77</v>
      </c>
      <c r="D345" s="11" t="s">
        <v>76</v>
      </c>
      <c r="E345" s="18" t="str">
        <f>_xlfn.XLOOKUP(A345,'Current Month'!A:A,'Current Month'!I:I,"")</f>
        <v/>
      </c>
      <c r="F345" s="21" t="str">
        <f>_xlfn.XLOOKUP(A345,'Prior Month'!A:A,'Prior Month'!I:I,"")</f>
        <v/>
      </c>
      <c r="G345" s="18" t="str">
        <f>_xlfn.XLOOKUP(A345,'Year end 2024'!A:A,'Year end 2024'!I:I,"")</f>
        <v/>
      </c>
      <c r="H345" s="19">
        <f>_xlfn.XLOOKUP(A345,'Current Month'!A:A,'Current Month'!E:E,0,0)</f>
        <v>49760.37</v>
      </c>
      <c r="I345" s="32">
        <f>_xlfn.XLOOKUP(A345,'Prior Month'!A:A,'Prior Month'!E:E,0,0)</f>
        <v>49168.71</v>
      </c>
      <c r="J345" s="32">
        <f>_xlfn.XLOOKUP(A345,'Year end 2024'!A:A,'Year end 2024'!E:E,0,0)</f>
        <v>62455.1</v>
      </c>
      <c r="K345" s="14">
        <f t="shared" si="10"/>
        <v>591.66000000000349</v>
      </c>
      <c r="L345" s="14">
        <f t="shared" si="11"/>
        <v>-12694.729999999996</v>
      </c>
    </row>
    <row r="346" spans="1:12" ht="35.15" customHeight="1" x14ac:dyDescent="0.4">
      <c r="A346" s="11" t="s">
        <v>757</v>
      </c>
      <c r="B346" s="11" t="s">
        <v>758</v>
      </c>
      <c r="C346" s="11" t="s">
        <v>41</v>
      </c>
      <c r="D346" s="11" t="s">
        <v>40</v>
      </c>
      <c r="E346" s="18" t="str">
        <f>_xlfn.XLOOKUP(A346,'Current Month'!A:A,'Current Month'!I:I,"")</f>
        <v/>
      </c>
      <c r="F346" s="21" t="str">
        <f>_xlfn.XLOOKUP(A346,'Prior Month'!A:A,'Prior Month'!I:I,"")</f>
        <v/>
      </c>
      <c r="G346" s="18" t="str">
        <f>_xlfn.XLOOKUP(A346,'Year end 2024'!A:A,'Year end 2024'!I:I,"")</f>
        <v/>
      </c>
      <c r="H346" s="19">
        <f>_xlfn.XLOOKUP(A346,'Current Month'!A:A,'Current Month'!E:E,0,0)</f>
        <v>152646.81</v>
      </c>
      <c r="I346" s="32">
        <f>_xlfn.XLOOKUP(A346,'Prior Month'!A:A,'Prior Month'!E:E,0,0)</f>
        <v>139647.67999999999</v>
      </c>
      <c r="J346" s="32">
        <f>_xlfn.XLOOKUP(A346,'Year end 2024'!A:A,'Year end 2024'!E:E,0,0)</f>
        <v>121609.71</v>
      </c>
      <c r="K346" s="14">
        <f t="shared" si="10"/>
        <v>12999.130000000005</v>
      </c>
      <c r="L346" s="14">
        <f t="shared" si="11"/>
        <v>31037.099999999991</v>
      </c>
    </row>
    <row r="347" spans="1:12" ht="35.15" customHeight="1" x14ac:dyDescent="0.4">
      <c r="A347" s="11" t="s">
        <v>759</v>
      </c>
      <c r="B347" s="11" t="s">
        <v>760</v>
      </c>
      <c r="C347" s="11" t="s">
        <v>33</v>
      </c>
      <c r="D347" s="11" t="s">
        <v>32</v>
      </c>
      <c r="E347" s="18" t="str">
        <f>_xlfn.XLOOKUP(A347,'Current Month'!A:A,'Current Month'!I:I,"")</f>
        <v/>
      </c>
      <c r="F347" s="21" t="str">
        <f>_xlfn.XLOOKUP(A347,'Prior Month'!A:A,'Prior Month'!I:I,"")</f>
        <v/>
      </c>
      <c r="G347" s="18" t="str">
        <f>_xlfn.XLOOKUP(A347,'Year end 2024'!A:A,'Year end 2024'!I:I,"")</f>
        <v/>
      </c>
      <c r="H347" s="19">
        <f>_xlfn.XLOOKUP(A347,'Current Month'!A:A,'Current Month'!E:E,0,0)</f>
        <v>285.29000000000002</v>
      </c>
      <c r="I347" s="32">
        <f>_xlfn.XLOOKUP(A347,'Prior Month'!A:A,'Prior Month'!E:E,0,0)</f>
        <v>319.52999999999997</v>
      </c>
      <c r="J347" s="32">
        <f>_xlfn.XLOOKUP(A347,'Year end 2024'!A:A,'Year end 2024'!E:E,0,0)</f>
        <v>698.95</v>
      </c>
      <c r="K347" s="14">
        <f t="shared" si="10"/>
        <v>-34.239999999999952</v>
      </c>
      <c r="L347" s="14">
        <f t="shared" si="11"/>
        <v>-413.66</v>
      </c>
    </row>
    <row r="348" spans="1:12" ht="35.15" customHeight="1" x14ac:dyDescent="0.4">
      <c r="A348" s="11" t="s">
        <v>761</v>
      </c>
      <c r="B348" s="11" t="s">
        <v>762</v>
      </c>
      <c r="C348" s="11" t="s">
        <v>19</v>
      </c>
      <c r="D348" s="11" t="s">
        <v>18</v>
      </c>
      <c r="E348" s="18">
        <f>_xlfn.XLOOKUP(A348,'Current Month'!A:A,'Current Month'!I:I,"")</f>
        <v>1.6274133333333332</v>
      </c>
      <c r="F348" s="21">
        <f>_xlfn.XLOOKUP(A348,'Prior Month'!A:A,'Prior Month'!I:I,"")</f>
        <v>2.1633466666666665</v>
      </c>
      <c r="G348" s="18">
        <f>_xlfn.XLOOKUP(A348,'Year end 2024'!A:A,'Year end 2024'!I:I,"")</f>
        <v>0.89166333333333325</v>
      </c>
      <c r="H348" s="19">
        <f>_xlfn.XLOOKUP(A348,'Current Month'!A:A,'Current Month'!E:E,0,0)</f>
        <v>4882.24</v>
      </c>
      <c r="I348" s="32">
        <f>_xlfn.XLOOKUP(A348,'Prior Month'!A:A,'Prior Month'!E:E,0,0)</f>
        <v>6490.04</v>
      </c>
      <c r="J348" s="32">
        <f>_xlfn.XLOOKUP(A348,'Year end 2024'!A:A,'Year end 2024'!E:E,0,0)</f>
        <v>2674.99</v>
      </c>
      <c r="K348" s="14">
        <f t="shared" si="10"/>
        <v>-1607.8000000000002</v>
      </c>
      <c r="L348" s="14">
        <f t="shared" si="11"/>
        <v>2207.25</v>
      </c>
    </row>
    <row r="349" spans="1:12" ht="35.15" customHeight="1" x14ac:dyDescent="0.4">
      <c r="A349" s="11" t="s">
        <v>763</v>
      </c>
      <c r="B349" s="11" t="s">
        <v>764</v>
      </c>
      <c r="C349" s="11" t="s">
        <v>51</v>
      </c>
      <c r="D349" s="11" t="s">
        <v>50</v>
      </c>
      <c r="E349" s="18" t="str">
        <f>_xlfn.XLOOKUP(A349,'Current Month'!A:A,'Current Month'!I:I,"")</f>
        <v/>
      </c>
      <c r="F349" s="21" t="str">
        <f>_xlfn.XLOOKUP(A349,'Prior Month'!A:A,'Prior Month'!I:I,"")</f>
        <v/>
      </c>
      <c r="G349" s="18" t="str">
        <f>_xlfn.XLOOKUP(A349,'Year end 2024'!A:A,'Year end 2024'!I:I,"")</f>
        <v/>
      </c>
      <c r="H349" s="19">
        <f>_xlfn.XLOOKUP(A349,'Current Month'!A:A,'Current Month'!E:E,0,0)</f>
        <v>1226603.33</v>
      </c>
      <c r="I349" s="32">
        <f>_xlfn.XLOOKUP(A349,'Prior Month'!A:A,'Prior Month'!E:E,0,0)</f>
        <v>1205990.8400000001</v>
      </c>
      <c r="J349" s="32">
        <f>_xlfn.XLOOKUP(A349,'Year end 2024'!A:A,'Year end 2024'!E:E,0,0)</f>
        <v>1088340.74</v>
      </c>
      <c r="K349" s="14">
        <f t="shared" si="10"/>
        <v>20612.489999999991</v>
      </c>
      <c r="L349" s="14">
        <f t="shared" si="11"/>
        <v>138262.59000000008</v>
      </c>
    </row>
    <row r="350" spans="1:12" ht="35.15" customHeight="1" x14ac:dyDescent="0.4">
      <c r="A350" s="11" t="s">
        <v>765</v>
      </c>
      <c r="B350" s="11" t="s">
        <v>766</v>
      </c>
      <c r="C350" s="11" t="s">
        <v>67</v>
      </c>
      <c r="D350" s="11" t="s">
        <v>66</v>
      </c>
      <c r="E350" s="18" t="str">
        <f>_xlfn.XLOOKUP(A350,'Current Month'!A:A,'Current Month'!I:I,"")</f>
        <v/>
      </c>
      <c r="F350" s="21" t="str">
        <f>_xlfn.XLOOKUP(A350,'Prior Month'!A:A,'Prior Month'!I:I,"")</f>
        <v/>
      </c>
      <c r="G350" s="18" t="str">
        <f>_xlfn.XLOOKUP(A350,'Year end 2024'!A:A,'Year end 2024'!I:I,"")</f>
        <v/>
      </c>
      <c r="H350" s="19">
        <f>_xlfn.XLOOKUP(A350,'Current Month'!A:A,'Current Month'!E:E,0,0)</f>
        <v>1597.43</v>
      </c>
      <c r="I350" s="32">
        <f>_xlfn.XLOOKUP(A350,'Prior Month'!A:A,'Prior Month'!E:E,0,0)</f>
        <v>1597.38</v>
      </c>
      <c r="J350" s="32">
        <f>_xlfn.XLOOKUP(A350,'Year end 2024'!A:A,'Year end 2024'!E:E,0,0)</f>
        <v>3121.46</v>
      </c>
      <c r="K350" s="14">
        <f t="shared" si="10"/>
        <v>4.9999999999954525E-2</v>
      </c>
      <c r="L350" s="14">
        <f t="shared" si="11"/>
        <v>-1524.03</v>
      </c>
    </row>
    <row r="351" spans="1:12" ht="35.15" customHeight="1" x14ac:dyDescent="0.4">
      <c r="A351" s="11" t="s">
        <v>767</v>
      </c>
      <c r="B351" s="11" t="s">
        <v>768</v>
      </c>
      <c r="C351" s="11" t="s">
        <v>51</v>
      </c>
      <c r="D351" s="11" t="s">
        <v>50</v>
      </c>
      <c r="E351" s="18">
        <f>_xlfn.XLOOKUP(A351,'Current Month'!A:A,'Current Month'!I:I,"")</f>
        <v>628.97702000000004</v>
      </c>
      <c r="F351" s="21">
        <f>_xlfn.XLOOKUP(A351,'Prior Month'!A:A,'Prior Month'!I:I,"")</f>
        <v>381.81988999999999</v>
      </c>
      <c r="G351" s="18">
        <f>_xlfn.XLOOKUP(A351,'Year end 2024'!A:A,'Year end 2024'!I:I,"")</f>
        <v>924.32465999999999</v>
      </c>
      <c r="H351" s="19">
        <f>_xlfn.XLOOKUP(A351,'Current Month'!A:A,'Current Month'!E:E,0,0)</f>
        <v>628977.02</v>
      </c>
      <c r="I351" s="32">
        <f>_xlfn.XLOOKUP(A351,'Prior Month'!A:A,'Prior Month'!E:E,0,0)</f>
        <v>381819.89</v>
      </c>
      <c r="J351" s="32">
        <f>_xlfn.XLOOKUP(A351,'Year end 2024'!A:A,'Year end 2024'!E:E,0,0)</f>
        <v>924324.66</v>
      </c>
      <c r="K351" s="14">
        <f t="shared" si="10"/>
        <v>247157.13</v>
      </c>
      <c r="L351" s="14">
        <f t="shared" si="11"/>
        <v>-295347.64</v>
      </c>
    </row>
    <row r="352" spans="1:12" ht="35.15" customHeight="1" x14ac:dyDescent="0.4">
      <c r="A352" s="11" t="s">
        <v>769</v>
      </c>
      <c r="B352" s="11" t="s">
        <v>770</v>
      </c>
      <c r="C352" s="11" t="s">
        <v>33</v>
      </c>
      <c r="D352" s="11" t="s">
        <v>32</v>
      </c>
      <c r="E352" s="18" t="str">
        <f>_xlfn.XLOOKUP(A352,'Current Month'!A:A,'Current Month'!I:I,"")</f>
        <v/>
      </c>
      <c r="F352" s="21" t="str">
        <f>_xlfn.XLOOKUP(A352,'Prior Month'!A:A,'Prior Month'!I:I,"")</f>
        <v/>
      </c>
      <c r="G352" s="18" t="str">
        <f>_xlfn.XLOOKUP(A352,'Year end 2024'!A:A,'Year end 2024'!I:I,"")</f>
        <v/>
      </c>
      <c r="H352" s="19">
        <f>_xlfn.XLOOKUP(A352,'Current Month'!A:A,'Current Month'!E:E,0,0)</f>
        <v>3594291.7</v>
      </c>
      <c r="I352" s="32">
        <f>_xlfn.XLOOKUP(A352,'Prior Month'!A:A,'Prior Month'!E:E,0,0)</f>
        <v>2351993.79</v>
      </c>
      <c r="J352" s="32">
        <f>_xlfn.XLOOKUP(A352,'Year end 2024'!A:A,'Year end 2024'!E:E,0,0)</f>
        <v>3143994</v>
      </c>
      <c r="K352" s="14">
        <f t="shared" si="10"/>
        <v>1242297.9100000001</v>
      </c>
      <c r="L352" s="14">
        <f t="shared" si="11"/>
        <v>450297.70000000019</v>
      </c>
    </row>
    <row r="353" spans="1:12" ht="35.15" customHeight="1" x14ac:dyDescent="0.4">
      <c r="A353" s="11" t="s">
        <v>771</v>
      </c>
      <c r="B353" s="11" t="s">
        <v>772</v>
      </c>
      <c r="C353" s="11" t="s">
        <v>19</v>
      </c>
      <c r="D353" s="11" t="s">
        <v>18</v>
      </c>
      <c r="E353" s="18" t="str">
        <f>_xlfn.XLOOKUP(A353,'Current Month'!A:A,'Current Month'!I:I,"")</f>
        <v/>
      </c>
      <c r="F353" s="21" t="str">
        <f>_xlfn.XLOOKUP(A353,'Prior Month'!A:A,'Prior Month'!I:I,"")</f>
        <v/>
      </c>
      <c r="G353" s="18" t="str">
        <f>_xlfn.XLOOKUP(A353,'Year end 2024'!A:A,'Year end 2024'!I:I,"")</f>
        <v/>
      </c>
      <c r="H353" s="19">
        <f>_xlfn.XLOOKUP(A353,'Current Month'!A:A,'Current Month'!E:E,0,0)</f>
        <v>41528.74</v>
      </c>
      <c r="I353" s="32">
        <f>_xlfn.XLOOKUP(A353,'Prior Month'!A:A,'Prior Month'!E:E,0,0)</f>
        <v>47261.279999999999</v>
      </c>
      <c r="J353" s="32">
        <f>_xlfn.XLOOKUP(A353,'Year end 2024'!A:A,'Year end 2024'!E:E,0,0)</f>
        <v>19133.490000000002</v>
      </c>
      <c r="K353" s="14">
        <f t="shared" si="10"/>
        <v>-5732.5400000000009</v>
      </c>
      <c r="L353" s="14">
        <f t="shared" si="11"/>
        <v>22395.249999999996</v>
      </c>
    </row>
    <row r="354" spans="1:12" ht="35.15" customHeight="1" x14ac:dyDescent="0.4">
      <c r="A354" s="11" t="s">
        <v>773</v>
      </c>
      <c r="B354" s="11" t="s">
        <v>774</v>
      </c>
      <c r="C354" s="11" t="s">
        <v>213</v>
      </c>
      <c r="D354" s="11" t="s">
        <v>212</v>
      </c>
      <c r="E354" s="18">
        <f>_xlfn.XLOOKUP(A354,'Current Month'!A:A,'Current Month'!I:I,"")</f>
        <v>0</v>
      </c>
      <c r="F354" s="21">
        <f>_xlfn.XLOOKUP(A354,'Prior Month'!A:A,'Prior Month'!I:I,"")</f>
        <v>0</v>
      </c>
      <c r="G354" s="18">
        <f>_xlfn.XLOOKUP(A354,'Year end 2024'!A:A,'Year end 2024'!I:I,"")</f>
        <v>0</v>
      </c>
      <c r="H354" s="19">
        <f>_xlfn.XLOOKUP(A354,'Current Month'!A:A,'Current Month'!E:E,0,0)</f>
        <v>0</v>
      </c>
      <c r="I354" s="32">
        <f>_xlfn.XLOOKUP(A354,'Prior Month'!A:A,'Prior Month'!E:E,0,0)</f>
        <v>0</v>
      </c>
      <c r="J354" s="32">
        <f>_xlfn.XLOOKUP(A354,'Year end 2024'!A:A,'Year end 2024'!E:E,0,0)</f>
        <v>0</v>
      </c>
      <c r="K354" s="14">
        <f t="shared" si="10"/>
        <v>0</v>
      </c>
      <c r="L354" s="14">
        <f t="shared" si="11"/>
        <v>0</v>
      </c>
    </row>
    <row r="355" spans="1:12" ht="35.15" customHeight="1" x14ac:dyDescent="0.4">
      <c r="A355" s="11" t="s">
        <v>775</v>
      </c>
      <c r="B355" s="11" t="s">
        <v>776</v>
      </c>
      <c r="C355" s="11" t="s">
        <v>457</v>
      </c>
      <c r="D355" s="11" t="s">
        <v>456</v>
      </c>
      <c r="E355" s="18">
        <f>_xlfn.XLOOKUP(A355,'Current Month'!A:A,'Current Month'!I:I,"")</f>
        <v>4.0176465314661403E-2</v>
      </c>
      <c r="F355" s="21">
        <f>_xlfn.XLOOKUP(A355,'Prior Month'!A:A,'Prior Month'!I:I,"")</f>
        <v>4.0075257822186842E-2</v>
      </c>
      <c r="G355" s="18">
        <f>_xlfn.XLOOKUP(A355,'Year end 2024'!A:A,'Year end 2024'!I:I,"")</f>
        <v>4.1211308042115619E-2</v>
      </c>
      <c r="H355" s="19">
        <f>_xlfn.XLOOKUP(A355,'Current Month'!A:A,'Current Month'!E:E,0,0)</f>
        <v>16845.740000000002</v>
      </c>
      <c r="I355" s="32">
        <f>_xlfn.XLOOKUP(A355,'Prior Month'!A:A,'Prior Month'!E:E,0,0)</f>
        <v>16887.05</v>
      </c>
      <c r="J355" s="32">
        <f>_xlfn.XLOOKUP(A355,'Year end 2024'!A:A,'Year end 2024'!E:E,0,0)</f>
        <v>18059.830000000002</v>
      </c>
      <c r="K355" s="14">
        <f t="shared" si="10"/>
        <v>-41.309999999997672</v>
      </c>
      <c r="L355" s="14">
        <f t="shared" si="11"/>
        <v>-1214.0900000000001</v>
      </c>
    </row>
    <row r="356" spans="1:12" ht="35.15" customHeight="1" x14ac:dyDescent="0.4">
      <c r="A356" s="11" t="s">
        <v>777</v>
      </c>
      <c r="B356" s="11" t="s">
        <v>778</v>
      </c>
      <c r="C356" s="11" t="s">
        <v>213</v>
      </c>
      <c r="D356" s="11" t="s">
        <v>212</v>
      </c>
      <c r="E356" s="18">
        <f>_xlfn.XLOOKUP(A356,'Current Month'!A:A,'Current Month'!I:I,"")</f>
        <v>4.4177830317819286E-2</v>
      </c>
      <c r="F356" s="21">
        <f>_xlfn.XLOOKUP(A356,'Prior Month'!A:A,'Prior Month'!I:I,"")</f>
        <v>6.1824584886427045E-2</v>
      </c>
      <c r="G356" s="18">
        <f>_xlfn.XLOOKUP(A356,'Year end 2024'!A:A,'Year end 2024'!I:I,"")</f>
        <v>3.195418307618509E-2</v>
      </c>
      <c r="H356" s="19">
        <f>_xlfn.XLOOKUP(A356,'Current Month'!A:A,'Current Month'!E:E,0,0)</f>
        <v>72344.479999999996</v>
      </c>
      <c r="I356" s="32">
        <f>_xlfn.XLOOKUP(A356,'Prior Month'!A:A,'Prior Month'!E:E,0,0)</f>
        <v>101494.71</v>
      </c>
      <c r="J356" s="32">
        <f>_xlfn.XLOOKUP(A356,'Year end 2024'!A:A,'Year end 2024'!E:E,0,0)</f>
        <v>54441.03</v>
      </c>
      <c r="K356" s="14">
        <f t="shared" si="10"/>
        <v>-29150.23000000001</v>
      </c>
      <c r="L356" s="14">
        <f t="shared" si="11"/>
        <v>17903.449999999997</v>
      </c>
    </row>
    <row r="357" spans="1:12" ht="35.15" customHeight="1" x14ac:dyDescent="0.4">
      <c r="A357" s="11" t="s">
        <v>779</v>
      </c>
      <c r="B357" s="11" t="s">
        <v>780</v>
      </c>
      <c r="C357" s="11" t="s">
        <v>19</v>
      </c>
      <c r="D357" s="11" t="s">
        <v>18</v>
      </c>
      <c r="E357" s="18" t="str">
        <f>_xlfn.XLOOKUP(A357,'Current Month'!A:A,'Current Month'!I:I,"")</f>
        <v/>
      </c>
      <c r="F357" s="21" t="str">
        <f>_xlfn.XLOOKUP(A357,'Prior Month'!A:A,'Prior Month'!I:I,"")</f>
        <v/>
      </c>
      <c r="G357" s="18" t="str">
        <f>_xlfn.XLOOKUP(A357,'Year end 2024'!A:A,'Year end 2024'!I:I,"")</f>
        <v/>
      </c>
      <c r="H357" s="19">
        <f>_xlfn.XLOOKUP(A357,'Current Month'!A:A,'Current Month'!E:E,0,0)</f>
        <v>54407.47</v>
      </c>
      <c r="I357" s="32">
        <f>_xlfn.XLOOKUP(A357,'Prior Month'!A:A,'Prior Month'!E:E,0,0)</f>
        <v>60821.16</v>
      </c>
      <c r="J357" s="32">
        <f>_xlfn.XLOOKUP(A357,'Year end 2024'!A:A,'Year end 2024'!E:E,0,0)</f>
        <v>72231.649999999994</v>
      </c>
      <c r="K357" s="14">
        <f t="shared" si="10"/>
        <v>-6413.6900000000023</v>
      </c>
      <c r="L357" s="14">
        <f t="shared" si="11"/>
        <v>-17824.179999999993</v>
      </c>
    </row>
    <row r="358" spans="1:12" ht="35.15" customHeight="1" x14ac:dyDescent="0.4">
      <c r="A358" s="11" t="s">
        <v>781</v>
      </c>
      <c r="B358" s="11" t="s">
        <v>782</v>
      </c>
      <c r="C358" s="11" t="s">
        <v>19</v>
      </c>
      <c r="D358" s="11" t="s">
        <v>18</v>
      </c>
      <c r="E358" s="18" t="str">
        <f>_xlfn.XLOOKUP(A358,'Current Month'!A:A,'Current Month'!I:I,"")</f>
        <v/>
      </c>
      <c r="F358" s="21" t="str">
        <f>_xlfn.XLOOKUP(A358,'Prior Month'!A:A,'Prior Month'!I:I,"")</f>
        <v/>
      </c>
      <c r="G358" s="18" t="str">
        <f>_xlfn.XLOOKUP(A358,'Year end 2024'!A:A,'Year end 2024'!I:I,"")</f>
        <v/>
      </c>
      <c r="H358" s="19">
        <f>_xlfn.XLOOKUP(A358,'Current Month'!A:A,'Current Month'!E:E,0,0)</f>
        <v>14071720.16</v>
      </c>
      <c r="I358" s="32">
        <f>_xlfn.XLOOKUP(A358,'Prior Month'!A:A,'Prior Month'!E:E,0,0)</f>
        <v>12241069.710000001</v>
      </c>
      <c r="J358" s="32">
        <f>_xlfn.XLOOKUP(A358,'Year end 2024'!A:A,'Year end 2024'!E:E,0,0)</f>
        <v>15098490.220000001</v>
      </c>
      <c r="K358" s="14">
        <f t="shared" si="10"/>
        <v>1830650.4499999993</v>
      </c>
      <c r="L358" s="14">
        <f t="shared" si="11"/>
        <v>-1026770.0600000005</v>
      </c>
    </row>
    <row r="359" spans="1:12" ht="35.15" customHeight="1" x14ac:dyDescent="0.4">
      <c r="A359" s="11" t="s">
        <v>783</v>
      </c>
      <c r="B359" s="11" t="s">
        <v>784</v>
      </c>
      <c r="C359" s="11" t="s">
        <v>51</v>
      </c>
      <c r="D359" s="11" t="s">
        <v>50</v>
      </c>
      <c r="E359" s="18" t="str">
        <f>_xlfn.XLOOKUP(A359,'Current Month'!A:A,'Current Month'!I:I,"")</f>
        <v/>
      </c>
      <c r="F359" s="21" t="str">
        <f>_xlfn.XLOOKUP(A359,'Prior Month'!A:A,'Prior Month'!I:I,"")</f>
        <v/>
      </c>
      <c r="G359" s="18" t="str">
        <f>_xlfn.XLOOKUP(A359,'Year end 2024'!A:A,'Year end 2024'!I:I,"")</f>
        <v/>
      </c>
      <c r="H359" s="19">
        <f>_xlfn.XLOOKUP(A359,'Current Month'!A:A,'Current Month'!E:E,0,0)</f>
        <v>666237.9</v>
      </c>
      <c r="I359" s="32">
        <f>_xlfn.XLOOKUP(A359,'Prior Month'!A:A,'Prior Month'!E:E,0,0)</f>
        <v>674192</v>
      </c>
      <c r="J359" s="32">
        <f>_xlfn.XLOOKUP(A359,'Year end 2024'!A:A,'Year end 2024'!E:E,0,0)</f>
        <v>440192</v>
      </c>
      <c r="K359" s="14">
        <f t="shared" si="10"/>
        <v>-7954.0999999999767</v>
      </c>
      <c r="L359" s="14">
        <f t="shared" si="11"/>
        <v>226045.90000000002</v>
      </c>
    </row>
    <row r="360" spans="1:12" ht="35.15" customHeight="1" x14ac:dyDescent="0.4">
      <c r="A360" s="11" t="s">
        <v>785</v>
      </c>
      <c r="B360" s="11" t="s">
        <v>786</v>
      </c>
      <c r="C360" s="11" t="s">
        <v>19</v>
      </c>
      <c r="D360" s="11" t="s">
        <v>18</v>
      </c>
      <c r="E360" s="18">
        <f>_xlfn.XLOOKUP(A360,'Current Month'!A:A,'Current Month'!I:I,"")</f>
        <v>48.383129999999994</v>
      </c>
      <c r="F360" s="21">
        <f>_xlfn.XLOOKUP(A360,'Prior Month'!A:A,'Prior Month'!I:I,"")</f>
        <v>61.309440000000002</v>
      </c>
      <c r="G360" s="18">
        <f>_xlfn.XLOOKUP(A360,'Year end 2024'!A:A,'Year end 2024'!I:I,"")</f>
        <v>53.955269999999999</v>
      </c>
      <c r="H360" s="19">
        <f>_xlfn.XLOOKUP(A360,'Current Month'!A:A,'Current Month'!E:E,0,0)</f>
        <v>48383.13</v>
      </c>
      <c r="I360" s="32">
        <f>_xlfn.XLOOKUP(A360,'Prior Month'!A:A,'Prior Month'!E:E,0,0)</f>
        <v>61309.440000000002</v>
      </c>
      <c r="J360" s="32">
        <f>_xlfn.XLOOKUP(A360,'Year end 2024'!A:A,'Year end 2024'!E:E,0,0)</f>
        <v>53955.27</v>
      </c>
      <c r="K360" s="14">
        <f t="shared" si="10"/>
        <v>-12926.310000000005</v>
      </c>
      <c r="L360" s="14">
        <f t="shared" si="11"/>
        <v>-5572.1399999999994</v>
      </c>
    </row>
    <row r="361" spans="1:12" ht="35.15" customHeight="1" x14ac:dyDescent="0.4">
      <c r="A361" s="11" t="s">
        <v>787</v>
      </c>
      <c r="B361" s="11" t="s">
        <v>788</v>
      </c>
      <c r="C361" s="11" t="s">
        <v>109</v>
      </c>
      <c r="D361" s="11" t="s">
        <v>108</v>
      </c>
      <c r="E361" s="18" t="str">
        <f>_xlfn.XLOOKUP(A361,'Current Month'!A:A,'Current Month'!I:I,"")</f>
        <v/>
      </c>
      <c r="F361" s="21" t="str">
        <f>_xlfn.XLOOKUP(A361,'Prior Month'!A:A,'Prior Month'!I:I,"")</f>
        <v/>
      </c>
      <c r="G361" s="18" t="str">
        <f>_xlfn.XLOOKUP(A361,'Year end 2024'!A:A,'Year end 2024'!I:I,"")</f>
        <v/>
      </c>
      <c r="H361" s="19">
        <f>_xlfn.XLOOKUP(A361,'Current Month'!A:A,'Current Month'!E:E,0,0)</f>
        <v>1713.23</v>
      </c>
      <c r="I361" s="32">
        <f>_xlfn.XLOOKUP(A361,'Prior Month'!A:A,'Prior Month'!E:E,0,0)</f>
        <v>2289.4699999999998</v>
      </c>
      <c r="J361" s="32">
        <f>_xlfn.XLOOKUP(A361,'Year end 2024'!A:A,'Year end 2024'!E:E,0,0)</f>
        <v>1141.97</v>
      </c>
      <c r="K361" s="14">
        <f t="shared" si="10"/>
        <v>-576.23999999999978</v>
      </c>
      <c r="L361" s="14">
        <f t="shared" si="11"/>
        <v>571.26</v>
      </c>
    </row>
    <row r="362" spans="1:12" ht="35.15" customHeight="1" x14ac:dyDescent="0.4">
      <c r="A362" s="11" t="s">
        <v>789</v>
      </c>
      <c r="B362" s="11" t="s">
        <v>790</v>
      </c>
      <c r="C362" s="11" t="s">
        <v>253</v>
      </c>
      <c r="D362" s="11" t="s">
        <v>252</v>
      </c>
      <c r="E362" s="18">
        <f>_xlfn.XLOOKUP(A362,'Current Month'!A:A,'Current Month'!I:I,"")</f>
        <v>0.15905805762048461</v>
      </c>
      <c r="F362" s="21">
        <f>_xlfn.XLOOKUP(A362,'Prior Month'!A:A,'Prior Month'!I:I,"")</f>
        <v>0.13577733080019203</v>
      </c>
      <c r="G362" s="18">
        <f>_xlfn.XLOOKUP(A362,'Year end 2024'!A:A,'Year end 2024'!I:I,"")</f>
        <v>9.9547747228813391E-2</v>
      </c>
      <c r="H362" s="19">
        <f>_xlfn.XLOOKUP(A362,'Current Month'!A:A,'Current Month'!E:E,0,0)</f>
        <v>310932.81</v>
      </c>
      <c r="I362" s="32">
        <f>_xlfn.XLOOKUP(A362,'Prior Month'!A:A,'Prior Month'!E:E,0,0)</f>
        <v>266507.51</v>
      </c>
      <c r="J362" s="32">
        <f>_xlfn.XLOOKUP(A362,'Year end 2024'!A:A,'Year end 2024'!E:E,0,0)</f>
        <v>210713.5</v>
      </c>
      <c r="K362" s="14">
        <f t="shared" si="10"/>
        <v>44425.299999999988</v>
      </c>
      <c r="L362" s="14">
        <f t="shared" si="11"/>
        <v>100219.31</v>
      </c>
    </row>
    <row r="363" spans="1:12" ht="35.15" customHeight="1" x14ac:dyDescent="0.4">
      <c r="A363" s="11" t="s">
        <v>791</v>
      </c>
      <c r="B363" s="11" t="s">
        <v>792</v>
      </c>
      <c r="C363" s="11" t="s">
        <v>19</v>
      </c>
      <c r="D363" s="11" t="s">
        <v>18</v>
      </c>
      <c r="E363" s="18">
        <f>_xlfn.XLOOKUP(A363,'Current Month'!A:A,'Current Month'!I:I,"")</f>
        <v>1908.90246</v>
      </c>
      <c r="F363" s="21">
        <f>_xlfn.XLOOKUP(A363,'Prior Month'!A:A,'Prior Month'!I:I,"")</f>
        <v>1935.59058</v>
      </c>
      <c r="G363" s="18">
        <f>_xlfn.XLOOKUP(A363,'Year end 2024'!A:A,'Year end 2024'!I:I,"")</f>
        <v>1371.5850800000001</v>
      </c>
      <c r="H363" s="19">
        <f>_xlfn.XLOOKUP(A363,'Current Month'!A:A,'Current Month'!E:E,0,0)</f>
        <v>954451.23</v>
      </c>
      <c r="I363" s="32">
        <f>_xlfn.XLOOKUP(A363,'Prior Month'!A:A,'Prior Month'!E:E,0,0)</f>
        <v>967795.29</v>
      </c>
      <c r="J363" s="32">
        <f>_xlfn.XLOOKUP(A363,'Year end 2024'!A:A,'Year end 2024'!E:E,0,0)</f>
        <v>685792.54</v>
      </c>
      <c r="K363" s="14">
        <f t="shared" si="10"/>
        <v>-13344.060000000056</v>
      </c>
      <c r="L363" s="14">
        <f t="shared" si="11"/>
        <v>268658.68999999994</v>
      </c>
    </row>
    <row r="364" spans="1:12" ht="35.15" customHeight="1" x14ac:dyDescent="0.4">
      <c r="A364" s="11" t="s">
        <v>793</v>
      </c>
      <c r="B364" s="11" t="s">
        <v>794</v>
      </c>
      <c r="C364" s="11" t="s">
        <v>57</v>
      </c>
      <c r="D364" s="11" t="s">
        <v>56</v>
      </c>
      <c r="E364" s="18" t="str">
        <f>_xlfn.XLOOKUP(A364,'Current Month'!A:A,'Current Month'!I:I,"")</f>
        <v/>
      </c>
      <c r="F364" s="21" t="str">
        <f>_xlfn.XLOOKUP(A364,'Prior Month'!A:A,'Prior Month'!I:I,"")</f>
        <v/>
      </c>
      <c r="G364" s="18" t="str">
        <f>_xlfn.XLOOKUP(A364,'Year end 2024'!A:A,'Year end 2024'!I:I,"")</f>
        <v/>
      </c>
      <c r="H364" s="19">
        <f>_xlfn.XLOOKUP(A364,'Current Month'!A:A,'Current Month'!E:E,0,0)</f>
        <v>6258356.8700000001</v>
      </c>
      <c r="I364" s="32">
        <f>_xlfn.XLOOKUP(A364,'Prior Month'!A:A,'Prior Month'!E:E,0,0)</f>
        <v>6438473.4199999999</v>
      </c>
      <c r="J364" s="32">
        <f>_xlfn.XLOOKUP(A364,'Year end 2024'!A:A,'Year end 2024'!E:E,0,0)</f>
        <v>5545802.5</v>
      </c>
      <c r="K364" s="14">
        <f t="shared" si="10"/>
        <v>-180116.54999999981</v>
      </c>
      <c r="L364" s="14">
        <f t="shared" si="11"/>
        <v>712554.37000000011</v>
      </c>
    </row>
    <row r="365" spans="1:12" ht="35.15" customHeight="1" x14ac:dyDescent="0.4">
      <c r="A365" s="11" t="s">
        <v>795</v>
      </c>
      <c r="B365" s="11" t="s">
        <v>796</v>
      </c>
      <c r="C365" s="11" t="s">
        <v>19</v>
      </c>
      <c r="D365" s="11" t="s">
        <v>18</v>
      </c>
      <c r="E365" s="18" t="str">
        <f>_xlfn.XLOOKUP(A365,'Current Month'!A:A,'Current Month'!I:I,"")</f>
        <v/>
      </c>
      <c r="F365" s="21" t="str">
        <f>_xlfn.XLOOKUP(A365,'Prior Month'!A:A,'Prior Month'!I:I,"")</f>
        <v/>
      </c>
      <c r="G365" s="18" t="str">
        <f>_xlfn.XLOOKUP(A365,'Year end 2024'!A:A,'Year end 2024'!I:I,"")</f>
        <v/>
      </c>
      <c r="H365" s="19">
        <f>_xlfn.XLOOKUP(A365,'Current Month'!A:A,'Current Month'!E:E,0,0)</f>
        <v>414053.17</v>
      </c>
      <c r="I365" s="32">
        <f>_xlfn.XLOOKUP(A365,'Prior Month'!A:A,'Prior Month'!E:E,0,0)</f>
        <v>298217.51</v>
      </c>
      <c r="J365" s="32">
        <f>_xlfn.XLOOKUP(A365,'Year end 2024'!A:A,'Year end 2024'!E:E,0,0)</f>
        <v>219616.95</v>
      </c>
      <c r="K365" s="14">
        <f t="shared" si="10"/>
        <v>115835.65999999997</v>
      </c>
      <c r="L365" s="14">
        <f t="shared" si="11"/>
        <v>194436.21999999997</v>
      </c>
    </row>
    <row r="366" spans="1:12" ht="35.15" customHeight="1" x14ac:dyDescent="0.4">
      <c r="A366" s="11" t="s">
        <v>797</v>
      </c>
      <c r="B366" s="11" t="s">
        <v>798</v>
      </c>
      <c r="C366" s="11" t="s">
        <v>15</v>
      </c>
      <c r="D366" s="11" t="s">
        <v>14</v>
      </c>
      <c r="E366" s="18">
        <f>_xlfn.XLOOKUP(A366,'Current Month'!A:A,'Current Month'!I:I,"")</f>
        <v>0.28971976465619637</v>
      </c>
      <c r="F366" s="21">
        <f>_xlfn.XLOOKUP(A366,'Prior Month'!A:A,'Prior Month'!I:I,"")</f>
        <v>0.24245672603511215</v>
      </c>
      <c r="G366" s="18">
        <f>_xlfn.XLOOKUP(A366,'Year end 2024'!A:A,'Year end 2024'!I:I,"")</f>
        <v>0.28665676005331581</v>
      </c>
      <c r="H366" s="19">
        <f>_xlfn.XLOOKUP(A366,'Current Month'!A:A,'Current Month'!E:E,0,0)</f>
        <v>852645.25</v>
      </c>
      <c r="I366" s="32">
        <f>_xlfn.XLOOKUP(A366,'Prior Month'!A:A,'Prior Month'!E:E,0,0)</f>
        <v>722209.3</v>
      </c>
      <c r="J366" s="32">
        <f>_xlfn.XLOOKUP(A366,'Year end 2024'!A:A,'Year end 2024'!E:E,0,0)</f>
        <v>1104898</v>
      </c>
      <c r="K366" s="14">
        <f t="shared" si="10"/>
        <v>130435.94999999995</v>
      </c>
      <c r="L366" s="14">
        <f t="shared" si="11"/>
        <v>-252252.75</v>
      </c>
    </row>
    <row r="367" spans="1:12" ht="35.15" customHeight="1" x14ac:dyDescent="0.4">
      <c r="A367" s="11" t="s">
        <v>799</v>
      </c>
      <c r="B367" s="11" t="s">
        <v>800</v>
      </c>
      <c r="C367" s="11" t="s">
        <v>19</v>
      </c>
      <c r="D367" s="11" t="s">
        <v>18</v>
      </c>
      <c r="E367" s="18" t="str">
        <f>_xlfn.XLOOKUP(A367,'Current Month'!A:A,'Current Month'!I:I,"")</f>
        <v/>
      </c>
      <c r="F367" s="21" t="str">
        <f>_xlfn.XLOOKUP(A367,'Prior Month'!A:A,'Prior Month'!I:I,"")</f>
        <v/>
      </c>
      <c r="G367" s="18" t="str">
        <f>_xlfn.XLOOKUP(A367,'Year end 2024'!A:A,'Year end 2024'!I:I,"")</f>
        <v/>
      </c>
      <c r="H367" s="19">
        <f>_xlfn.XLOOKUP(A367,'Current Month'!A:A,'Current Month'!E:E,0,0)</f>
        <v>1036269.9</v>
      </c>
      <c r="I367" s="32">
        <f>_xlfn.XLOOKUP(A367,'Prior Month'!A:A,'Prior Month'!E:E,0,0)</f>
        <v>1025594.11</v>
      </c>
      <c r="J367" s="32">
        <f>_xlfn.XLOOKUP(A367,'Year end 2024'!A:A,'Year end 2024'!E:E,0,0)</f>
        <v>854084.95</v>
      </c>
      <c r="K367" s="14">
        <f t="shared" si="10"/>
        <v>10675.790000000037</v>
      </c>
      <c r="L367" s="14">
        <f t="shared" si="11"/>
        <v>182184.95000000007</v>
      </c>
    </row>
    <row r="368" spans="1:12" ht="35.15" customHeight="1" x14ac:dyDescent="0.4">
      <c r="A368" s="11" t="s">
        <v>801</v>
      </c>
      <c r="B368" s="11" t="s">
        <v>802</v>
      </c>
      <c r="C368" s="11" t="s">
        <v>259</v>
      </c>
      <c r="D368" s="11" t="s">
        <v>258</v>
      </c>
      <c r="E368" s="18" t="str">
        <f>_xlfn.XLOOKUP(A368,'Current Month'!A:A,'Current Month'!I:I,"")</f>
        <v/>
      </c>
      <c r="F368" s="21">
        <f>_xlfn.XLOOKUP(A368,'Prior Month'!A:A,'Prior Month'!I:I,"")</f>
        <v>0.15266213123469641</v>
      </c>
      <c r="G368" s="18">
        <f>_xlfn.XLOOKUP(A368,'Year end 2024'!A:A,'Year end 2024'!I:I,"")</f>
        <v>0.12457582482765382</v>
      </c>
      <c r="H368" s="19">
        <f>_xlfn.XLOOKUP(A368,'Current Month'!A:A,'Current Month'!E:E,0,0)</f>
        <v>938386.5</v>
      </c>
      <c r="I368" s="32">
        <f>_xlfn.XLOOKUP(A368,'Prior Month'!A:A,'Prior Month'!E:E,0,0)</f>
        <v>219835.42</v>
      </c>
      <c r="J368" s="32">
        <f>_xlfn.XLOOKUP(A368,'Year end 2024'!A:A,'Year end 2024'!E:E,0,0)</f>
        <v>205978.08</v>
      </c>
      <c r="K368" s="14">
        <f t="shared" si="10"/>
        <v>718551.08</v>
      </c>
      <c r="L368" s="14">
        <f t="shared" si="11"/>
        <v>732408.42</v>
      </c>
    </row>
    <row r="369" spans="1:12" ht="35.15" customHeight="1" x14ac:dyDescent="0.4">
      <c r="A369" s="11" t="s">
        <v>803</v>
      </c>
      <c r="B369" s="11" t="s">
        <v>804</v>
      </c>
      <c r="C369" s="11" t="s">
        <v>57</v>
      </c>
      <c r="D369" s="11" t="s">
        <v>56</v>
      </c>
      <c r="E369" s="18" t="str">
        <f>_xlfn.XLOOKUP(A369,'Current Month'!A:A,'Current Month'!I:I,"")</f>
        <v/>
      </c>
      <c r="F369" s="21" t="str">
        <f>_xlfn.XLOOKUP(A369,'Prior Month'!A:A,'Prior Month'!I:I,"")</f>
        <v/>
      </c>
      <c r="G369" s="18" t="str">
        <f>_xlfn.XLOOKUP(A369,'Year end 2024'!A:A,'Year end 2024'!I:I,"")</f>
        <v/>
      </c>
      <c r="H369" s="19">
        <f>_xlfn.XLOOKUP(A369,'Current Month'!A:A,'Current Month'!E:E,0,0)</f>
        <v>62186.8</v>
      </c>
      <c r="I369" s="32">
        <f>_xlfn.XLOOKUP(A369,'Prior Month'!A:A,'Prior Month'!E:E,0,0)</f>
        <v>59472</v>
      </c>
      <c r="J369" s="32">
        <f>_xlfn.XLOOKUP(A369,'Year end 2024'!A:A,'Year end 2024'!E:E,0,0)</f>
        <v>112679</v>
      </c>
      <c r="K369" s="14">
        <f t="shared" si="10"/>
        <v>2714.8000000000029</v>
      </c>
      <c r="L369" s="14">
        <f t="shared" si="11"/>
        <v>-50492.2</v>
      </c>
    </row>
    <row r="370" spans="1:12" ht="35.15" customHeight="1" x14ac:dyDescent="0.4">
      <c r="A370" s="11" t="s">
        <v>805</v>
      </c>
      <c r="B370" s="11" t="s">
        <v>806</v>
      </c>
      <c r="C370" s="11" t="s">
        <v>51</v>
      </c>
      <c r="D370" s="11" t="s">
        <v>50</v>
      </c>
      <c r="E370" s="18" t="str">
        <f>_xlfn.XLOOKUP(A370,'Current Month'!A:A,'Current Month'!I:I,"")</f>
        <v/>
      </c>
      <c r="F370" s="21" t="str">
        <f>_xlfn.XLOOKUP(A370,'Prior Month'!A:A,'Prior Month'!I:I,"")</f>
        <v/>
      </c>
      <c r="G370" s="18" t="str">
        <f>_xlfn.XLOOKUP(A370,'Year end 2024'!A:A,'Year end 2024'!I:I,"")</f>
        <v/>
      </c>
      <c r="H370" s="19">
        <f>_xlfn.XLOOKUP(A370,'Current Month'!A:A,'Current Month'!E:E,0,0)</f>
        <v>226239.5</v>
      </c>
      <c r="I370" s="32">
        <f>_xlfn.XLOOKUP(A370,'Prior Month'!A:A,'Prior Month'!E:E,0,0)</f>
        <v>228016.74</v>
      </c>
      <c r="J370" s="32">
        <f>_xlfn.XLOOKUP(A370,'Year end 2024'!A:A,'Year end 2024'!E:E,0,0)</f>
        <v>237144.39</v>
      </c>
      <c r="K370" s="14">
        <f t="shared" si="10"/>
        <v>-1777.2399999999907</v>
      </c>
      <c r="L370" s="14">
        <f t="shared" si="11"/>
        <v>-10904.890000000014</v>
      </c>
    </row>
    <row r="371" spans="1:12" ht="35.15" customHeight="1" x14ac:dyDescent="0.4">
      <c r="A371" s="11" t="s">
        <v>807</v>
      </c>
      <c r="B371" s="11" t="s">
        <v>808</v>
      </c>
      <c r="C371" s="11" t="s">
        <v>77</v>
      </c>
      <c r="D371" s="11" t="s">
        <v>76</v>
      </c>
      <c r="E371" s="18" t="str">
        <f>_xlfn.XLOOKUP(A371,'Current Month'!A:A,'Current Month'!I:I,"")</f>
        <v/>
      </c>
      <c r="F371" s="21" t="str">
        <f>_xlfn.XLOOKUP(A371,'Prior Month'!A:A,'Prior Month'!I:I,"")</f>
        <v/>
      </c>
      <c r="G371" s="18" t="str">
        <f>_xlfn.XLOOKUP(A371,'Year end 2024'!A:A,'Year end 2024'!I:I,"")</f>
        <v/>
      </c>
      <c r="H371" s="19">
        <f>_xlfn.XLOOKUP(A371,'Current Month'!A:A,'Current Month'!E:E,0,0)</f>
        <v>6099164.6500000004</v>
      </c>
      <c r="I371" s="32">
        <f>_xlfn.XLOOKUP(A371,'Prior Month'!A:A,'Prior Month'!E:E,0,0)</f>
        <v>6596795.54</v>
      </c>
      <c r="J371" s="32">
        <f>_xlfn.XLOOKUP(A371,'Year end 2024'!A:A,'Year end 2024'!E:E,0,0)</f>
        <v>7872948.9699999997</v>
      </c>
      <c r="K371" s="14">
        <f t="shared" si="10"/>
        <v>-497630.88999999966</v>
      </c>
      <c r="L371" s="14">
        <f t="shared" si="11"/>
        <v>-1773784.3199999994</v>
      </c>
    </row>
    <row r="372" spans="1:12" ht="35.15" customHeight="1" x14ac:dyDescent="0.4">
      <c r="A372" s="11" t="s">
        <v>809</v>
      </c>
      <c r="B372" s="11" t="s">
        <v>810</v>
      </c>
      <c r="C372" s="11" t="s">
        <v>77</v>
      </c>
      <c r="D372" s="11" t="s">
        <v>76</v>
      </c>
      <c r="E372" s="18" t="str">
        <f>_xlfn.XLOOKUP(A372,'Current Month'!A:A,'Current Month'!I:I,"")</f>
        <v/>
      </c>
      <c r="F372" s="21" t="str">
        <f>_xlfn.XLOOKUP(A372,'Prior Month'!A:A,'Prior Month'!I:I,"")</f>
        <v/>
      </c>
      <c r="G372" s="18" t="str">
        <f>_xlfn.XLOOKUP(A372,'Year end 2024'!A:A,'Year end 2024'!I:I,"")</f>
        <v/>
      </c>
      <c r="H372" s="19">
        <f>_xlfn.XLOOKUP(A372,'Current Month'!A:A,'Current Month'!E:E,0,0)</f>
        <v>122073.02</v>
      </c>
      <c r="I372" s="32">
        <f>_xlfn.XLOOKUP(A372,'Prior Month'!A:A,'Prior Month'!E:E,0,0)</f>
        <v>196661.97</v>
      </c>
      <c r="J372" s="32">
        <f>_xlfn.XLOOKUP(A372,'Year end 2024'!A:A,'Year end 2024'!E:E,0,0)</f>
        <v>239686.25</v>
      </c>
      <c r="K372" s="14">
        <f t="shared" si="10"/>
        <v>-74588.95</v>
      </c>
      <c r="L372" s="14">
        <f t="shared" si="11"/>
        <v>-117613.23</v>
      </c>
    </row>
    <row r="373" spans="1:12" ht="35.15" customHeight="1" x14ac:dyDescent="0.4">
      <c r="A373" s="11" t="s">
        <v>811</v>
      </c>
      <c r="B373" s="11" t="s">
        <v>812</v>
      </c>
      <c r="C373" s="11" t="s">
        <v>19</v>
      </c>
      <c r="D373" s="11" t="s">
        <v>18</v>
      </c>
      <c r="E373" s="18" t="str">
        <f>_xlfn.XLOOKUP(A373,'Current Month'!A:A,'Current Month'!I:I,"")</f>
        <v/>
      </c>
      <c r="F373" s="21" t="str">
        <f>_xlfn.XLOOKUP(A373,'Prior Month'!A:A,'Prior Month'!I:I,"")</f>
        <v/>
      </c>
      <c r="G373" s="18" t="str">
        <f>_xlfn.XLOOKUP(A373,'Year end 2024'!A:A,'Year end 2024'!I:I,"")</f>
        <v/>
      </c>
      <c r="H373" s="19">
        <f>_xlfn.XLOOKUP(A373,'Current Month'!A:A,'Current Month'!E:E,0,0)</f>
        <v>3266.79</v>
      </c>
      <c r="I373" s="32">
        <f>_xlfn.XLOOKUP(A373,'Prior Month'!A:A,'Prior Month'!E:E,0,0)</f>
        <v>8023.75</v>
      </c>
      <c r="J373" s="32">
        <f>_xlfn.XLOOKUP(A373,'Year end 2024'!A:A,'Year end 2024'!E:E,0,0)</f>
        <v>878.3</v>
      </c>
      <c r="K373" s="14">
        <f t="shared" si="10"/>
        <v>-4756.96</v>
      </c>
      <c r="L373" s="14">
        <f t="shared" si="11"/>
        <v>2388.4899999999998</v>
      </c>
    </row>
    <row r="374" spans="1:12" ht="35.15" customHeight="1" x14ac:dyDescent="0.4">
      <c r="A374" s="11" t="s">
        <v>813</v>
      </c>
      <c r="B374" s="11" t="s">
        <v>814</v>
      </c>
      <c r="C374" s="11" t="s">
        <v>73</v>
      </c>
      <c r="D374" s="11" t="s">
        <v>72</v>
      </c>
      <c r="E374" s="18">
        <f>_xlfn.XLOOKUP(A374,'Current Month'!A:A,'Current Month'!I:I,"")</f>
        <v>8.3991304347826087E-3</v>
      </c>
      <c r="F374" s="21">
        <f>_xlfn.XLOOKUP(A374,'Prior Month'!A:A,'Prior Month'!I:I,"")</f>
        <v>2.089359420289855E-2</v>
      </c>
      <c r="G374" s="18">
        <f>_xlfn.XLOOKUP(A374,'Year end 2024'!A:A,'Year end 2024'!I:I,"")</f>
        <v>2.9593971014492754E-2</v>
      </c>
      <c r="H374" s="19">
        <f>_xlfn.XLOOKUP(A374,'Current Month'!A:A,'Current Month'!E:E,0,0)</f>
        <v>2897.7</v>
      </c>
      <c r="I374" s="32">
        <f>_xlfn.XLOOKUP(A374,'Prior Month'!A:A,'Prior Month'!E:E,0,0)</f>
        <v>7208.29</v>
      </c>
      <c r="J374" s="32">
        <f>_xlfn.XLOOKUP(A374,'Year end 2024'!A:A,'Year end 2024'!E:E,0,0)</f>
        <v>10209.92</v>
      </c>
      <c r="K374" s="14">
        <f t="shared" si="10"/>
        <v>-4310.59</v>
      </c>
      <c r="L374" s="14">
        <f t="shared" si="11"/>
        <v>-7312.22</v>
      </c>
    </row>
    <row r="375" spans="1:12" ht="35.15" customHeight="1" x14ac:dyDescent="0.4">
      <c r="A375" s="11" t="s">
        <v>815</v>
      </c>
      <c r="B375" s="11" t="s">
        <v>816</v>
      </c>
      <c r="C375" s="11" t="s">
        <v>67</v>
      </c>
      <c r="D375" s="11" t="s">
        <v>66</v>
      </c>
      <c r="E375" s="18" t="str">
        <f>_xlfn.XLOOKUP(A375,'Current Month'!A:A,'Current Month'!I:I,"")</f>
        <v/>
      </c>
      <c r="F375" s="21" t="str">
        <f>_xlfn.XLOOKUP(A375,'Prior Month'!A:A,'Prior Month'!I:I,"")</f>
        <v/>
      </c>
      <c r="G375" s="18" t="str">
        <f>_xlfn.XLOOKUP(A375,'Year end 2024'!A:A,'Year end 2024'!I:I,"")</f>
        <v/>
      </c>
      <c r="H375" s="19">
        <f>_xlfn.XLOOKUP(A375,'Current Month'!A:A,'Current Month'!E:E,0,0)</f>
        <v>302052.46000000002</v>
      </c>
      <c r="I375" s="32">
        <f>_xlfn.XLOOKUP(A375,'Prior Month'!A:A,'Prior Month'!E:E,0,0)</f>
        <v>267413.08</v>
      </c>
      <c r="J375" s="32">
        <f>_xlfn.XLOOKUP(A375,'Year end 2024'!A:A,'Year end 2024'!E:E,0,0)</f>
        <v>359172.08</v>
      </c>
      <c r="K375" s="14">
        <f t="shared" si="10"/>
        <v>34639.380000000005</v>
      </c>
      <c r="L375" s="14">
        <f t="shared" si="11"/>
        <v>-57119.619999999995</v>
      </c>
    </row>
    <row r="376" spans="1:12" ht="35.15" customHeight="1" x14ac:dyDescent="0.4">
      <c r="A376" s="11" t="s">
        <v>817</v>
      </c>
      <c r="B376" s="11" t="s">
        <v>818</v>
      </c>
      <c r="C376" s="11" t="s">
        <v>19</v>
      </c>
      <c r="D376" s="11" t="s">
        <v>18</v>
      </c>
      <c r="E376" s="18" t="str">
        <f>_xlfn.XLOOKUP(A376,'Current Month'!A:A,'Current Month'!I:I,"")</f>
        <v/>
      </c>
      <c r="F376" s="21" t="str">
        <f>_xlfn.XLOOKUP(A376,'Prior Month'!A:A,'Prior Month'!I:I,"")</f>
        <v/>
      </c>
      <c r="G376" s="18" t="str">
        <f>_xlfn.XLOOKUP(A376,'Year end 2024'!A:A,'Year end 2024'!I:I,"")</f>
        <v/>
      </c>
      <c r="H376" s="19">
        <f>_xlfn.XLOOKUP(A376,'Current Month'!A:A,'Current Month'!E:E,0,0)</f>
        <v>22362.959999999999</v>
      </c>
      <c r="I376" s="32">
        <f>_xlfn.XLOOKUP(A376,'Prior Month'!A:A,'Prior Month'!E:E,0,0)</f>
        <v>22362.959999999999</v>
      </c>
      <c r="J376" s="32">
        <f>_xlfn.XLOOKUP(A376,'Year end 2024'!A:A,'Year end 2024'!E:E,0,0)</f>
        <v>314594.21999999997</v>
      </c>
      <c r="K376" s="14">
        <f t="shared" si="10"/>
        <v>0</v>
      </c>
      <c r="L376" s="14">
        <f t="shared" si="11"/>
        <v>-292231.25999999995</v>
      </c>
    </row>
    <row r="377" spans="1:12" ht="35.15" customHeight="1" x14ac:dyDescent="0.4">
      <c r="A377" s="11" t="s">
        <v>819</v>
      </c>
      <c r="B377" s="11" t="s">
        <v>820</v>
      </c>
      <c r="C377" s="11" t="s">
        <v>19</v>
      </c>
      <c r="D377" s="11" t="s">
        <v>18</v>
      </c>
      <c r="E377" s="18" t="str">
        <f>_xlfn.XLOOKUP(A377,'Current Month'!A:A,'Current Month'!I:I,"")</f>
        <v/>
      </c>
      <c r="F377" s="21" t="str">
        <f>_xlfn.XLOOKUP(A377,'Prior Month'!A:A,'Prior Month'!I:I,"")</f>
        <v/>
      </c>
      <c r="G377" s="18" t="str">
        <f>_xlfn.XLOOKUP(A377,'Year end 2024'!A:A,'Year end 2024'!I:I,"")</f>
        <v/>
      </c>
      <c r="H377" s="19">
        <f>_xlfn.XLOOKUP(A377,'Current Month'!A:A,'Current Month'!E:E,0,0)</f>
        <v>293846.62</v>
      </c>
      <c r="I377" s="32">
        <f>_xlfn.XLOOKUP(A377,'Prior Month'!A:A,'Prior Month'!E:E,0,0)</f>
        <v>172044.58</v>
      </c>
      <c r="J377" s="32">
        <f>_xlfn.XLOOKUP(A377,'Year end 2024'!A:A,'Year end 2024'!E:E,0,0)</f>
        <v>66234.02</v>
      </c>
      <c r="K377" s="14">
        <f t="shared" si="10"/>
        <v>121802.04000000001</v>
      </c>
      <c r="L377" s="14">
        <f t="shared" si="11"/>
        <v>227612.59999999998</v>
      </c>
    </row>
    <row r="378" spans="1:12" ht="35.15" customHeight="1" x14ac:dyDescent="0.4">
      <c r="A378" s="11" t="s">
        <v>821</v>
      </c>
      <c r="B378" s="11" t="s">
        <v>822</v>
      </c>
      <c r="C378" s="11" t="s">
        <v>19</v>
      </c>
      <c r="D378" s="11" t="s">
        <v>18</v>
      </c>
      <c r="E378" s="18" t="str">
        <f>_xlfn.XLOOKUP(A378,'Current Month'!A:A,'Current Month'!I:I,"")</f>
        <v/>
      </c>
      <c r="F378" s="21" t="str">
        <f>_xlfn.XLOOKUP(A378,'Prior Month'!A:A,'Prior Month'!I:I,"")</f>
        <v/>
      </c>
      <c r="G378" s="18" t="str">
        <f>_xlfn.XLOOKUP(A378,'Year end 2024'!A:A,'Year end 2024'!I:I,"")</f>
        <v/>
      </c>
      <c r="H378" s="19">
        <f>_xlfn.XLOOKUP(A378,'Current Month'!A:A,'Current Month'!E:E,0,0)</f>
        <v>203822.07</v>
      </c>
      <c r="I378" s="32">
        <f>_xlfn.XLOOKUP(A378,'Prior Month'!A:A,'Prior Month'!E:E,0,0)</f>
        <v>206844.33</v>
      </c>
      <c r="J378" s="32">
        <f>_xlfn.XLOOKUP(A378,'Year end 2024'!A:A,'Year end 2024'!E:E,0,0)</f>
        <v>219869.04</v>
      </c>
      <c r="K378" s="14">
        <f t="shared" si="10"/>
        <v>-3022.2599999999802</v>
      </c>
      <c r="L378" s="14">
        <f t="shared" si="11"/>
        <v>-16046.970000000001</v>
      </c>
    </row>
    <row r="379" spans="1:12" ht="35.15" customHeight="1" x14ac:dyDescent="0.4">
      <c r="A379" s="11" t="s">
        <v>823</v>
      </c>
      <c r="B379" s="11" t="s">
        <v>824</v>
      </c>
      <c r="C379" s="11" t="s">
        <v>11</v>
      </c>
      <c r="D379" s="11" t="s">
        <v>10</v>
      </c>
      <c r="E379" s="18">
        <f>_xlfn.XLOOKUP(A379,'Current Month'!A:A,'Current Month'!I:I,"")</f>
        <v>74.108126560000002</v>
      </c>
      <c r="F379" s="21">
        <f>_xlfn.XLOOKUP(A379,'Prior Month'!A:A,'Prior Month'!I:I,"")</f>
        <v>45.471128</v>
      </c>
      <c r="G379" s="18" t="str">
        <f>_xlfn.XLOOKUP(A379,'Year end 2024'!A:A,'Year end 2024'!I:I,"")</f>
        <v/>
      </c>
      <c r="H379" s="19">
        <f>_xlfn.XLOOKUP(A379,'Current Month'!A:A,'Current Month'!E:E,0,0)</f>
        <v>166743284.75999999</v>
      </c>
      <c r="I379" s="32">
        <f>_xlfn.XLOOKUP(A379,'Prior Month'!A:A,'Prior Month'!E:E,0,0)</f>
        <v>102310038</v>
      </c>
      <c r="J379" s="32">
        <f>_xlfn.XLOOKUP(A379,'Year end 2024'!A:A,'Year end 2024'!E:E,0,0)</f>
        <v>43913379</v>
      </c>
      <c r="K379" s="14">
        <f t="shared" si="10"/>
        <v>64433246.75999999</v>
      </c>
      <c r="L379" s="14">
        <f t="shared" si="11"/>
        <v>122829905.75999999</v>
      </c>
    </row>
    <row r="380" spans="1:12" ht="35.15" customHeight="1" x14ac:dyDescent="0.4">
      <c r="A380" s="11" t="s">
        <v>825</v>
      </c>
      <c r="B380" s="11" t="s">
        <v>826</v>
      </c>
      <c r="C380" s="11" t="s">
        <v>57</v>
      </c>
      <c r="D380" s="11" t="s">
        <v>56</v>
      </c>
      <c r="E380" s="18" t="str">
        <f>_xlfn.XLOOKUP(A380,'Current Month'!A:A,'Current Month'!I:I,"")</f>
        <v/>
      </c>
      <c r="F380" s="21" t="str">
        <f>_xlfn.XLOOKUP(A380,'Prior Month'!A:A,'Prior Month'!I:I,"")</f>
        <v/>
      </c>
      <c r="G380" s="18" t="str">
        <f>_xlfn.XLOOKUP(A380,'Year end 2024'!A:A,'Year end 2024'!I:I,"")</f>
        <v/>
      </c>
      <c r="H380" s="19">
        <f>_xlfn.XLOOKUP(A380,'Current Month'!A:A,'Current Month'!E:E,0,0)</f>
        <v>207708.41</v>
      </c>
      <c r="I380" s="32">
        <f>_xlfn.XLOOKUP(A380,'Prior Month'!A:A,'Prior Month'!E:E,0,0)</f>
        <v>162450.81</v>
      </c>
      <c r="J380" s="32">
        <f>_xlfn.XLOOKUP(A380,'Year end 2024'!A:A,'Year end 2024'!E:E,0,0)</f>
        <v>134012.9</v>
      </c>
      <c r="K380" s="14">
        <f t="shared" si="10"/>
        <v>45257.600000000006</v>
      </c>
      <c r="L380" s="14">
        <f t="shared" si="11"/>
        <v>73695.510000000009</v>
      </c>
    </row>
    <row r="381" spans="1:12" ht="35.15" customHeight="1" x14ac:dyDescent="0.4">
      <c r="A381" s="11" t="s">
        <v>827</v>
      </c>
      <c r="B381" s="11" t="s">
        <v>828</v>
      </c>
      <c r="C381" s="11" t="s">
        <v>109</v>
      </c>
      <c r="D381" s="11" t="s">
        <v>108</v>
      </c>
      <c r="E381" s="18" t="str">
        <f>_xlfn.XLOOKUP(A381,'Current Month'!A:A,'Current Month'!I:I,"")</f>
        <v/>
      </c>
      <c r="F381" s="21" t="str">
        <f>_xlfn.XLOOKUP(A381,'Prior Month'!A:A,'Prior Month'!I:I,"")</f>
        <v/>
      </c>
      <c r="G381" s="18" t="str">
        <f>_xlfn.XLOOKUP(A381,'Year end 2024'!A:A,'Year end 2024'!I:I,"")</f>
        <v/>
      </c>
      <c r="H381" s="19">
        <f>_xlfn.XLOOKUP(A381,'Current Month'!A:A,'Current Month'!E:E,0,0)</f>
        <v>86288.94</v>
      </c>
      <c r="I381" s="32">
        <f>_xlfn.XLOOKUP(A381,'Prior Month'!A:A,'Prior Month'!E:E,0,0)</f>
        <v>97902.39</v>
      </c>
      <c r="J381" s="32">
        <f>_xlfn.XLOOKUP(A381,'Year end 2024'!A:A,'Year end 2024'!E:E,0,0)</f>
        <v>370566.47</v>
      </c>
      <c r="K381" s="14">
        <f t="shared" ref="K381:K444" si="12">IFERROR(SUM(H381-I381),H381)</f>
        <v>-11613.449999999997</v>
      </c>
      <c r="L381" s="14">
        <f t="shared" ref="L381:L444" si="13">IFERROR(SUM(H381-J381),H381)</f>
        <v>-284277.52999999997</v>
      </c>
    </row>
    <row r="382" spans="1:12" ht="35.15" customHeight="1" x14ac:dyDescent="0.4">
      <c r="A382" s="11" t="s">
        <v>829</v>
      </c>
      <c r="B382" s="11" t="s">
        <v>830</v>
      </c>
      <c r="C382" s="11" t="s">
        <v>77</v>
      </c>
      <c r="D382" s="11" t="s">
        <v>76</v>
      </c>
      <c r="E382" s="18" t="str">
        <f>_xlfn.XLOOKUP(A382,'Current Month'!A:A,'Current Month'!I:I,"")</f>
        <v/>
      </c>
      <c r="F382" s="21" t="str">
        <f>_xlfn.XLOOKUP(A382,'Prior Month'!A:A,'Prior Month'!I:I,"")</f>
        <v/>
      </c>
      <c r="G382" s="18" t="str">
        <f>_xlfn.XLOOKUP(A382,'Year end 2024'!A:A,'Year end 2024'!I:I,"")</f>
        <v/>
      </c>
      <c r="H382" s="19">
        <f>_xlfn.XLOOKUP(A382,'Current Month'!A:A,'Current Month'!E:E,0,0)</f>
        <v>341210.32</v>
      </c>
      <c r="I382" s="32">
        <f>_xlfn.XLOOKUP(A382,'Prior Month'!A:A,'Prior Month'!E:E,0,0)</f>
        <v>356298.49</v>
      </c>
      <c r="J382" s="32">
        <f>_xlfn.XLOOKUP(A382,'Year end 2024'!A:A,'Year end 2024'!E:E,0,0)</f>
        <v>219252.17</v>
      </c>
      <c r="K382" s="14">
        <f t="shared" si="12"/>
        <v>-15088.169999999984</v>
      </c>
      <c r="L382" s="14">
        <f t="shared" si="13"/>
        <v>121958.15</v>
      </c>
    </row>
    <row r="383" spans="1:12" ht="35.15" customHeight="1" x14ac:dyDescent="0.4">
      <c r="A383" s="11" t="s">
        <v>831</v>
      </c>
      <c r="B383" s="11" t="s">
        <v>832</v>
      </c>
      <c r="C383" s="11" t="s">
        <v>19</v>
      </c>
      <c r="D383" s="11" t="s">
        <v>18</v>
      </c>
      <c r="E383" s="18" t="str">
        <f>_xlfn.XLOOKUP(A383,'Current Month'!A:A,'Current Month'!I:I,"")</f>
        <v/>
      </c>
      <c r="F383" s="21" t="str">
        <f>_xlfn.XLOOKUP(A383,'Prior Month'!A:A,'Prior Month'!I:I,"")</f>
        <v/>
      </c>
      <c r="G383" s="18">
        <f>_xlfn.XLOOKUP(A383,'Year end 2024'!A:A,'Year end 2024'!I:I,"")</f>
        <v>55.488282593232881</v>
      </c>
      <c r="H383" s="19">
        <f>_xlfn.XLOOKUP(A383,'Current Month'!A:A,'Current Month'!E:E,0,0)</f>
        <v>144776.10999999999</v>
      </c>
      <c r="I383" s="32">
        <f>_xlfn.XLOOKUP(A383,'Prior Month'!A:A,'Prior Month'!E:E,0,0)</f>
        <v>144919.25</v>
      </c>
      <c r="J383" s="32">
        <f>_xlfn.XLOOKUP(A383,'Year end 2024'!A:A,'Year end 2024'!E:E,0,0)</f>
        <v>117796.63</v>
      </c>
      <c r="K383" s="14">
        <f t="shared" si="12"/>
        <v>-143.14000000001397</v>
      </c>
      <c r="L383" s="14">
        <f t="shared" si="13"/>
        <v>26979.479999999981</v>
      </c>
    </row>
    <row r="384" spans="1:12" ht="35.15" customHeight="1" x14ac:dyDescent="0.4">
      <c r="A384" s="11" t="s">
        <v>833</v>
      </c>
      <c r="B384" s="11" t="s">
        <v>834</v>
      </c>
      <c r="C384" s="11" t="s">
        <v>57</v>
      </c>
      <c r="D384" s="11" t="s">
        <v>56</v>
      </c>
      <c r="E384" s="18" t="str">
        <f>_xlfn.XLOOKUP(A384,'Current Month'!A:A,'Current Month'!I:I,"")</f>
        <v/>
      </c>
      <c r="F384" s="21" t="str">
        <f>_xlfn.XLOOKUP(A384,'Prior Month'!A:A,'Prior Month'!I:I,"")</f>
        <v/>
      </c>
      <c r="G384" s="18" t="str">
        <f>_xlfn.XLOOKUP(A384,'Year end 2024'!A:A,'Year end 2024'!I:I,"")</f>
        <v/>
      </c>
      <c r="H384" s="19">
        <f>_xlfn.XLOOKUP(A384,'Current Month'!A:A,'Current Month'!E:E,0,0)</f>
        <v>56281.56</v>
      </c>
      <c r="I384" s="32">
        <f>_xlfn.XLOOKUP(A384,'Prior Month'!A:A,'Prior Month'!E:E,0,0)</f>
        <v>91634.25</v>
      </c>
      <c r="J384" s="32">
        <f>_xlfn.XLOOKUP(A384,'Year end 2024'!A:A,'Year end 2024'!E:E,0,0)</f>
        <v>65110.1</v>
      </c>
      <c r="K384" s="14">
        <f t="shared" si="12"/>
        <v>-35352.69</v>
      </c>
      <c r="L384" s="14">
        <f t="shared" si="13"/>
        <v>-8828.5400000000009</v>
      </c>
    </row>
    <row r="385" spans="1:12" ht="35.15" customHeight="1" x14ac:dyDescent="0.4">
      <c r="A385" s="11" t="s">
        <v>835</v>
      </c>
      <c r="B385" s="11" t="s">
        <v>836</v>
      </c>
      <c r="C385" s="11" t="s">
        <v>19</v>
      </c>
      <c r="D385" s="11" t="s">
        <v>18</v>
      </c>
      <c r="E385" s="18" t="str">
        <f>_xlfn.XLOOKUP(A385,'Current Month'!A:A,'Current Month'!I:I,"")</f>
        <v/>
      </c>
      <c r="F385" s="21" t="str">
        <f>_xlfn.XLOOKUP(A385,'Prior Month'!A:A,'Prior Month'!I:I,"")</f>
        <v/>
      </c>
      <c r="G385" s="18" t="str">
        <f>_xlfn.XLOOKUP(A385,'Year end 2024'!A:A,'Year end 2024'!I:I,"")</f>
        <v/>
      </c>
      <c r="H385" s="19">
        <f>_xlfn.XLOOKUP(A385,'Current Month'!A:A,'Current Month'!E:E,0,0)</f>
        <v>215691.53</v>
      </c>
      <c r="I385" s="32">
        <f>_xlfn.XLOOKUP(A385,'Prior Month'!A:A,'Prior Month'!E:E,0,0)</f>
        <v>193253.21</v>
      </c>
      <c r="J385" s="32">
        <f>_xlfn.XLOOKUP(A385,'Year end 2024'!A:A,'Year end 2024'!E:E,0,0)</f>
        <v>201810.17</v>
      </c>
      <c r="K385" s="14">
        <f t="shared" si="12"/>
        <v>22438.320000000007</v>
      </c>
      <c r="L385" s="14">
        <f t="shared" si="13"/>
        <v>13881.359999999986</v>
      </c>
    </row>
    <row r="386" spans="1:12" ht="35.15" customHeight="1" x14ac:dyDescent="0.4">
      <c r="A386" s="11" t="s">
        <v>837</v>
      </c>
      <c r="B386" s="11" t="s">
        <v>838</v>
      </c>
      <c r="C386" s="11" t="s">
        <v>11</v>
      </c>
      <c r="D386" s="11" t="s">
        <v>10</v>
      </c>
      <c r="E386" s="18" t="str">
        <f>_xlfn.XLOOKUP(A386,'Current Month'!A:A,'Current Month'!I:I,"")</f>
        <v/>
      </c>
      <c r="F386" s="21" t="str">
        <f>_xlfn.XLOOKUP(A386,'Prior Month'!A:A,'Prior Month'!I:I,"")</f>
        <v/>
      </c>
      <c r="G386" s="18" t="str">
        <f>_xlfn.XLOOKUP(A386,'Year end 2024'!A:A,'Year end 2024'!I:I,"")</f>
        <v/>
      </c>
      <c r="H386" s="19">
        <f>_xlfn.XLOOKUP(A386,'Current Month'!A:A,'Current Month'!E:E,0,0)</f>
        <v>10151681.02</v>
      </c>
      <c r="I386" s="32">
        <f>_xlfn.XLOOKUP(A386,'Prior Month'!A:A,'Prior Month'!E:E,0,0)</f>
        <v>7662342.9199999999</v>
      </c>
      <c r="J386" s="32">
        <f>_xlfn.XLOOKUP(A386,'Year end 2024'!A:A,'Year end 2024'!E:E,0,0)</f>
        <v>3579892.31</v>
      </c>
      <c r="K386" s="14">
        <f t="shared" si="12"/>
        <v>2489338.0999999996</v>
      </c>
      <c r="L386" s="14">
        <f t="shared" si="13"/>
        <v>6571788.709999999</v>
      </c>
    </row>
    <row r="387" spans="1:12" ht="35.15" customHeight="1" x14ac:dyDescent="0.4">
      <c r="A387" s="11" t="s">
        <v>839</v>
      </c>
      <c r="B387" s="11" t="s">
        <v>840</v>
      </c>
      <c r="C387" s="11" t="s">
        <v>51</v>
      </c>
      <c r="D387" s="11" t="s">
        <v>50</v>
      </c>
      <c r="E387" s="18" t="str">
        <f>_xlfn.XLOOKUP(A387,'Current Month'!A:A,'Current Month'!I:I,"")</f>
        <v/>
      </c>
      <c r="F387" s="21" t="str">
        <f>_xlfn.XLOOKUP(A387,'Prior Month'!A:A,'Prior Month'!I:I,"")</f>
        <v/>
      </c>
      <c r="G387" s="18" t="str">
        <f>_xlfn.XLOOKUP(A387,'Year end 2024'!A:A,'Year end 2024'!I:I,"")</f>
        <v/>
      </c>
      <c r="H387" s="19">
        <f>_xlfn.XLOOKUP(A387,'Current Month'!A:A,'Current Month'!E:E,0,0)</f>
        <v>819461.43</v>
      </c>
      <c r="I387" s="32">
        <f>_xlfn.XLOOKUP(A387,'Prior Month'!A:A,'Prior Month'!E:E,0,0)</f>
        <v>716026.98</v>
      </c>
      <c r="J387" s="32">
        <f>_xlfn.XLOOKUP(A387,'Year end 2024'!A:A,'Year end 2024'!E:E,0,0)</f>
        <v>703366.68</v>
      </c>
      <c r="K387" s="14">
        <f t="shared" si="12"/>
        <v>103434.45000000007</v>
      </c>
      <c r="L387" s="14">
        <f t="shared" si="13"/>
        <v>116094.75</v>
      </c>
    </row>
    <row r="388" spans="1:12" ht="35.15" customHeight="1" x14ac:dyDescent="0.4">
      <c r="A388" s="11" t="s">
        <v>841</v>
      </c>
      <c r="B388" s="11" t="s">
        <v>842</v>
      </c>
      <c r="C388" s="11" t="s">
        <v>253</v>
      </c>
      <c r="D388" s="11" t="s">
        <v>252</v>
      </c>
      <c r="E388" s="18">
        <f>_xlfn.XLOOKUP(A388,'Current Month'!A:A,'Current Month'!I:I,"")</f>
        <v>4.8297559590615741E-2</v>
      </c>
      <c r="F388" s="21">
        <f>_xlfn.XLOOKUP(A388,'Prior Month'!A:A,'Prior Month'!I:I,"")</f>
        <v>4.8738798137704986E-2</v>
      </c>
      <c r="G388" s="18">
        <f>_xlfn.XLOOKUP(A388,'Year end 2024'!A:A,'Year end 2024'!I:I,"")</f>
        <v>6.2785936835954376E-2</v>
      </c>
      <c r="H388" s="19">
        <f>_xlfn.XLOOKUP(A388,'Current Month'!A:A,'Current Month'!E:E,0,0)</f>
        <v>183991.66</v>
      </c>
      <c r="I388" s="32">
        <f>_xlfn.XLOOKUP(A388,'Prior Month'!A:A,'Prior Month'!E:E,0,0)</f>
        <v>186287.55</v>
      </c>
      <c r="J388" s="32">
        <f>_xlfn.XLOOKUP(A388,'Year end 2024'!A:A,'Year end 2024'!E:E,0,0)</f>
        <v>246186.22</v>
      </c>
      <c r="K388" s="14">
        <f t="shared" si="12"/>
        <v>-2295.8899999999849</v>
      </c>
      <c r="L388" s="14">
        <f t="shared" si="13"/>
        <v>-62194.559999999998</v>
      </c>
    </row>
    <row r="389" spans="1:12" ht="35.15" customHeight="1" x14ac:dyDescent="0.4">
      <c r="A389" s="11" t="s">
        <v>843</v>
      </c>
      <c r="B389" s="11" t="s">
        <v>844</v>
      </c>
      <c r="C389" s="11" t="s">
        <v>67</v>
      </c>
      <c r="D389" s="11" t="s">
        <v>66</v>
      </c>
      <c r="E389" s="18" t="str">
        <f>_xlfn.XLOOKUP(A389,'Current Month'!A:A,'Current Month'!I:I,"")</f>
        <v/>
      </c>
      <c r="F389" s="21" t="str">
        <f>_xlfn.XLOOKUP(A389,'Prior Month'!A:A,'Prior Month'!I:I,"")</f>
        <v/>
      </c>
      <c r="G389" s="18" t="str">
        <f>_xlfn.XLOOKUP(A389,'Year end 2024'!A:A,'Year end 2024'!I:I,"")</f>
        <v/>
      </c>
      <c r="H389" s="19">
        <f>_xlfn.XLOOKUP(A389,'Current Month'!A:A,'Current Month'!E:E,0,0)</f>
        <v>716301.83</v>
      </c>
      <c r="I389" s="32">
        <f>_xlfn.XLOOKUP(A389,'Prior Month'!A:A,'Prior Month'!E:E,0,0)</f>
        <v>612855.09</v>
      </c>
      <c r="J389" s="32">
        <f>_xlfn.XLOOKUP(A389,'Year end 2024'!A:A,'Year end 2024'!E:E,0,0)</f>
        <v>446131.88</v>
      </c>
      <c r="K389" s="14">
        <f t="shared" si="12"/>
        <v>103446.73999999999</v>
      </c>
      <c r="L389" s="14">
        <f t="shared" si="13"/>
        <v>270169.94999999995</v>
      </c>
    </row>
    <row r="390" spans="1:12" ht="35.15" customHeight="1" x14ac:dyDescent="0.4">
      <c r="A390" s="11" t="s">
        <v>845</v>
      </c>
      <c r="B390" s="11" t="s">
        <v>846</v>
      </c>
      <c r="C390" s="11" t="s">
        <v>109</v>
      </c>
      <c r="D390" s="11" t="s">
        <v>108</v>
      </c>
      <c r="E390" s="18" t="str">
        <f>_xlfn.XLOOKUP(A390,'Current Month'!A:A,'Current Month'!I:I,"")</f>
        <v/>
      </c>
      <c r="F390" s="21" t="str">
        <f>_xlfn.XLOOKUP(A390,'Prior Month'!A:A,'Prior Month'!I:I,"")</f>
        <v/>
      </c>
      <c r="G390" s="18">
        <f>_xlfn.XLOOKUP(A390,'Year end 2024'!A:A,'Year end 2024'!I:I,"")</f>
        <v>6.746894331620382</v>
      </c>
      <c r="H390" s="19">
        <f>_xlfn.XLOOKUP(A390,'Current Month'!A:A,'Current Month'!E:E,0,0)</f>
        <v>3013071.2</v>
      </c>
      <c r="I390" s="32">
        <f>_xlfn.XLOOKUP(A390,'Prior Month'!A:A,'Prior Month'!E:E,0,0)</f>
        <v>3013766.65</v>
      </c>
      <c r="J390" s="32">
        <f>_xlfn.XLOOKUP(A390,'Year end 2024'!A:A,'Year end 2024'!E:E,0,0)</f>
        <v>1428665.13</v>
      </c>
      <c r="K390" s="14">
        <f t="shared" si="12"/>
        <v>-695.4499999997206</v>
      </c>
      <c r="L390" s="14">
        <f t="shared" si="13"/>
        <v>1584406.0700000003</v>
      </c>
    </row>
    <row r="391" spans="1:12" ht="35.15" customHeight="1" x14ac:dyDescent="0.4">
      <c r="A391" s="11" t="s">
        <v>18</v>
      </c>
      <c r="B391" s="11" t="s">
        <v>847</v>
      </c>
      <c r="C391" s="11" t="s">
        <v>41</v>
      </c>
      <c r="D391" s="11" t="s">
        <v>40</v>
      </c>
      <c r="E391" s="18" t="str">
        <f>_xlfn.XLOOKUP(A391,'Current Month'!A:A,'Current Month'!I:I,"")</f>
        <v/>
      </c>
      <c r="F391" s="21" t="str">
        <f>_xlfn.XLOOKUP(A391,'Prior Month'!A:A,'Prior Month'!I:I,"")</f>
        <v/>
      </c>
      <c r="G391" s="18" t="str">
        <f>_xlfn.XLOOKUP(A391,'Year end 2024'!A:A,'Year end 2024'!I:I,"")</f>
        <v/>
      </c>
      <c r="H391" s="19">
        <f>_xlfn.XLOOKUP(A391,'Current Month'!A:A,'Current Month'!E:E,0,0)</f>
        <v>32032.3</v>
      </c>
      <c r="I391" s="32">
        <f>_xlfn.XLOOKUP(A391,'Prior Month'!A:A,'Prior Month'!E:E,0,0)</f>
        <v>44236.9</v>
      </c>
      <c r="J391" s="32">
        <f>_xlfn.XLOOKUP(A391,'Year end 2024'!A:A,'Year end 2024'!E:E,0,0)</f>
        <v>13925.42</v>
      </c>
      <c r="K391" s="14">
        <f t="shared" si="12"/>
        <v>-12204.600000000002</v>
      </c>
      <c r="L391" s="14">
        <f t="shared" si="13"/>
        <v>18106.879999999997</v>
      </c>
    </row>
    <row r="392" spans="1:12" ht="35.15" customHeight="1" x14ac:dyDescent="0.4">
      <c r="A392" s="11" t="s">
        <v>848</v>
      </c>
      <c r="B392" s="11" t="s">
        <v>849</v>
      </c>
      <c r="C392" s="11" t="s">
        <v>77</v>
      </c>
      <c r="D392" s="11" t="s">
        <v>76</v>
      </c>
      <c r="E392" s="18" t="str">
        <f>_xlfn.XLOOKUP(A392,'Current Month'!A:A,'Current Month'!I:I,"")</f>
        <v/>
      </c>
      <c r="F392" s="21" t="str">
        <f>_xlfn.XLOOKUP(A392,'Prior Month'!A:A,'Prior Month'!I:I,"")</f>
        <v/>
      </c>
      <c r="G392" s="18" t="str">
        <f>_xlfn.XLOOKUP(A392,'Year end 2024'!A:A,'Year end 2024'!I:I,"")</f>
        <v/>
      </c>
      <c r="H392" s="19">
        <f>_xlfn.XLOOKUP(A392,'Current Month'!A:A,'Current Month'!E:E,0,0)</f>
        <v>40937.86</v>
      </c>
      <c r="I392" s="32">
        <f>_xlfn.XLOOKUP(A392,'Prior Month'!A:A,'Prior Month'!E:E,0,0)</f>
        <v>45760.6</v>
      </c>
      <c r="J392" s="32">
        <f>_xlfn.XLOOKUP(A392,'Year end 2024'!A:A,'Year end 2024'!E:E,0,0)</f>
        <v>37831.339999999997</v>
      </c>
      <c r="K392" s="14">
        <f t="shared" si="12"/>
        <v>-4822.739999999998</v>
      </c>
      <c r="L392" s="14">
        <f t="shared" si="13"/>
        <v>3106.5200000000041</v>
      </c>
    </row>
    <row r="393" spans="1:12" ht="35.15" customHeight="1" x14ac:dyDescent="0.4">
      <c r="A393" s="11" t="s">
        <v>850</v>
      </c>
      <c r="B393" s="11" t="s">
        <v>851</v>
      </c>
      <c r="C393" s="11" t="s">
        <v>213</v>
      </c>
      <c r="D393" s="11" t="s">
        <v>212</v>
      </c>
      <c r="E393" s="18">
        <f>_xlfn.XLOOKUP(A393,'Current Month'!A:A,'Current Month'!I:I,"")</f>
        <v>3.9115729093383818E-3</v>
      </c>
      <c r="F393" s="21">
        <f>_xlfn.XLOOKUP(A393,'Prior Month'!A:A,'Prior Month'!I:I,"")</f>
        <v>2.6441259518414018E-2</v>
      </c>
      <c r="G393" s="18">
        <f>_xlfn.XLOOKUP(A393,'Year end 2024'!A:A,'Year end 2024'!I:I,"")</f>
        <v>6.1389767216014522E-4</v>
      </c>
      <c r="H393" s="19">
        <f>_xlfn.XLOOKUP(A393,'Current Month'!A:A,'Current Month'!E:E,0,0)</f>
        <v>450.53</v>
      </c>
      <c r="I393" s="32">
        <f>_xlfn.XLOOKUP(A393,'Prior Month'!A:A,'Prior Month'!E:E,0,0)</f>
        <v>3219.35</v>
      </c>
      <c r="J393" s="32">
        <f>_xlfn.XLOOKUP(A393,'Year end 2024'!A:A,'Year end 2024'!E:E,0,0)</f>
        <v>90.27</v>
      </c>
      <c r="K393" s="14">
        <f t="shared" si="12"/>
        <v>-2768.8199999999997</v>
      </c>
      <c r="L393" s="14">
        <f t="shared" si="13"/>
        <v>360.26</v>
      </c>
    </row>
    <row r="394" spans="1:12" ht="35.15" customHeight="1" x14ac:dyDescent="0.4">
      <c r="A394" s="11" t="s">
        <v>852</v>
      </c>
      <c r="B394" s="11" t="s">
        <v>853</v>
      </c>
      <c r="C394" s="11" t="s">
        <v>19</v>
      </c>
      <c r="D394" s="11" t="s">
        <v>18</v>
      </c>
      <c r="E394" s="18">
        <f>_xlfn.XLOOKUP(A394,'Current Month'!A:A,'Current Month'!I:I,"")</f>
        <v>7.3937925714285715</v>
      </c>
      <c r="F394" s="21">
        <f>_xlfn.XLOOKUP(A394,'Prior Month'!A:A,'Prior Month'!I:I,"")</f>
        <v>8.5997514285714285</v>
      </c>
      <c r="G394" s="18">
        <f>_xlfn.XLOOKUP(A394,'Year end 2024'!A:A,'Year end 2024'!I:I,"")</f>
        <v>10.342057523809524</v>
      </c>
      <c r="H394" s="19">
        <f>_xlfn.XLOOKUP(A394,'Current Month'!A:A,'Current Month'!E:E,0,0)</f>
        <v>388174.11</v>
      </c>
      <c r="I394" s="32">
        <f>_xlfn.XLOOKUP(A394,'Prior Month'!A:A,'Prior Month'!E:E,0,0)</f>
        <v>451486.95</v>
      </c>
      <c r="J394" s="32">
        <f>_xlfn.XLOOKUP(A394,'Year end 2024'!A:A,'Year end 2024'!E:E,0,0)</f>
        <v>542958.02</v>
      </c>
      <c r="K394" s="14">
        <f t="shared" si="12"/>
        <v>-63312.840000000026</v>
      </c>
      <c r="L394" s="14">
        <f t="shared" si="13"/>
        <v>-154783.91000000003</v>
      </c>
    </row>
    <row r="395" spans="1:12" ht="35.15" customHeight="1" x14ac:dyDescent="0.4">
      <c r="A395" s="11" t="s">
        <v>854</v>
      </c>
      <c r="B395" s="11" t="s">
        <v>855</v>
      </c>
      <c r="C395" s="11" t="s">
        <v>19</v>
      </c>
      <c r="D395" s="11" t="s">
        <v>18</v>
      </c>
      <c r="E395" s="18" t="str">
        <f>_xlfn.XLOOKUP(A395,'Current Month'!A:A,'Current Month'!I:I,"")</f>
        <v/>
      </c>
      <c r="F395" s="21" t="str">
        <f>_xlfn.XLOOKUP(A395,'Prior Month'!A:A,'Prior Month'!I:I,"")</f>
        <v/>
      </c>
      <c r="G395" s="18" t="str">
        <f>_xlfn.XLOOKUP(A395,'Year end 2024'!A:A,'Year end 2024'!I:I,"")</f>
        <v/>
      </c>
      <c r="H395" s="19">
        <f>_xlfn.XLOOKUP(A395,'Current Month'!A:A,'Current Month'!E:E,0,0)</f>
        <v>127746.16</v>
      </c>
      <c r="I395" s="32">
        <f>_xlfn.XLOOKUP(A395,'Prior Month'!A:A,'Prior Month'!E:E,0,0)</f>
        <v>126387.5</v>
      </c>
      <c r="J395" s="32">
        <f>_xlfn.XLOOKUP(A395,'Year end 2024'!A:A,'Year end 2024'!E:E,0,0)</f>
        <v>215823.5</v>
      </c>
      <c r="K395" s="14">
        <f t="shared" si="12"/>
        <v>1358.6600000000035</v>
      </c>
      <c r="L395" s="14">
        <f t="shared" si="13"/>
        <v>-88077.34</v>
      </c>
    </row>
    <row r="396" spans="1:12" ht="35.15" customHeight="1" x14ac:dyDescent="0.4">
      <c r="A396" s="11" t="s">
        <v>856</v>
      </c>
      <c r="B396" s="11" t="s">
        <v>857</v>
      </c>
      <c r="C396" s="11" t="s">
        <v>67</v>
      </c>
      <c r="D396" s="11" t="s">
        <v>66</v>
      </c>
      <c r="E396" s="18">
        <f>_xlfn.XLOOKUP(A396,'Current Month'!A:A,'Current Month'!I:I,"")</f>
        <v>7.3591463109100082E-3</v>
      </c>
      <c r="F396" s="21">
        <f>_xlfn.XLOOKUP(A396,'Prior Month'!A:A,'Prior Month'!I:I,"")</f>
        <v>0.12390741753109279</v>
      </c>
      <c r="G396" s="18">
        <f>_xlfn.XLOOKUP(A396,'Year end 2024'!A:A,'Year end 2024'!I:I,"")</f>
        <v>1.0752754358258269E-3</v>
      </c>
      <c r="H396" s="19">
        <f>_xlfn.XLOOKUP(A396,'Current Month'!A:A,'Current Month'!E:E,0,0)</f>
        <v>408.29</v>
      </c>
      <c r="I396" s="32">
        <f>_xlfn.XLOOKUP(A396,'Prior Month'!A:A,'Prior Month'!E:E,0,0)</f>
        <v>7189.49</v>
      </c>
      <c r="J396" s="32">
        <f>_xlfn.XLOOKUP(A396,'Year end 2024'!A:A,'Year end 2024'!E:E,0,0)</f>
        <v>73.37</v>
      </c>
      <c r="K396" s="14">
        <f t="shared" si="12"/>
        <v>-6781.2</v>
      </c>
      <c r="L396" s="14">
        <f t="shared" si="13"/>
        <v>334.92</v>
      </c>
    </row>
    <row r="397" spans="1:12" ht="35.15" customHeight="1" x14ac:dyDescent="0.4">
      <c r="A397" s="11" t="s">
        <v>858</v>
      </c>
      <c r="B397" s="11" t="s">
        <v>859</v>
      </c>
      <c r="C397" s="11" t="s">
        <v>19</v>
      </c>
      <c r="D397" s="11" t="s">
        <v>18</v>
      </c>
      <c r="E397" s="18" t="str">
        <f>_xlfn.XLOOKUP(A397,'Current Month'!A:A,'Current Month'!I:I,"")</f>
        <v/>
      </c>
      <c r="F397" s="21" t="str">
        <f>_xlfn.XLOOKUP(A397,'Prior Month'!A:A,'Prior Month'!I:I,"")</f>
        <v/>
      </c>
      <c r="G397" s="18" t="str">
        <f>_xlfn.XLOOKUP(A397,'Year end 2024'!A:A,'Year end 2024'!I:I,"")</f>
        <v/>
      </c>
      <c r="H397" s="19">
        <f>_xlfn.XLOOKUP(A397,'Current Month'!A:A,'Current Month'!E:E,0,0)</f>
        <v>718792.97</v>
      </c>
      <c r="I397" s="32">
        <f>_xlfn.XLOOKUP(A397,'Prior Month'!A:A,'Prior Month'!E:E,0,0)</f>
        <v>740091.83</v>
      </c>
      <c r="J397" s="32">
        <f>_xlfn.XLOOKUP(A397,'Year end 2024'!A:A,'Year end 2024'!E:E,0,0)</f>
        <v>629846.67000000004</v>
      </c>
      <c r="K397" s="14">
        <f t="shared" si="12"/>
        <v>-21298.859999999986</v>
      </c>
      <c r="L397" s="14">
        <f t="shared" si="13"/>
        <v>88946.29999999993</v>
      </c>
    </row>
    <row r="398" spans="1:12" ht="35.15" customHeight="1" x14ac:dyDescent="0.4">
      <c r="A398" s="11" t="s">
        <v>860</v>
      </c>
      <c r="B398" s="11" t="s">
        <v>861</v>
      </c>
      <c r="C398" s="11" t="s">
        <v>213</v>
      </c>
      <c r="D398" s="11" t="s">
        <v>212</v>
      </c>
      <c r="E398" s="18">
        <f>_xlfn.XLOOKUP(A398,'Current Month'!A:A,'Current Month'!I:I,"")</f>
        <v>3.7580194782288259E-2</v>
      </c>
      <c r="F398" s="21">
        <f>_xlfn.XLOOKUP(A398,'Prior Month'!A:A,'Prior Month'!I:I,"")</f>
        <v>5.3291115610036965E-2</v>
      </c>
      <c r="G398" s="18">
        <f>_xlfn.XLOOKUP(A398,'Year end 2024'!A:A,'Year end 2024'!I:I,"")</f>
        <v>1.5294089251392719E-3</v>
      </c>
      <c r="H398" s="19">
        <f>_xlfn.XLOOKUP(A398,'Current Month'!A:A,'Current Month'!E:E,0,0)</f>
        <v>12890.33</v>
      </c>
      <c r="I398" s="32">
        <f>_xlfn.XLOOKUP(A398,'Prior Month'!A:A,'Prior Month'!E:E,0,0)</f>
        <v>18615.28</v>
      </c>
      <c r="J398" s="32">
        <f>_xlfn.XLOOKUP(A398,'Year end 2024'!A:A,'Year end 2024'!E:E,0,0)</f>
        <v>598.16999999999996</v>
      </c>
      <c r="K398" s="14">
        <f t="shared" si="12"/>
        <v>-5724.9499999999989</v>
      </c>
      <c r="L398" s="14">
        <f t="shared" si="13"/>
        <v>12292.16</v>
      </c>
    </row>
    <row r="399" spans="1:12" ht="35.15" customHeight="1" x14ac:dyDescent="0.4">
      <c r="A399" s="11" t="s">
        <v>862</v>
      </c>
      <c r="B399" s="11" t="s">
        <v>863</v>
      </c>
      <c r="C399" s="11" t="s">
        <v>33</v>
      </c>
      <c r="D399" s="11" t="s">
        <v>32</v>
      </c>
      <c r="E399" s="18" t="str">
        <f>_xlfn.XLOOKUP(A399,'Current Month'!A:A,'Current Month'!I:I,"")</f>
        <v/>
      </c>
      <c r="F399" s="21" t="str">
        <f>_xlfn.XLOOKUP(A399,'Prior Month'!A:A,'Prior Month'!I:I,"")</f>
        <v/>
      </c>
      <c r="G399" s="18" t="str">
        <f>_xlfn.XLOOKUP(A399,'Year end 2024'!A:A,'Year end 2024'!I:I,"")</f>
        <v/>
      </c>
      <c r="H399" s="19">
        <f>_xlfn.XLOOKUP(A399,'Current Month'!A:A,'Current Month'!E:E,0,0)</f>
        <v>22460.799999999999</v>
      </c>
      <c r="I399" s="32">
        <f>_xlfn.XLOOKUP(A399,'Prior Month'!A:A,'Prior Month'!E:E,0,0)</f>
        <v>82481.31</v>
      </c>
      <c r="J399" s="32">
        <f>_xlfn.XLOOKUP(A399,'Year end 2024'!A:A,'Year end 2024'!E:E,0,0)</f>
        <v>2040293.21</v>
      </c>
      <c r="K399" s="14">
        <f t="shared" si="12"/>
        <v>-60020.509999999995</v>
      </c>
      <c r="L399" s="14">
        <f t="shared" si="13"/>
        <v>-2017832.41</v>
      </c>
    </row>
    <row r="400" spans="1:12" ht="35.15" customHeight="1" x14ac:dyDescent="0.4">
      <c r="A400" s="11" t="s">
        <v>864</v>
      </c>
      <c r="B400" s="11" t="s">
        <v>865</v>
      </c>
      <c r="C400" s="11" t="s">
        <v>77</v>
      </c>
      <c r="D400" s="11" t="s">
        <v>76</v>
      </c>
      <c r="E400" s="18" t="str">
        <f>_xlfn.XLOOKUP(A400,'Current Month'!A:A,'Current Month'!I:I,"")</f>
        <v/>
      </c>
      <c r="F400" s="21" t="str">
        <f>_xlfn.XLOOKUP(A400,'Prior Month'!A:A,'Prior Month'!I:I,"")</f>
        <v/>
      </c>
      <c r="G400" s="18" t="str">
        <f>_xlfn.XLOOKUP(A400,'Year end 2024'!A:A,'Year end 2024'!I:I,"")</f>
        <v/>
      </c>
      <c r="H400" s="19">
        <f>_xlfn.XLOOKUP(A400,'Current Month'!A:A,'Current Month'!E:E,0,0)</f>
        <v>118890.46</v>
      </c>
      <c r="I400" s="32">
        <f>_xlfn.XLOOKUP(A400,'Prior Month'!A:A,'Prior Month'!E:E,0,0)</f>
        <v>166970.75</v>
      </c>
      <c r="J400" s="32">
        <f>_xlfn.XLOOKUP(A400,'Year end 2024'!A:A,'Year end 2024'!E:E,0,0)</f>
        <v>124310.99</v>
      </c>
      <c r="K400" s="14">
        <f t="shared" si="12"/>
        <v>-48080.289999999994</v>
      </c>
      <c r="L400" s="14">
        <f t="shared" si="13"/>
        <v>-5420.5299999999988</v>
      </c>
    </row>
    <row r="401" spans="1:12" ht="35.15" customHeight="1" x14ac:dyDescent="0.4">
      <c r="A401" s="11" t="s">
        <v>866</v>
      </c>
      <c r="B401" s="11" t="s">
        <v>867</v>
      </c>
      <c r="C401" s="11" t="s">
        <v>457</v>
      </c>
      <c r="D401" s="11" t="s">
        <v>456</v>
      </c>
      <c r="E401" s="18">
        <f>_xlfn.XLOOKUP(A401,'Current Month'!A:A,'Current Month'!I:I,"")</f>
        <v>0.29369072961744902</v>
      </c>
      <c r="F401" s="21">
        <f>_xlfn.XLOOKUP(A401,'Prior Month'!A:A,'Prior Month'!I:I,"")</f>
        <v>0.35464688630703106</v>
      </c>
      <c r="G401" s="18">
        <f>_xlfn.XLOOKUP(A401,'Year end 2024'!A:A,'Year end 2024'!I:I,"")</f>
        <v>0.92635347937067913</v>
      </c>
      <c r="H401" s="19">
        <f>_xlfn.XLOOKUP(A401,'Current Month'!A:A,'Current Month'!E:E,0,0)</f>
        <v>330529.7</v>
      </c>
      <c r="I401" s="32">
        <f>_xlfn.XLOOKUP(A401,'Prior Month'!A:A,'Prior Month'!E:E,0,0)</f>
        <v>400843.86</v>
      </c>
      <c r="J401" s="32">
        <f>_xlfn.XLOOKUP(A401,'Year end 2024'!A:A,'Year end 2024'!E:E,0,0)</f>
        <v>1081504.57</v>
      </c>
      <c r="K401" s="14">
        <f t="shared" si="12"/>
        <v>-70314.159999999974</v>
      </c>
      <c r="L401" s="14">
        <f t="shared" si="13"/>
        <v>-750974.87000000011</v>
      </c>
    </row>
    <row r="402" spans="1:12" ht="35.15" customHeight="1" x14ac:dyDescent="0.4">
      <c r="A402" s="11" t="s">
        <v>868</v>
      </c>
      <c r="B402" s="11" t="s">
        <v>869</v>
      </c>
      <c r="C402" s="11" t="s">
        <v>19</v>
      </c>
      <c r="D402" s="11" t="s">
        <v>18</v>
      </c>
      <c r="E402" s="18" t="str">
        <f>_xlfn.XLOOKUP(A402,'Current Month'!A:A,'Current Month'!I:I,"")</f>
        <v/>
      </c>
      <c r="F402" s="21" t="str">
        <f>_xlfn.XLOOKUP(A402,'Prior Month'!A:A,'Prior Month'!I:I,"")</f>
        <v/>
      </c>
      <c r="G402" s="18" t="str">
        <f>_xlfn.XLOOKUP(A402,'Year end 2024'!A:A,'Year end 2024'!I:I,"")</f>
        <v/>
      </c>
      <c r="H402" s="19">
        <f>_xlfn.XLOOKUP(A402,'Current Month'!A:A,'Current Month'!E:E,0,0)</f>
        <v>6567.16</v>
      </c>
      <c r="I402" s="32">
        <f>_xlfn.XLOOKUP(A402,'Prior Month'!A:A,'Prior Month'!E:E,0,0)</f>
        <v>5256.87</v>
      </c>
      <c r="J402" s="32">
        <f>_xlfn.XLOOKUP(A402,'Year end 2024'!A:A,'Year end 2024'!E:E,0,0)</f>
        <v>6168.79</v>
      </c>
      <c r="K402" s="14">
        <f t="shared" si="12"/>
        <v>1310.29</v>
      </c>
      <c r="L402" s="14">
        <f t="shared" si="13"/>
        <v>398.36999999999989</v>
      </c>
    </row>
    <row r="403" spans="1:12" ht="35.15" customHeight="1" x14ac:dyDescent="0.4">
      <c r="A403" s="11" t="s">
        <v>870</v>
      </c>
      <c r="B403" s="11" t="s">
        <v>871</v>
      </c>
      <c r="C403" s="11" t="s">
        <v>19</v>
      </c>
      <c r="D403" s="11" t="s">
        <v>18</v>
      </c>
      <c r="E403" s="18" t="str">
        <f>_xlfn.XLOOKUP(A403,'Current Month'!A:A,'Current Month'!I:I,"")</f>
        <v/>
      </c>
      <c r="F403" s="21" t="str">
        <f>_xlfn.XLOOKUP(A403,'Prior Month'!A:A,'Prior Month'!I:I,"")</f>
        <v/>
      </c>
      <c r="G403" s="18" t="str">
        <f>_xlfn.XLOOKUP(A403,'Year end 2024'!A:A,'Year end 2024'!I:I,"")</f>
        <v/>
      </c>
      <c r="H403" s="19">
        <f>_xlfn.XLOOKUP(A403,'Current Month'!A:A,'Current Month'!E:E,0,0)</f>
        <v>150166.87</v>
      </c>
      <c r="I403" s="32">
        <f>_xlfn.XLOOKUP(A403,'Prior Month'!A:A,'Prior Month'!E:E,0,0)</f>
        <v>162269.85</v>
      </c>
      <c r="J403" s="32">
        <f>_xlfn.XLOOKUP(A403,'Year end 2024'!A:A,'Year end 2024'!E:E,0,0)</f>
        <v>327003.28000000003</v>
      </c>
      <c r="K403" s="14">
        <f t="shared" si="12"/>
        <v>-12102.98000000001</v>
      </c>
      <c r="L403" s="14">
        <f t="shared" si="13"/>
        <v>-176836.41000000003</v>
      </c>
    </row>
    <row r="404" spans="1:12" ht="35.15" customHeight="1" x14ac:dyDescent="0.4">
      <c r="A404" s="11" t="s">
        <v>872</v>
      </c>
      <c r="B404" s="11" t="s">
        <v>873</v>
      </c>
      <c r="C404" s="11" t="s">
        <v>77</v>
      </c>
      <c r="D404" s="11" t="s">
        <v>76</v>
      </c>
      <c r="E404" s="18" t="str">
        <f>_xlfn.XLOOKUP(A404,'Current Month'!A:A,'Current Month'!I:I,"")</f>
        <v/>
      </c>
      <c r="F404" s="21" t="str">
        <f>_xlfn.XLOOKUP(A404,'Prior Month'!A:A,'Prior Month'!I:I,"")</f>
        <v/>
      </c>
      <c r="G404" s="18" t="str">
        <f>_xlfn.XLOOKUP(A404,'Year end 2024'!A:A,'Year end 2024'!I:I,"")</f>
        <v/>
      </c>
      <c r="H404" s="19">
        <f>_xlfn.XLOOKUP(A404,'Current Month'!A:A,'Current Month'!E:E,0,0)</f>
        <v>249595.17</v>
      </c>
      <c r="I404" s="32">
        <f>_xlfn.XLOOKUP(A404,'Prior Month'!A:A,'Prior Month'!E:E,0,0)</f>
        <v>291723.63</v>
      </c>
      <c r="J404" s="32">
        <f>_xlfn.XLOOKUP(A404,'Year end 2024'!A:A,'Year end 2024'!E:E,0,0)</f>
        <v>192013.47</v>
      </c>
      <c r="K404" s="14">
        <f t="shared" si="12"/>
        <v>-42128.459999999992</v>
      </c>
      <c r="L404" s="14">
        <f t="shared" si="13"/>
        <v>57581.700000000012</v>
      </c>
    </row>
    <row r="405" spans="1:12" ht="35.15" customHeight="1" x14ac:dyDescent="0.4">
      <c r="A405" s="11" t="s">
        <v>874</v>
      </c>
      <c r="B405" s="11" t="s">
        <v>875</v>
      </c>
      <c r="C405" s="11" t="s">
        <v>213</v>
      </c>
      <c r="D405" s="11" t="s">
        <v>212</v>
      </c>
      <c r="E405" s="18">
        <f>_xlfn.XLOOKUP(A405,'Current Month'!A:A,'Current Month'!I:I,"")</f>
        <v>0.1319598569654333</v>
      </c>
      <c r="F405" s="21">
        <f>_xlfn.XLOOKUP(A405,'Prior Month'!A:A,'Prior Month'!I:I,"")</f>
        <v>0.12750648906819148</v>
      </c>
      <c r="G405" s="18">
        <f>_xlfn.XLOOKUP(A405,'Year end 2024'!A:A,'Year end 2024'!I:I,"")</f>
        <v>1.3647357033660698E-2</v>
      </c>
      <c r="H405" s="19">
        <f>_xlfn.XLOOKUP(A405,'Current Month'!A:A,'Current Month'!E:E,0,0)</f>
        <v>158313.56</v>
      </c>
      <c r="I405" s="32">
        <f>_xlfn.XLOOKUP(A405,'Prior Month'!A:A,'Prior Month'!E:E,0,0)</f>
        <v>152970.81</v>
      </c>
      <c r="J405" s="32">
        <f>_xlfn.XLOOKUP(A405,'Year end 2024'!A:A,'Year end 2024'!E:E,0,0)</f>
        <v>21808.54</v>
      </c>
      <c r="K405" s="14">
        <f t="shared" si="12"/>
        <v>5342.75</v>
      </c>
      <c r="L405" s="14">
        <f t="shared" si="13"/>
        <v>136505.01999999999</v>
      </c>
    </row>
    <row r="406" spans="1:12" ht="35.15" customHeight="1" x14ac:dyDescent="0.4">
      <c r="A406" s="11" t="s">
        <v>876</v>
      </c>
      <c r="B406" s="11" t="s">
        <v>877</v>
      </c>
      <c r="C406" s="11" t="s">
        <v>109</v>
      </c>
      <c r="D406" s="11" t="s">
        <v>108</v>
      </c>
      <c r="E406" s="18" t="str">
        <f>_xlfn.XLOOKUP(A406,'Current Month'!A:A,'Current Month'!I:I,"")</f>
        <v/>
      </c>
      <c r="F406" s="21" t="str">
        <f>_xlfn.XLOOKUP(A406,'Prior Month'!A:A,'Prior Month'!I:I,"")</f>
        <v/>
      </c>
      <c r="G406" s="18" t="str">
        <f>_xlfn.XLOOKUP(A406,'Year end 2024'!A:A,'Year end 2024'!I:I,"")</f>
        <v/>
      </c>
      <c r="H406" s="19">
        <f>_xlfn.XLOOKUP(A406,'Current Month'!A:A,'Current Month'!E:E,0,0)</f>
        <v>521417.81</v>
      </c>
      <c r="I406" s="32">
        <f>_xlfn.XLOOKUP(A406,'Prior Month'!A:A,'Prior Month'!E:E,0,0)</f>
        <v>551979.38</v>
      </c>
      <c r="J406" s="32">
        <f>_xlfn.XLOOKUP(A406,'Year end 2024'!A:A,'Year end 2024'!E:E,0,0)</f>
        <v>710208.34</v>
      </c>
      <c r="K406" s="14">
        <f t="shared" si="12"/>
        <v>-30561.570000000007</v>
      </c>
      <c r="L406" s="14">
        <f t="shared" si="13"/>
        <v>-188790.52999999997</v>
      </c>
    </row>
    <row r="407" spans="1:12" ht="35.15" customHeight="1" x14ac:dyDescent="0.4">
      <c r="A407" s="11" t="s">
        <v>878</v>
      </c>
      <c r="B407" s="11" t="s">
        <v>879</v>
      </c>
      <c r="C407" s="11" t="s">
        <v>51</v>
      </c>
      <c r="D407" s="11" t="s">
        <v>50</v>
      </c>
      <c r="E407" s="18">
        <f>_xlfn.XLOOKUP(A407,'Current Month'!A:A,'Current Month'!I:I,"")</f>
        <v>286.31173333333334</v>
      </c>
      <c r="F407" s="21">
        <f>_xlfn.XLOOKUP(A407,'Prior Month'!A:A,'Prior Month'!I:I,"")</f>
        <v>281.10717333333332</v>
      </c>
      <c r="G407" s="18">
        <f>_xlfn.XLOOKUP(A407,'Year end 2024'!A:A,'Year end 2024'!I:I,"")</f>
        <v>312.98708666666664</v>
      </c>
      <c r="H407" s="19">
        <f>_xlfn.XLOOKUP(A407,'Current Month'!A:A,'Current Month'!E:E,0,0)</f>
        <v>429467.6</v>
      </c>
      <c r="I407" s="32">
        <f>_xlfn.XLOOKUP(A407,'Prior Month'!A:A,'Prior Month'!E:E,0,0)</f>
        <v>421660.76</v>
      </c>
      <c r="J407" s="32">
        <f>_xlfn.XLOOKUP(A407,'Year end 2024'!A:A,'Year end 2024'!E:E,0,0)</f>
        <v>469480.63</v>
      </c>
      <c r="K407" s="14">
        <f t="shared" si="12"/>
        <v>7806.8399999999674</v>
      </c>
      <c r="L407" s="14">
        <f t="shared" si="13"/>
        <v>-40013.030000000028</v>
      </c>
    </row>
    <row r="408" spans="1:12" ht="35.15" customHeight="1" x14ac:dyDescent="0.4">
      <c r="A408" s="11" t="s">
        <v>880</v>
      </c>
      <c r="B408" s="11" t="s">
        <v>881</v>
      </c>
      <c r="C408" s="11" t="s">
        <v>77</v>
      </c>
      <c r="D408" s="11" t="s">
        <v>76</v>
      </c>
      <c r="E408" s="18">
        <f>_xlfn.XLOOKUP(A408,'Current Month'!A:A,'Current Month'!I:I,"")</f>
        <v>1.57803</v>
      </c>
      <c r="F408" s="21">
        <f>_xlfn.XLOOKUP(A408,'Prior Month'!A:A,'Prior Month'!I:I,"")</f>
        <v>2.0412049999999997</v>
      </c>
      <c r="G408" s="18">
        <f>_xlfn.XLOOKUP(A408,'Year end 2024'!A:A,'Year end 2024'!I:I,"")</f>
        <v>1.888055</v>
      </c>
      <c r="H408" s="19">
        <f>_xlfn.XLOOKUP(A408,'Current Month'!A:A,'Current Month'!E:E,0,0)</f>
        <v>3156.06</v>
      </c>
      <c r="I408" s="32">
        <f>_xlfn.XLOOKUP(A408,'Prior Month'!A:A,'Prior Month'!E:E,0,0)</f>
        <v>4082.41</v>
      </c>
      <c r="J408" s="32">
        <f>_xlfn.XLOOKUP(A408,'Year end 2024'!A:A,'Year end 2024'!E:E,0,0)</f>
        <v>3776.11</v>
      </c>
      <c r="K408" s="14">
        <f t="shared" si="12"/>
        <v>-926.34999999999991</v>
      </c>
      <c r="L408" s="14">
        <f t="shared" si="13"/>
        <v>-620.05000000000018</v>
      </c>
    </row>
    <row r="409" spans="1:12" ht="35.15" customHeight="1" x14ac:dyDescent="0.4">
      <c r="A409" s="11" t="s">
        <v>605</v>
      </c>
      <c r="B409" s="11" t="s">
        <v>882</v>
      </c>
      <c r="C409" s="11" t="s">
        <v>19</v>
      </c>
      <c r="D409" s="11" t="s">
        <v>18</v>
      </c>
      <c r="E409" s="18">
        <f>_xlfn.XLOOKUP(A409,'Current Month'!A:A,'Current Month'!I:I,"")</f>
        <v>44.013059999999996</v>
      </c>
      <c r="F409" s="21">
        <f>_xlfn.XLOOKUP(A409,'Prior Month'!A:A,'Prior Month'!I:I,"")</f>
        <v>46.908153333333331</v>
      </c>
      <c r="G409" s="18">
        <f>_xlfn.XLOOKUP(A409,'Year end 2024'!A:A,'Year end 2024'!I:I,"")</f>
        <v>2.7166399999999999</v>
      </c>
      <c r="H409" s="19">
        <f>_xlfn.XLOOKUP(A409,'Current Month'!A:A,'Current Month'!E:E,0,0)</f>
        <v>66019.59</v>
      </c>
      <c r="I409" s="32">
        <f>_xlfn.XLOOKUP(A409,'Prior Month'!A:A,'Prior Month'!E:E,0,0)</f>
        <v>70362.23</v>
      </c>
      <c r="J409" s="32">
        <f>_xlfn.XLOOKUP(A409,'Year end 2024'!A:A,'Year end 2024'!E:E,0,0)</f>
        <v>4074.96</v>
      </c>
      <c r="K409" s="14">
        <f t="shared" si="12"/>
        <v>-4342.6399999999994</v>
      </c>
      <c r="L409" s="14">
        <f t="shared" si="13"/>
        <v>61944.63</v>
      </c>
    </row>
    <row r="410" spans="1:12" ht="35.15" customHeight="1" x14ac:dyDescent="0.4">
      <c r="A410" s="11" t="s">
        <v>56</v>
      </c>
      <c r="B410" s="11" t="s">
        <v>883</v>
      </c>
      <c r="C410" s="11" t="s">
        <v>19</v>
      </c>
      <c r="D410" s="11" t="s">
        <v>18</v>
      </c>
      <c r="E410" s="18" t="str">
        <f>_xlfn.XLOOKUP(A410,'Current Month'!A:A,'Current Month'!I:I,"")</f>
        <v/>
      </c>
      <c r="F410" s="21" t="str">
        <f>_xlfn.XLOOKUP(A410,'Prior Month'!A:A,'Prior Month'!I:I,"")</f>
        <v/>
      </c>
      <c r="G410" s="18" t="str">
        <f>_xlfn.XLOOKUP(A410,'Year end 2024'!A:A,'Year end 2024'!I:I,"")</f>
        <v/>
      </c>
      <c r="H410" s="19">
        <f>_xlfn.XLOOKUP(A410,'Current Month'!A:A,'Current Month'!E:E,0,0)</f>
        <v>1598217.07</v>
      </c>
      <c r="I410" s="32">
        <f>_xlfn.XLOOKUP(A410,'Prior Month'!A:A,'Prior Month'!E:E,0,0)</f>
        <v>3162361.24</v>
      </c>
      <c r="J410" s="32">
        <f>_xlfn.XLOOKUP(A410,'Year end 2024'!A:A,'Year end 2024'!E:E,0,0)</f>
        <v>733445.53</v>
      </c>
      <c r="K410" s="14">
        <f t="shared" si="12"/>
        <v>-1564144.1700000002</v>
      </c>
      <c r="L410" s="14">
        <f t="shared" si="13"/>
        <v>864771.54</v>
      </c>
    </row>
    <row r="411" spans="1:12" ht="35.15" customHeight="1" x14ac:dyDescent="0.4">
      <c r="A411" s="11" t="s">
        <v>884</v>
      </c>
      <c r="B411" s="11" t="s">
        <v>885</v>
      </c>
      <c r="C411" s="11" t="s">
        <v>19</v>
      </c>
      <c r="D411" s="11" t="s">
        <v>18</v>
      </c>
      <c r="E411" s="18" t="str">
        <f>_xlfn.XLOOKUP(A411,'Current Month'!A:A,'Current Month'!I:I,"")</f>
        <v/>
      </c>
      <c r="F411" s="21" t="str">
        <f>_xlfn.XLOOKUP(A411,'Prior Month'!A:A,'Prior Month'!I:I,"")</f>
        <v/>
      </c>
      <c r="G411" s="18" t="str">
        <f>_xlfn.XLOOKUP(A411,'Year end 2024'!A:A,'Year end 2024'!I:I,"")</f>
        <v/>
      </c>
      <c r="H411" s="19">
        <f>_xlfn.XLOOKUP(A411,'Current Month'!A:A,'Current Month'!E:E,0,0)</f>
        <v>223483.43</v>
      </c>
      <c r="I411" s="32">
        <f>_xlfn.XLOOKUP(A411,'Prior Month'!A:A,'Prior Month'!E:E,0,0)</f>
        <v>223166.45</v>
      </c>
      <c r="J411" s="32">
        <f>_xlfn.XLOOKUP(A411,'Year end 2024'!A:A,'Year end 2024'!E:E,0,0)</f>
        <v>318164.46000000002</v>
      </c>
      <c r="K411" s="14">
        <f t="shared" si="12"/>
        <v>316.97999999998137</v>
      </c>
      <c r="L411" s="14">
        <f t="shared" si="13"/>
        <v>-94681.030000000028</v>
      </c>
    </row>
    <row r="412" spans="1:12" ht="35.15" customHeight="1" x14ac:dyDescent="0.4">
      <c r="A412" s="11" t="s">
        <v>886</v>
      </c>
      <c r="B412" s="11" t="s">
        <v>887</v>
      </c>
      <c r="C412" s="11" t="s">
        <v>213</v>
      </c>
      <c r="D412" s="11" t="s">
        <v>212</v>
      </c>
      <c r="E412" s="18">
        <f>_xlfn.XLOOKUP(A412,'Current Month'!A:A,'Current Month'!I:I,"")</f>
        <v>0</v>
      </c>
      <c r="F412" s="21">
        <f>_xlfn.XLOOKUP(A412,'Prior Month'!A:A,'Prior Month'!I:I,"")</f>
        <v>0</v>
      </c>
      <c r="G412" s="18">
        <f>_xlfn.XLOOKUP(A412,'Year end 2024'!A:A,'Year end 2024'!I:I,"")</f>
        <v>7.8405110241087997E-2</v>
      </c>
      <c r="H412" s="19">
        <f>_xlfn.XLOOKUP(A412,'Current Month'!A:A,'Current Month'!E:E,0,0)</f>
        <v>0</v>
      </c>
      <c r="I412" s="32">
        <f>_xlfn.XLOOKUP(A412,'Prior Month'!A:A,'Prior Month'!E:E,0,0)</f>
        <v>0</v>
      </c>
      <c r="J412" s="32">
        <f>_xlfn.XLOOKUP(A412,'Year end 2024'!A:A,'Year end 2024'!E:E,0,0)</f>
        <v>10189.790000000001</v>
      </c>
      <c r="K412" s="14">
        <f t="shared" si="12"/>
        <v>0</v>
      </c>
      <c r="L412" s="14">
        <f t="shared" si="13"/>
        <v>-10189.790000000001</v>
      </c>
    </row>
    <row r="413" spans="1:12" ht="35.15" customHeight="1" x14ac:dyDescent="0.4">
      <c r="A413" s="11" t="s">
        <v>888</v>
      </c>
      <c r="B413" s="11" t="s">
        <v>889</v>
      </c>
      <c r="C413" s="11" t="s">
        <v>51</v>
      </c>
      <c r="D413" s="11" t="s">
        <v>50</v>
      </c>
      <c r="E413" s="18" t="str">
        <f>_xlfn.XLOOKUP(A413,'Current Month'!A:A,'Current Month'!I:I,"")</f>
        <v/>
      </c>
      <c r="F413" s="21" t="str">
        <f>_xlfn.XLOOKUP(A413,'Prior Month'!A:A,'Prior Month'!I:I,"")</f>
        <v/>
      </c>
      <c r="G413" s="18" t="str">
        <f>_xlfn.XLOOKUP(A413,'Year end 2024'!A:A,'Year end 2024'!I:I,"")</f>
        <v/>
      </c>
      <c r="H413" s="19">
        <f>_xlfn.XLOOKUP(A413,'Current Month'!A:A,'Current Month'!E:E,0,0)</f>
        <v>262561.99</v>
      </c>
      <c r="I413" s="32">
        <f>_xlfn.XLOOKUP(A413,'Prior Month'!A:A,'Prior Month'!E:E,0,0)</f>
        <v>257946.27</v>
      </c>
      <c r="J413" s="32">
        <f>_xlfn.XLOOKUP(A413,'Year end 2024'!A:A,'Year end 2024'!E:E,0,0)</f>
        <v>210722.48</v>
      </c>
      <c r="K413" s="14">
        <f t="shared" si="12"/>
        <v>4615.7200000000012</v>
      </c>
      <c r="L413" s="14">
        <f t="shared" si="13"/>
        <v>51839.50999999998</v>
      </c>
    </row>
    <row r="414" spans="1:12" ht="35.15" customHeight="1" x14ac:dyDescent="0.4">
      <c r="A414" s="11" t="s">
        <v>890</v>
      </c>
      <c r="B414" s="11" t="s">
        <v>891</v>
      </c>
      <c r="C414" s="11" t="s">
        <v>57</v>
      </c>
      <c r="D414" s="11" t="s">
        <v>56</v>
      </c>
      <c r="E414" s="18" t="str">
        <f>_xlfn.XLOOKUP(A414,'Current Month'!A:A,'Current Month'!I:I,"")</f>
        <v/>
      </c>
      <c r="F414" s="21" t="str">
        <f>_xlfn.XLOOKUP(A414,'Prior Month'!A:A,'Prior Month'!I:I,"")</f>
        <v/>
      </c>
      <c r="G414" s="18" t="str">
        <f>_xlfn.XLOOKUP(A414,'Year end 2024'!A:A,'Year end 2024'!I:I,"")</f>
        <v/>
      </c>
      <c r="H414" s="19">
        <f>_xlfn.XLOOKUP(A414,'Current Month'!A:A,'Current Month'!E:E,0,0)</f>
        <v>480.72</v>
      </c>
      <c r="I414" s="32">
        <f>_xlfn.XLOOKUP(A414,'Prior Month'!A:A,'Prior Month'!E:E,0,0)</f>
        <v>125.5</v>
      </c>
      <c r="J414" s="32">
        <f>_xlfn.XLOOKUP(A414,'Year end 2024'!A:A,'Year end 2024'!E:E,0,0)</f>
        <v>1098.92</v>
      </c>
      <c r="K414" s="14">
        <f t="shared" si="12"/>
        <v>355.22</v>
      </c>
      <c r="L414" s="14">
        <f t="shared" si="13"/>
        <v>-618.20000000000005</v>
      </c>
    </row>
    <row r="415" spans="1:12" ht="35.15" customHeight="1" x14ac:dyDescent="0.4">
      <c r="A415" s="11" t="s">
        <v>892</v>
      </c>
      <c r="B415" s="11" t="s">
        <v>893</v>
      </c>
      <c r="C415" s="11" t="s">
        <v>77</v>
      </c>
      <c r="D415" s="11" t="s">
        <v>76</v>
      </c>
      <c r="E415" s="18" t="str">
        <f>_xlfn.XLOOKUP(A415,'Current Month'!A:A,'Current Month'!I:I,"")</f>
        <v/>
      </c>
      <c r="F415" s="21" t="str">
        <f>_xlfn.XLOOKUP(A415,'Prior Month'!A:A,'Prior Month'!I:I,"")</f>
        <v/>
      </c>
      <c r="G415" s="18" t="str">
        <f>_xlfn.XLOOKUP(A415,'Year end 2024'!A:A,'Year end 2024'!I:I,"")</f>
        <v/>
      </c>
      <c r="H415" s="19">
        <f>_xlfn.XLOOKUP(A415,'Current Month'!A:A,'Current Month'!E:E,0,0)</f>
        <v>387084.92</v>
      </c>
      <c r="I415" s="32">
        <f>_xlfn.XLOOKUP(A415,'Prior Month'!A:A,'Prior Month'!E:E,0,0)</f>
        <v>517735.37</v>
      </c>
      <c r="J415" s="32">
        <f>_xlfn.XLOOKUP(A415,'Year end 2024'!A:A,'Year end 2024'!E:E,0,0)</f>
        <v>582505.48</v>
      </c>
      <c r="K415" s="14">
        <f t="shared" si="12"/>
        <v>-130650.45000000001</v>
      </c>
      <c r="L415" s="14">
        <f t="shared" si="13"/>
        <v>-195420.56</v>
      </c>
    </row>
    <row r="416" spans="1:12" ht="35.15" customHeight="1" x14ac:dyDescent="0.4">
      <c r="A416" s="11" t="s">
        <v>894</v>
      </c>
      <c r="B416" s="11" t="s">
        <v>895</v>
      </c>
      <c r="C416" s="11" t="s">
        <v>19</v>
      </c>
      <c r="D416" s="11" t="s">
        <v>18</v>
      </c>
      <c r="E416" s="18" t="str">
        <f>_xlfn.XLOOKUP(A416,'Current Month'!A:A,'Current Month'!I:I,"")</f>
        <v/>
      </c>
      <c r="F416" s="21" t="str">
        <f>_xlfn.XLOOKUP(A416,'Prior Month'!A:A,'Prior Month'!I:I,"")</f>
        <v/>
      </c>
      <c r="G416" s="18" t="str">
        <f>_xlfn.XLOOKUP(A416,'Year end 2024'!A:A,'Year end 2024'!I:I,"")</f>
        <v/>
      </c>
      <c r="H416" s="19">
        <f>_xlfn.XLOOKUP(A416,'Current Month'!A:A,'Current Month'!E:E,0,0)</f>
        <v>126393.08</v>
      </c>
      <c r="I416" s="32">
        <f>_xlfn.XLOOKUP(A416,'Prior Month'!A:A,'Prior Month'!E:E,0,0)</f>
        <v>134887.46</v>
      </c>
      <c r="J416" s="32">
        <f>_xlfn.XLOOKUP(A416,'Year end 2024'!A:A,'Year end 2024'!E:E,0,0)</f>
        <v>128554</v>
      </c>
      <c r="K416" s="14">
        <f t="shared" si="12"/>
        <v>-8494.3799999999901</v>
      </c>
      <c r="L416" s="14">
        <f t="shared" si="13"/>
        <v>-2160.9199999999983</v>
      </c>
    </row>
    <row r="417" spans="1:12" ht="35.15" customHeight="1" x14ac:dyDescent="0.4">
      <c r="A417" s="11" t="s">
        <v>896</v>
      </c>
      <c r="B417" s="11" t="s">
        <v>897</v>
      </c>
      <c r="C417" s="11" t="s">
        <v>109</v>
      </c>
      <c r="D417" s="11" t="s">
        <v>108</v>
      </c>
      <c r="E417" s="18" t="str">
        <f>_xlfn.XLOOKUP(A417,'Current Month'!A:A,'Current Month'!I:I,"")</f>
        <v/>
      </c>
      <c r="F417" s="21" t="str">
        <f>_xlfn.XLOOKUP(A417,'Prior Month'!A:A,'Prior Month'!I:I,"")</f>
        <v/>
      </c>
      <c r="G417" s="18" t="str">
        <f>_xlfn.XLOOKUP(A417,'Year end 2024'!A:A,'Year end 2024'!I:I,"")</f>
        <v/>
      </c>
      <c r="H417" s="19">
        <f>_xlfn.XLOOKUP(A417,'Current Month'!A:A,'Current Month'!E:E,0,0)</f>
        <v>144737.07</v>
      </c>
      <c r="I417" s="32">
        <f>_xlfn.XLOOKUP(A417,'Prior Month'!A:A,'Prior Month'!E:E,0,0)</f>
        <v>145575.07</v>
      </c>
      <c r="J417" s="32">
        <f>_xlfn.XLOOKUP(A417,'Year end 2024'!A:A,'Year end 2024'!E:E,0,0)</f>
        <v>156922.65</v>
      </c>
      <c r="K417" s="14">
        <f t="shared" si="12"/>
        <v>-838</v>
      </c>
      <c r="L417" s="14">
        <f t="shared" si="13"/>
        <v>-12185.579999999987</v>
      </c>
    </row>
    <row r="418" spans="1:12" ht="35.15" customHeight="1" x14ac:dyDescent="0.4">
      <c r="A418" s="11" t="s">
        <v>898</v>
      </c>
      <c r="B418" s="11" t="s">
        <v>899</v>
      </c>
      <c r="C418" s="11" t="s">
        <v>19</v>
      </c>
      <c r="D418" s="11" t="s">
        <v>18</v>
      </c>
      <c r="E418" s="18">
        <f>_xlfn.XLOOKUP(A418,'Current Month'!A:A,'Current Month'!I:I,"")</f>
        <v>5.0586599999999997</v>
      </c>
      <c r="F418" s="21">
        <f>_xlfn.XLOOKUP(A418,'Prior Month'!A:A,'Prior Month'!I:I,"")</f>
        <v>6.1827500000000004</v>
      </c>
      <c r="G418" s="18">
        <f>_xlfn.XLOOKUP(A418,'Year end 2024'!A:A,'Year end 2024'!I:I,"")</f>
        <v>23.728529999999999</v>
      </c>
      <c r="H418" s="19">
        <f>_xlfn.XLOOKUP(A418,'Current Month'!A:A,'Current Month'!E:E,0,0)</f>
        <v>5058.66</v>
      </c>
      <c r="I418" s="32">
        <f>_xlfn.XLOOKUP(A418,'Prior Month'!A:A,'Prior Month'!E:E,0,0)</f>
        <v>6182.75</v>
      </c>
      <c r="J418" s="32">
        <f>_xlfn.XLOOKUP(A418,'Year end 2024'!A:A,'Year end 2024'!E:E,0,0)</f>
        <v>23728.53</v>
      </c>
      <c r="K418" s="14">
        <f t="shared" si="12"/>
        <v>-1124.0900000000001</v>
      </c>
      <c r="L418" s="14">
        <f t="shared" si="13"/>
        <v>-18669.87</v>
      </c>
    </row>
    <row r="419" spans="1:12" ht="35.15" customHeight="1" x14ac:dyDescent="0.4">
      <c r="A419" s="11" t="s">
        <v>900</v>
      </c>
      <c r="B419" s="11" t="s">
        <v>901</v>
      </c>
      <c r="C419" s="11" t="s">
        <v>19</v>
      </c>
      <c r="D419" s="11" t="s">
        <v>18</v>
      </c>
      <c r="E419" s="18" t="str">
        <f>_xlfn.XLOOKUP(A419,'Current Month'!A:A,'Current Month'!I:I,"")</f>
        <v/>
      </c>
      <c r="F419" s="21" t="str">
        <f>_xlfn.XLOOKUP(A419,'Prior Month'!A:A,'Prior Month'!I:I,"")</f>
        <v/>
      </c>
      <c r="G419" s="18" t="str">
        <f>_xlfn.XLOOKUP(A419,'Year end 2024'!A:A,'Year end 2024'!I:I,"")</f>
        <v/>
      </c>
      <c r="H419" s="19">
        <f>_xlfn.XLOOKUP(A419,'Current Month'!A:A,'Current Month'!E:E,0,0)</f>
        <v>11481.77</v>
      </c>
      <c r="I419" s="32">
        <f>_xlfn.XLOOKUP(A419,'Prior Month'!A:A,'Prior Month'!E:E,0,0)</f>
        <v>5343.31</v>
      </c>
      <c r="J419" s="32">
        <f>_xlfn.XLOOKUP(A419,'Year end 2024'!A:A,'Year end 2024'!E:E,0,0)</f>
        <v>44178.14</v>
      </c>
      <c r="K419" s="14">
        <f t="shared" si="12"/>
        <v>6138.46</v>
      </c>
      <c r="L419" s="14">
        <f t="shared" si="13"/>
        <v>-32696.37</v>
      </c>
    </row>
    <row r="420" spans="1:12" ht="35.15" customHeight="1" x14ac:dyDescent="0.4">
      <c r="A420" s="11" t="s">
        <v>902</v>
      </c>
      <c r="B420" s="11" t="s">
        <v>903</v>
      </c>
      <c r="C420" s="11" t="s">
        <v>51</v>
      </c>
      <c r="D420" s="11" t="s">
        <v>50</v>
      </c>
      <c r="E420" s="18" t="str">
        <f>_xlfn.XLOOKUP(A420,'Current Month'!A:A,'Current Month'!I:I,"")</f>
        <v/>
      </c>
      <c r="F420" s="21" t="str">
        <f>_xlfn.XLOOKUP(A420,'Prior Month'!A:A,'Prior Month'!I:I,"")</f>
        <v/>
      </c>
      <c r="G420" s="18" t="str">
        <f>_xlfn.XLOOKUP(A420,'Year end 2024'!A:A,'Year end 2024'!I:I,"")</f>
        <v/>
      </c>
      <c r="H420" s="19">
        <f>_xlfn.XLOOKUP(A420,'Current Month'!A:A,'Current Month'!E:E,0,0)</f>
        <v>899590.35</v>
      </c>
      <c r="I420" s="32">
        <f>_xlfn.XLOOKUP(A420,'Prior Month'!A:A,'Prior Month'!E:E,0,0)</f>
        <v>915171.08</v>
      </c>
      <c r="J420" s="32">
        <f>_xlfn.XLOOKUP(A420,'Year end 2024'!A:A,'Year end 2024'!E:E,0,0)</f>
        <v>1106353.01</v>
      </c>
      <c r="K420" s="14">
        <f t="shared" si="12"/>
        <v>-15580.729999999981</v>
      </c>
      <c r="L420" s="14">
        <f t="shared" si="13"/>
        <v>-206762.66000000003</v>
      </c>
    </row>
    <row r="421" spans="1:12" ht="35.15" customHeight="1" x14ac:dyDescent="0.4">
      <c r="A421" s="11" t="s">
        <v>904</v>
      </c>
      <c r="B421" s="11" t="s">
        <v>905</v>
      </c>
      <c r="C421" s="11" t="s">
        <v>51</v>
      </c>
      <c r="D421" s="11" t="s">
        <v>50</v>
      </c>
      <c r="E421" s="18" t="str">
        <f>_xlfn.XLOOKUP(A421,'Current Month'!A:A,'Current Month'!I:I,"")</f>
        <v/>
      </c>
      <c r="F421" s="21" t="str">
        <f>_xlfn.XLOOKUP(A421,'Prior Month'!A:A,'Prior Month'!I:I,"")</f>
        <v/>
      </c>
      <c r="G421" s="18" t="str">
        <f>_xlfn.XLOOKUP(A421,'Year end 2024'!A:A,'Year end 2024'!I:I,"")</f>
        <v/>
      </c>
      <c r="H421" s="19">
        <f>_xlfn.XLOOKUP(A421,'Current Month'!A:A,'Current Month'!E:E,0,0)</f>
        <v>166354.23000000001</v>
      </c>
      <c r="I421" s="32">
        <f>_xlfn.XLOOKUP(A421,'Prior Month'!A:A,'Prior Month'!E:E,0,0)</f>
        <v>167169.68</v>
      </c>
      <c r="J421" s="32">
        <f>_xlfn.XLOOKUP(A421,'Year end 2024'!A:A,'Year end 2024'!E:E,0,0)</f>
        <v>165761.07999999999</v>
      </c>
      <c r="K421" s="14">
        <f t="shared" si="12"/>
        <v>-815.44999999998254</v>
      </c>
      <c r="L421" s="14">
        <f t="shared" si="13"/>
        <v>593.15000000002328</v>
      </c>
    </row>
    <row r="422" spans="1:12" ht="35.15" customHeight="1" x14ac:dyDescent="0.4">
      <c r="A422" s="11" t="s">
        <v>906</v>
      </c>
      <c r="B422" s="11" t="s">
        <v>907</v>
      </c>
      <c r="C422" s="11" t="s">
        <v>213</v>
      </c>
      <c r="D422" s="11" t="s">
        <v>212</v>
      </c>
      <c r="E422" s="18">
        <f>_xlfn.XLOOKUP(A422,'Current Month'!A:A,'Current Month'!I:I,"")</f>
        <v>3.2997477842144174E-3</v>
      </c>
      <c r="F422" s="21">
        <f>_xlfn.XLOOKUP(A422,'Prior Month'!A:A,'Prior Month'!I:I,"")</f>
        <v>3.5459892185977543E-3</v>
      </c>
      <c r="G422" s="18">
        <f>_xlfn.XLOOKUP(A422,'Year end 2024'!A:A,'Year end 2024'!I:I,"")</f>
        <v>1.0318676221469895E-2</v>
      </c>
      <c r="H422" s="19">
        <f>_xlfn.XLOOKUP(A422,'Current Month'!A:A,'Current Month'!E:E,0,0)</f>
        <v>1684.65</v>
      </c>
      <c r="I422" s="32">
        <f>_xlfn.XLOOKUP(A422,'Prior Month'!A:A,'Prior Month'!E:E,0,0)</f>
        <v>1814.1</v>
      </c>
      <c r="J422" s="32">
        <f>_xlfn.XLOOKUP(A422,'Year end 2024'!A:A,'Year end 2024'!E:E,0,0)</f>
        <v>5287.85</v>
      </c>
      <c r="K422" s="14">
        <f t="shared" si="12"/>
        <v>-129.44999999999982</v>
      </c>
      <c r="L422" s="14">
        <f t="shared" si="13"/>
        <v>-3603.2000000000003</v>
      </c>
    </row>
    <row r="423" spans="1:12" ht="35.15" customHeight="1" x14ac:dyDescent="0.4">
      <c r="A423" s="11" t="s">
        <v>908</v>
      </c>
      <c r="B423" s="11" t="s">
        <v>909</v>
      </c>
      <c r="C423" s="11" t="s">
        <v>51</v>
      </c>
      <c r="D423" s="11" t="s">
        <v>50</v>
      </c>
      <c r="E423" s="18" t="str">
        <f>_xlfn.XLOOKUP(A423,'Current Month'!A:A,'Current Month'!I:I,"")</f>
        <v/>
      </c>
      <c r="F423" s="21" t="str">
        <f>_xlfn.XLOOKUP(A423,'Prior Month'!A:A,'Prior Month'!I:I,"")</f>
        <v/>
      </c>
      <c r="G423" s="18" t="str">
        <f>_xlfn.XLOOKUP(A423,'Year end 2024'!A:A,'Year end 2024'!I:I,"")</f>
        <v/>
      </c>
      <c r="H423" s="19">
        <f>_xlfn.XLOOKUP(A423,'Current Month'!A:A,'Current Month'!E:E,0,0)</f>
        <v>10535.1</v>
      </c>
      <c r="I423" s="32">
        <f>_xlfn.XLOOKUP(A423,'Prior Month'!A:A,'Prior Month'!E:E,0,0)</f>
        <v>9743.43</v>
      </c>
      <c r="J423" s="32">
        <f>_xlfn.XLOOKUP(A423,'Year end 2024'!A:A,'Year end 2024'!E:E,0,0)</f>
        <v>6622.62</v>
      </c>
      <c r="K423" s="14">
        <f t="shared" si="12"/>
        <v>791.67000000000007</v>
      </c>
      <c r="L423" s="14">
        <f t="shared" si="13"/>
        <v>3912.4800000000005</v>
      </c>
    </row>
    <row r="424" spans="1:12" ht="35.15" customHeight="1" x14ac:dyDescent="0.4">
      <c r="A424" s="11" t="s">
        <v>910</v>
      </c>
      <c r="B424" s="11" t="s">
        <v>911</v>
      </c>
      <c r="C424" s="11" t="s">
        <v>19</v>
      </c>
      <c r="D424" s="11" t="s">
        <v>18</v>
      </c>
      <c r="E424" s="18">
        <f>_xlfn.XLOOKUP(A424,'Current Month'!A:A,'Current Month'!I:I,"")</f>
        <v>593.6221700000001</v>
      </c>
      <c r="F424" s="21">
        <f>_xlfn.XLOOKUP(A424,'Prior Month'!A:A,'Prior Month'!I:I,"")</f>
        <v>606.22272999999996</v>
      </c>
      <c r="G424" s="18">
        <f>_xlfn.XLOOKUP(A424,'Year end 2024'!A:A,'Year end 2024'!I:I,"")</f>
        <v>566.48996999999997</v>
      </c>
      <c r="H424" s="19">
        <f>_xlfn.XLOOKUP(A424,'Current Month'!A:A,'Current Month'!E:E,0,0)</f>
        <v>1187244.3400000001</v>
      </c>
      <c r="I424" s="32">
        <f>_xlfn.XLOOKUP(A424,'Prior Month'!A:A,'Prior Month'!E:E,0,0)</f>
        <v>1212445.46</v>
      </c>
      <c r="J424" s="32">
        <f>_xlfn.XLOOKUP(A424,'Year end 2024'!A:A,'Year end 2024'!E:E,0,0)</f>
        <v>1132979.94</v>
      </c>
      <c r="K424" s="14">
        <f t="shared" si="12"/>
        <v>-25201.119999999879</v>
      </c>
      <c r="L424" s="14">
        <f t="shared" si="13"/>
        <v>54264.40000000014</v>
      </c>
    </row>
    <row r="425" spans="1:12" ht="35.15" customHeight="1" x14ac:dyDescent="0.4">
      <c r="A425" s="11" t="s">
        <v>912</v>
      </c>
      <c r="B425" s="11" t="s">
        <v>913</v>
      </c>
      <c r="C425" s="11" t="s">
        <v>457</v>
      </c>
      <c r="D425" s="11" t="s">
        <v>456</v>
      </c>
      <c r="E425" s="18">
        <f>_xlfn.XLOOKUP(A425,'Current Month'!A:A,'Current Month'!I:I,"")</f>
        <v>2.4246557238372123E-2</v>
      </c>
      <c r="F425" s="21">
        <f>_xlfn.XLOOKUP(A425,'Prior Month'!A:A,'Prior Month'!I:I,"")</f>
        <v>3.1473603725764202E-2</v>
      </c>
      <c r="G425" s="18">
        <f>_xlfn.XLOOKUP(A425,'Year end 2024'!A:A,'Year end 2024'!I:I,"")</f>
        <v>2.1879311439134713E-2</v>
      </c>
      <c r="H425" s="19">
        <f>_xlfn.XLOOKUP(A425,'Current Month'!A:A,'Current Month'!E:E,0,0)</f>
        <v>29057</v>
      </c>
      <c r="I425" s="32">
        <f>_xlfn.XLOOKUP(A425,'Prior Month'!A:A,'Prior Month'!E:E,0,0)</f>
        <v>37854.92</v>
      </c>
      <c r="J425" s="32">
        <f>_xlfn.XLOOKUP(A425,'Year end 2024'!A:A,'Year end 2024'!E:E,0,0)</f>
        <v>27081.200000000001</v>
      </c>
      <c r="K425" s="14">
        <f t="shared" si="12"/>
        <v>-8797.9199999999983</v>
      </c>
      <c r="L425" s="14">
        <f t="shared" si="13"/>
        <v>1975.7999999999993</v>
      </c>
    </row>
    <row r="426" spans="1:12" ht="35.15" customHeight="1" x14ac:dyDescent="0.4">
      <c r="A426" s="11" t="s">
        <v>914</v>
      </c>
      <c r="B426" s="11" t="s">
        <v>915</v>
      </c>
      <c r="C426" s="11" t="s">
        <v>259</v>
      </c>
      <c r="D426" s="11" t="s">
        <v>258</v>
      </c>
      <c r="E426" s="18" t="str">
        <f>_xlfn.XLOOKUP(A426,'Current Month'!A:A,'Current Month'!I:I,"")</f>
        <v/>
      </c>
      <c r="F426" s="21" t="str">
        <f>_xlfn.XLOOKUP(A426,'Prior Month'!A:A,'Prior Month'!I:I,"")</f>
        <v/>
      </c>
      <c r="G426" s="18" t="str">
        <f>_xlfn.XLOOKUP(A426,'Year end 2024'!A:A,'Year end 2024'!I:I,"")</f>
        <v/>
      </c>
      <c r="H426" s="19">
        <f>_xlfn.XLOOKUP(A426,'Current Month'!A:A,'Current Month'!E:E,0,0)</f>
        <v>738403.81</v>
      </c>
      <c r="I426" s="32">
        <f>_xlfn.XLOOKUP(A426,'Prior Month'!A:A,'Prior Month'!E:E,0,0)</f>
        <v>580760.17000000004</v>
      </c>
      <c r="J426" s="32">
        <f>_xlfn.XLOOKUP(A426,'Year end 2024'!A:A,'Year end 2024'!E:E,0,0)</f>
        <v>1270031.23</v>
      </c>
      <c r="K426" s="14">
        <f t="shared" si="12"/>
        <v>157643.64000000001</v>
      </c>
      <c r="L426" s="14">
        <f t="shared" si="13"/>
        <v>-531627.41999999993</v>
      </c>
    </row>
    <row r="427" spans="1:12" ht="35.15" customHeight="1" x14ac:dyDescent="0.4">
      <c r="A427" s="11" t="s">
        <v>916</v>
      </c>
      <c r="B427" s="11" t="s">
        <v>917</v>
      </c>
      <c r="C427" s="11" t="s">
        <v>101</v>
      </c>
      <c r="D427" s="11" t="s">
        <v>100</v>
      </c>
      <c r="E427" s="18">
        <f>_xlfn.XLOOKUP(A427,'Current Month'!A:A,'Current Month'!I:I,"")</f>
        <v>0.11799440868438155</v>
      </c>
      <c r="F427" s="21">
        <f>_xlfn.XLOOKUP(A427,'Prior Month'!A:A,'Prior Month'!I:I,"")</f>
        <v>0.20084270612176433</v>
      </c>
      <c r="G427" s="18">
        <f>_xlfn.XLOOKUP(A427,'Year end 2024'!A:A,'Year end 2024'!I:I,"")</f>
        <v>0.28347372371073754</v>
      </c>
      <c r="H427" s="19">
        <f>_xlfn.XLOOKUP(A427,'Current Month'!A:A,'Current Month'!E:E,0,0)</f>
        <v>1242832.8400000001</v>
      </c>
      <c r="I427" s="32">
        <f>_xlfn.XLOOKUP(A427,'Prior Month'!A:A,'Prior Month'!E:E,0,0)</f>
        <v>2119358.73</v>
      </c>
      <c r="J427" s="32">
        <f>_xlfn.XLOOKUP(A427,'Year end 2024'!A:A,'Year end 2024'!E:E,0,0)</f>
        <v>1955425.66</v>
      </c>
      <c r="K427" s="14">
        <f t="shared" si="12"/>
        <v>-876525.8899999999</v>
      </c>
      <c r="L427" s="14">
        <f t="shared" si="13"/>
        <v>-712592.81999999983</v>
      </c>
    </row>
    <row r="428" spans="1:12" ht="35.15" customHeight="1" x14ac:dyDescent="0.4">
      <c r="A428" s="11" t="s">
        <v>918</v>
      </c>
      <c r="B428" s="11" t="s">
        <v>919</v>
      </c>
      <c r="C428" s="11" t="s">
        <v>259</v>
      </c>
      <c r="D428" s="11" t="s">
        <v>258</v>
      </c>
      <c r="E428" s="18" t="str">
        <f>_xlfn.XLOOKUP(A428,'Current Month'!A:A,'Current Month'!I:I,"")</f>
        <v/>
      </c>
      <c r="F428" s="21" t="str">
        <f>_xlfn.XLOOKUP(A428,'Prior Month'!A:A,'Prior Month'!I:I,"")</f>
        <v/>
      </c>
      <c r="G428" s="18">
        <f>_xlfn.XLOOKUP(A428,'Year end 2024'!A:A,'Year end 2024'!I:I,"")</f>
        <v>0.81482513691113645</v>
      </c>
      <c r="H428" s="19">
        <f>_xlfn.XLOOKUP(A428,'Current Month'!A:A,'Current Month'!E:E,0,0)</f>
        <v>30763.88</v>
      </c>
      <c r="I428" s="32">
        <f>_xlfn.XLOOKUP(A428,'Prior Month'!A:A,'Prior Month'!E:E,0,0)</f>
        <v>30763.88</v>
      </c>
      <c r="J428" s="32">
        <f>_xlfn.XLOOKUP(A428,'Year end 2024'!A:A,'Year end 2024'!E:E,0,0)</f>
        <v>362918.83</v>
      </c>
      <c r="K428" s="14">
        <f t="shared" si="12"/>
        <v>0</v>
      </c>
      <c r="L428" s="14">
        <f t="shared" si="13"/>
        <v>-332154.95</v>
      </c>
    </row>
    <row r="429" spans="1:12" ht="35.15" customHeight="1" x14ac:dyDescent="0.4">
      <c r="A429" s="11" t="s">
        <v>920</v>
      </c>
      <c r="B429" s="11" t="s">
        <v>921</v>
      </c>
      <c r="C429" s="11" t="s">
        <v>77</v>
      </c>
      <c r="D429" s="11" t="s">
        <v>76</v>
      </c>
      <c r="E429" s="18" t="str">
        <f>_xlfn.XLOOKUP(A429,'Current Month'!A:A,'Current Month'!I:I,"")</f>
        <v/>
      </c>
      <c r="F429" s="21" t="str">
        <f>_xlfn.XLOOKUP(A429,'Prior Month'!A:A,'Prior Month'!I:I,"")</f>
        <v/>
      </c>
      <c r="G429" s="18" t="str">
        <f>_xlfn.XLOOKUP(A429,'Year end 2024'!A:A,'Year end 2024'!I:I,"")</f>
        <v/>
      </c>
      <c r="H429" s="19">
        <f>_xlfn.XLOOKUP(A429,'Current Month'!A:A,'Current Month'!E:E,0,0)</f>
        <v>205735.29</v>
      </c>
      <c r="I429" s="32">
        <f>_xlfn.XLOOKUP(A429,'Prior Month'!A:A,'Prior Month'!E:E,0,0)</f>
        <v>206028.76</v>
      </c>
      <c r="J429" s="32">
        <f>_xlfn.XLOOKUP(A429,'Year end 2024'!A:A,'Year end 2024'!E:E,0,0)</f>
        <v>190077.84</v>
      </c>
      <c r="K429" s="14">
        <f t="shared" si="12"/>
        <v>-293.47000000000116</v>
      </c>
      <c r="L429" s="14">
        <f t="shared" si="13"/>
        <v>15657.450000000012</v>
      </c>
    </row>
    <row r="430" spans="1:12" ht="35.15" customHeight="1" x14ac:dyDescent="0.4">
      <c r="A430" s="11" t="s">
        <v>922</v>
      </c>
      <c r="B430" s="11" t="s">
        <v>923</v>
      </c>
      <c r="C430" s="11" t="s">
        <v>77</v>
      </c>
      <c r="D430" s="11" t="s">
        <v>76</v>
      </c>
      <c r="E430" s="18" t="str">
        <f>_xlfn.XLOOKUP(A430,'Current Month'!A:A,'Current Month'!I:I,"")</f>
        <v/>
      </c>
      <c r="F430" s="21" t="str">
        <f>_xlfn.XLOOKUP(A430,'Prior Month'!A:A,'Prior Month'!I:I,"")</f>
        <v/>
      </c>
      <c r="G430" s="18" t="str">
        <f>_xlfn.XLOOKUP(A430,'Year end 2024'!A:A,'Year end 2024'!I:I,"")</f>
        <v/>
      </c>
      <c r="H430" s="19">
        <f>_xlfn.XLOOKUP(A430,'Current Month'!A:A,'Current Month'!E:E,0,0)</f>
        <v>92740.479999999996</v>
      </c>
      <c r="I430" s="32">
        <f>_xlfn.XLOOKUP(A430,'Prior Month'!A:A,'Prior Month'!E:E,0,0)</f>
        <v>96299.77</v>
      </c>
      <c r="J430" s="32">
        <f>_xlfn.XLOOKUP(A430,'Year end 2024'!A:A,'Year end 2024'!E:E,0,0)</f>
        <v>73694.75</v>
      </c>
      <c r="K430" s="14">
        <f t="shared" si="12"/>
        <v>-3559.2900000000081</v>
      </c>
      <c r="L430" s="14">
        <f t="shared" si="13"/>
        <v>19045.729999999996</v>
      </c>
    </row>
    <row r="431" spans="1:12" ht="35.15" customHeight="1" x14ac:dyDescent="0.4">
      <c r="A431" s="11" t="s">
        <v>924</v>
      </c>
      <c r="B431" s="11" t="s">
        <v>925</v>
      </c>
      <c r="C431" s="11" t="s">
        <v>33</v>
      </c>
      <c r="D431" s="11" t="s">
        <v>32</v>
      </c>
      <c r="E431" s="18" t="str">
        <f>_xlfn.XLOOKUP(A431,'Current Month'!A:A,'Current Month'!I:I,"")</f>
        <v/>
      </c>
      <c r="F431" s="21" t="str">
        <f>_xlfn.XLOOKUP(A431,'Prior Month'!A:A,'Prior Month'!I:I,"")</f>
        <v/>
      </c>
      <c r="G431" s="18" t="str">
        <f>_xlfn.XLOOKUP(A431,'Year end 2024'!A:A,'Year end 2024'!I:I,"")</f>
        <v/>
      </c>
      <c r="H431" s="19">
        <f>_xlfn.XLOOKUP(A431,'Current Month'!A:A,'Current Month'!E:E,0,0)</f>
        <v>143649.48000000001</v>
      </c>
      <c r="I431" s="32">
        <f>_xlfn.XLOOKUP(A431,'Prior Month'!A:A,'Prior Month'!E:E,0,0)</f>
        <v>161813.95000000001</v>
      </c>
      <c r="J431" s="32">
        <f>_xlfn.XLOOKUP(A431,'Year end 2024'!A:A,'Year end 2024'!E:E,0,0)</f>
        <v>312646.84000000003</v>
      </c>
      <c r="K431" s="14">
        <f t="shared" si="12"/>
        <v>-18164.47</v>
      </c>
      <c r="L431" s="14">
        <f t="shared" si="13"/>
        <v>-168997.36000000002</v>
      </c>
    </row>
    <row r="432" spans="1:12" ht="35.15" customHeight="1" x14ac:dyDescent="0.4">
      <c r="A432" s="11" t="s">
        <v>926</v>
      </c>
      <c r="B432" s="11" t="s">
        <v>927</v>
      </c>
      <c r="C432" s="11" t="s">
        <v>259</v>
      </c>
      <c r="D432" s="11" t="s">
        <v>258</v>
      </c>
      <c r="E432" s="18" t="str">
        <f>_xlfn.XLOOKUP(A432,'Current Month'!A:A,'Current Month'!I:I,"")</f>
        <v/>
      </c>
      <c r="F432" s="21" t="str">
        <f>_xlfn.XLOOKUP(A432,'Prior Month'!A:A,'Prior Month'!I:I,"")</f>
        <v/>
      </c>
      <c r="G432" s="18" t="str">
        <f>_xlfn.XLOOKUP(A432,'Year end 2024'!A:A,'Year end 2024'!I:I,"")</f>
        <v/>
      </c>
      <c r="H432" s="19">
        <f>_xlfn.XLOOKUP(A432,'Current Month'!A:A,'Current Month'!E:E,0,0)</f>
        <v>706914.43</v>
      </c>
      <c r="I432" s="32">
        <f>_xlfn.XLOOKUP(A432,'Prior Month'!A:A,'Prior Month'!E:E,0,0)</f>
        <v>840433.2</v>
      </c>
      <c r="J432" s="32">
        <f>_xlfn.XLOOKUP(A432,'Year end 2024'!A:A,'Year end 2024'!E:E,0,0)</f>
        <v>427320.04</v>
      </c>
      <c r="K432" s="14">
        <f t="shared" si="12"/>
        <v>-133518.7699999999</v>
      </c>
      <c r="L432" s="14">
        <f t="shared" si="13"/>
        <v>279594.39000000007</v>
      </c>
    </row>
    <row r="433" spans="1:12" ht="35.15" customHeight="1" x14ac:dyDescent="0.4">
      <c r="A433" s="11" t="s">
        <v>928</v>
      </c>
      <c r="B433" s="11" t="s">
        <v>929</v>
      </c>
      <c r="C433" s="11" t="s">
        <v>19</v>
      </c>
      <c r="D433" s="11" t="s">
        <v>18</v>
      </c>
      <c r="E433" s="18" t="str">
        <f>_xlfn.XLOOKUP(A433,'Current Month'!A:A,'Current Month'!I:I,"")</f>
        <v/>
      </c>
      <c r="F433" s="21" t="str">
        <f>_xlfn.XLOOKUP(A433,'Prior Month'!A:A,'Prior Month'!I:I,"")</f>
        <v/>
      </c>
      <c r="G433" s="18" t="str">
        <f>_xlfn.XLOOKUP(A433,'Year end 2024'!A:A,'Year end 2024'!I:I,"")</f>
        <v/>
      </c>
      <c r="H433" s="19">
        <f>_xlfn.XLOOKUP(A433,'Current Month'!A:A,'Current Month'!E:E,0,0)</f>
        <v>15674.08</v>
      </c>
      <c r="I433" s="32">
        <f>_xlfn.XLOOKUP(A433,'Prior Month'!A:A,'Prior Month'!E:E,0,0)</f>
        <v>15657.72</v>
      </c>
      <c r="J433" s="32">
        <f>_xlfn.XLOOKUP(A433,'Year end 2024'!A:A,'Year end 2024'!E:E,0,0)</f>
        <v>114779.95</v>
      </c>
      <c r="K433" s="14">
        <f t="shared" si="12"/>
        <v>16.360000000000582</v>
      </c>
      <c r="L433" s="14">
        <f t="shared" si="13"/>
        <v>-99105.87</v>
      </c>
    </row>
    <row r="434" spans="1:12" ht="35.15" customHeight="1" x14ac:dyDescent="0.4">
      <c r="A434" s="11" t="s">
        <v>930</v>
      </c>
      <c r="B434" s="11" t="s">
        <v>931</v>
      </c>
      <c r="C434" s="11" t="s">
        <v>253</v>
      </c>
      <c r="D434" s="11" t="s">
        <v>252</v>
      </c>
      <c r="E434" s="18">
        <f>_xlfn.XLOOKUP(A434,'Current Month'!A:A,'Current Month'!I:I,"")</f>
        <v>0.30637605303964521</v>
      </c>
      <c r="F434" s="21">
        <f>_xlfn.XLOOKUP(A434,'Prior Month'!A:A,'Prior Month'!I:I,"")</f>
        <v>0.47543325382414137</v>
      </c>
      <c r="G434" s="18">
        <f>_xlfn.XLOOKUP(A434,'Year end 2024'!A:A,'Year end 2024'!I:I,"")</f>
        <v>0.59274280189974315</v>
      </c>
      <c r="H434" s="19">
        <f>_xlfn.XLOOKUP(A434,'Current Month'!A:A,'Current Month'!E:E,0,0)</f>
        <v>288826.75</v>
      </c>
      <c r="I434" s="32">
        <f>_xlfn.XLOOKUP(A434,'Prior Month'!A:A,'Prior Month'!E:E,0,0)</f>
        <v>450939.66</v>
      </c>
      <c r="J434" s="32">
        <f>_xlfn.XLOOKUP(A434,'Year end 2024'!A:A,'Year end 2024'!E:E,0,0)</f>
        <v>590532.79</v>
      </c>
      <c r="K434" s="14">
        <f t="shared" si="12"/>
        <v>-162112.90999999997</v>
      </c>
      <c r="L434" s="14">
        <f t="shared" si="13"/>
        <v>-301706.04000000004</v>
      </c>
    </row>
    <row r="435" spans="1:12" ht="35.15" customHeight="1" x14ac:dyDescent="0.4">
      <c r="A435" s="11" t="s">
        <v>932</v>
      </c>
      <c r="B435" s="11" t="s">
        <v>933</v>
      </c>
      <c r="C435" s="11" t="s">
        <v>57</v>
      </c>
      <c r="D435" s="11" t="s">
        <v>56</v>
      </c>
      <c r="E435" s="18" t="str">
        <f>_xlfn.XLOOKUP(A435,'Current Month'!A:A,'Current Month'!I:I,"")</f>
        <v/>
      </c>
      <c r="F435" s="21" t="str">
        <f>_xlfn.XLOOKUP(A435,'Prior Month'!A:A,'Prior Month'!I:I,"")</f>
        <v/>
      </c>
      <c r="G435" s="18" t="str">
        <f>_xlfn.XLOOKUP(A435,'Year end 2024'!A:A,'Year end 2024'!I:I,"")</f>
        <v/>
      </c>
      <c r="H435" s="19">
        <f>_xlfn.XLOOKUP(A435,'Current Month'!A:A,'Current Month'!E:E,0,0)</f>
        <v>161600.41</v>
      </c>
      <c r="I435" s="32">
        <f>_xlfn.XLOOKUP(A435,'Prior Month'!A:A,'Prior Month'!E:E,0,0)</f>
        <v>220906.68</v>
      </c>
      <c r="J435" s="32">
        <f>_xlfn.XLOOKUP(A435,'Year end 2024'!A:A,'Year end 2024'!E:E,0,0)</f>
        <v>100862.62</v>
      </c>
      <c r="K435" s="14">
        <f t="shared" si="12"/>
        <v>-59306.26999999999</v>
      </c>
      <c r="L435" s="14">
        <f t="shared" si="13"/>
        <v>60737.790000000008</v>
      </c>
    </row>
    <row r="436" spans="1:12" ht="35.15" customHeight="1" x14ac:dyDescent="0.4">
      <c r="A436" s="11" t="s">
        <v>934</v>
      </c>
      <c r="B436" s="11" t="s">
        <v>935</v>
      </c>
      <c r="C436" s="11" t="s">
        <v>33</v>
      </c>
      <c r="D436" s="11" t="s">
        <v>32</v>
      </c>
      <c r="E436" s="18" t="str">
        <f>_xlfn.XLOOKUP(A436,'Current Month'!A:A,'Current Month'!I:I,"")</f>
        <v/>
      </c>
      <c r="F436" s="21" t="str">
        <f>_xlfn.XLOOKUP(A436,'Prior Month'!A:A,'Prior Month'!I:I,"")</f>
        <v/>
      </c>
      <c r="G436" s="18" t="str">
        <f>_xlfn.XLOOKUP(A436,'Year end 2024'!A:A,'Year end 2024'!I:I,"")</f>
        <v/>
      </c>
      <c r="H436" s="19">
        <f>_xlfn.XLOOKUP(A436,'Current Month'!A:A,'Current Month'!E:E,0,0)</f>
        <v>209890.69</v>
      </c>
      <c r="I436" s="32">
        <f>_xlfn.XLOOKUP(A436,'Prior Month'!A:A,'Prior Month'!E:E,0,0)</f>
        <v>209920.69</v>
      </c>
      <c r="J436" s="32">
        <f>_xlfn.XLOOKUP(A436,'Year end 2024'!A:A,'Year end 2024'!E:E,0,0)</f>
        <v>210190.69</v>
      </c>
      <c r="K436" s="14">
        <f t="shared" si="12"/>
        <v>-30</v>
      </c>
      <c r="L436" s="14">
        <f t="shared" si="13"/>
        <v>-300</v>
      </c>
    </row>
    <row r="437" spans="1:12" ht="35.15" customHeight="1" x14ac:dyDescent="0.4">
      <c r="A437" s="11" t="s">
        <v>936</v>
      </c>
      <c r="B437" s="11" t="s">
        <v>937</v>
      </c>
      <c r="C437" s="11" t="s">
        <v>259</v>
      </c>
      <c r="D437" s="11" t="s">
        <v>258</v>
      </c>
      <c r="E437" s="18">
        <f>_xlfn.XLOOKUP(A437,'Current Month'!A:A,'Current Month'!I:I,"")</f>
        <v>3.3163038307456844E-2</v>
      </c>
      <c r="F437" s="21">
        <f>_xlfn.XLOOKUP(A437,'Prior Month'!A:A,'Prior Month'!I:I,"")</f>
        <v>6.7920009830142458E-2</v>
      </c>
      <c r="G437" s="18">
        <f>_xlfn.XLOOKUP(A437,'Year end 2024'!A:A,'Year end 2024'!I:I,"")</f>
        <v>0.20376861299383617</v>
      </c>
      <c r="H437" s="19">
        <f>_xlfn.XLOOKUP(A437,'Current Month'!A:A,'Current Month'!E:E,0,0)</f>
        <v>111280.79</v>
      </c>
      <c r="I437" s="32">
        <f>_xlfn.XLOOKUP(A437,'Prior Month'!A:A,'Prior Month'!E:E,0,0)</f>
        <v>228616.95999999999</v>
      </c>
      <c r="J437" s="32">
        <f>_xlfn.XLOOKUP(A437,'Year end 2024'!A:A,'Year end 2024'!E:E,0,0)</f>
        <v>702022.68</v>
      </c>
      <c r="K437" s="14">
        <f t="shared" si="12"/>
        <v>-117336.17</v>
      </c>
      <c r="L437" s="14">
        <f t="shared" si="13"/>
        <v>-590741.89</v>
      </c>
    </row>
    <row r="438" spans="1:12" ht="35.15" customHeight="1" x14ac:dyDescent="0.4">
      <c r="A438" s="11" t="s">
        <v>938</v>
      </c>
      <c r="B438" s="11" t="s">
        <v>939</v>
      </c>
      <c r="C438" s="11" t="s">
        <v>33</v>
      </c>
      <c r="D438" s="11" t="s">
        <v>32</v>
      </c>
      <c r="E438" s="18">
        <f>_xlfn.XLOOKUP(A438,'Current Month'!A:A,'Current Month'!I:I,"")</f>
        <v>75.472016993903651</v>
      </c>
      <c r="F438" s="21">
        <f>_xlfn.XLOOKUP(A438,'Prior Month'!A:A,'Prior Month'!I:I,"")</f>
        <v>56.431394103790424</v>
      </c>
      <c r="G438" s="18">
        <f>_xlfn.XLOOKUP(A438,'Year end 2024'!A:A,'Year end 2024'!I:I,"")</f>
        <v>24.981189906316295</v>
      </c>
      <c r="H438" s="19">
        <f>_xlfn.XLOOKUP(A438,'Current Month'!A:A,'Current Month'!E:E,0,0)</f>
        <v>453349.84</v>
      </c>
      <c r="I438" s="32">
        <f>_xlfn.XLOOKUP(A438,'Prior Month'!A:A,'Prior Month'!E:E,0,0)</f>
        <v>395273.7</v>
      </c>
      <c r="J438" s="32">
        <f>_xlfn.XLOOKUP(A438,'Year end 2024'!A:A,'Year end 2024'!E:E,0,0)</f>
        <v>395048.79</v>
      </c>
      <c r="K438" s="14">
        <f t="shared" si="12"/>
        <v>58076.140000000014</v>
      </c>
      <c r="L438" s="14">
        <f t="shared" si="13"/>
        <v>58301.050000000047</v>
      </c>
    </row>
    <row r="439" spans="1:12" ht="35.15" customHeight="1" x14ac:dyDescent="0.4">
      <c r="A439" s="11" t="s">
        <v>940</v>
      </c>
      <c r="B439" s="11" t="s">
        <v>941</v>
      </c>
      <c r="C439" s="11" t="s">
        <v>77</v>
      </c>
      <c r="D439" s="11" t="s">
        <v>76</v>
      </c>
      <c r="E439" s="18" t="str">
        <f>_xlfn.XLOOKUP(A439,'Current Month'!A:A,'Current Month'!I:I,"")</f>
        <v/>
      </c>
      <c r="F439" s="21" t="str">
        <f>_xlfn.XLOOKUP(A439,'Prior Month'!A:A,'Prior Month'!I:I,"")</f>
        <v/>
      </c>
      <c r="G439" s="18" t="str">
        <f>_xlfn.XLOOKUP(A439,'Year end 2024'!A:A,'Year end 2024'!I:I,"")</f>
        <v/>
      </c>
      <c r="H439" s="19">
        <f>_xlfn.XLOOKUP(A439,'Current Month'!A:A,'Current Month'!E:E,0,0)</f>
        <v>32225.86</v>
      </c>
      <c r="I439" s="32">
        <f>_xlfn.XLOOKUP(A439,'Prior Month'!A:A,'Prior Month'!E:E,0,0)</f>
        <v>29135.69</v>
      </c>
      <c r="J439" s="32">
        <f>_xlfn.XLOOKUP(A439,'Year end 2024'!A:A,'Year end 2024'!E:E,0,0)</f>
        <v>33893.699999999997</v>
      </c>
      <c r="K439" s="14">
        <f t="shared" si="12"/>
        <v>3090.1700000000019</v>
      </c>
      <c r="L439" s="14">
        <f t="shared" si="13"/>
        <v>-1667.8399999999965</v>
      </c>
    </row>
    <row r="440" spans="1:12" ht="35.15" customHeight="1" x14ac:dyDescent="0.4">
      <c r="A440" s="11" t="s">
        <v>942</v>
      </c>
      <c r="B440" s="11" t="s">
        <v>943</v>
      </c>
      <c r="C440" s="11" t="s">
        <v>259</v>
      </c>
      <c r="D440" s="11" t="s">
        <v>258</v>
      </c>
      <c r="E440" s="18">
        <f>_xlfn.XLOOKUP(A440,'Current Month'!A:A,'Current Month'!I:I,"")</f>
        <v>2.7949895894010965</v>
      </c>
      <c r="F440" s="21">
        <f>_xlfn.XLOOKUP(A440,'Prior Month'!A:A,'Prior Month'!I:I,"")</f>
        <v>2.433847353069948</v>
      </c>
      <c r="G440" s="18">
        <f>_xlfn.XLOOKUP(A440,'Year end 2024'!A:A,'Year end 2024'!I:I,"")</f>
        <v>0.45385148122631291</v>
      </c>
      <c r="H440" s="19">
        <f>_xlfn.XLOOKUP(A440,'Current Month'!A:A,'Current Month'!E:E,0,0)</f>
        <v>3443827.78</v>
      </c>
      <c r="I440" s="32">
        <f>_xlfn.XLOOKUP(A440,'Prior Month'!A:A,'Prior Month'!E:E,0,0)</f>
        <v>3029853.15</v>
      </c>
      <c r="J440" s="32">
        <f>_xlfn.XLOOKUP(A440,'Year end 2024'!A:A,'Year end 2024'!E:E,0,0)</f>
        <v>606968.54</v>
      </c>
      <c r="K440" s="14">
        <f t="shared" si="12"/>
        <v>413974.62999999989</v>
      </c>
      <c r="L440" s="14">
        <f t="shared" si="13"/>
        <v>2836859.2399999998</v>
      </c>
    </row>
    <row r="441" spans="1:12" ht="35.15" customHeight="1" x14ac:dyDescent="0.4">
      <c r="A441" s="11" t="s">
        <v>944</v>
      </c>
      <c r="B441" s="11" t="s">
        <v>945</v>
      </c>
      <c r="C441" s="11" t="s">
        <v>57</v>
      </c>
      <c r="D441" s="11" t="s">
        <v>56</v>
      </c>
      <c r="E441" s="18" t="str">
        <f>_xlfn.XLOOKUP(A441,'Current Month'!A:A,'Current Month'!I:I,"")</f>
        <v/>
      </c>
      <c r="F441" s="21" t="str">
        <f>_xlfn.XLOOKUP(A441,'Prior Month'!A:A,'Prior Month'!I:I,"")</f>
        <v/>
      </c>
      <c r="G441" s="18" t="str">
        <f>_xlfn.XLOOKUP(A441,'Year end 2024'!A:A,'Year end 2024'!I:I,"")</f>
        <v/>
      </c>
      <c r="H441" s="19">
        <f>_xlfn.XLOOKUP(A441,'Current Month'!A:A,'Current Month'!E:E,0,0)</f>
        <v>7286.03</v>
      </c>
      <c r="I441" s="32">
        <f>_xlfn.XLOOKUP(A441,'Prior Month'!A:A,'Prior Month'!E:E,0,0)</f>
        <v>11543.52</v>
      </c>
      <c r="J441" s="32">
        <f>_xlfn.XLOOKUP(A441,'Year end 2024'!A:A,'Year end 2024'!E:E,0,0)</f>
        <v>5619.79</v>
      </c>
      <c r="K441" s="14">
        <f t="shared" si="12"/>
        <v>-4257.4900000000007</v>
      </c>
      <c r="L441" s="14">
        <f t="shared" si="13"/>
        <v>1666.2399999999998</v>
      </c>
    </row>
    <row r="442" spans="1:12" ht="35.15" customHeight="1" x14ac:dyDescent="0.4">
      <c r="A442" s="11" t="s">
        <v>946</v>
      </c>
      <c r="B442" s="11" t="s">
        <v>947</v>
      </c>
      <c r="C442" s="11" t="s">
        <v>57</v>
      </c>
      <c r="D442" s="11" t="s">
        <v>56</v>
      </c>
      <c r="E442" s="18">
        <f>_xlfn.XLOOKUP(A442,'Current Month'!A:A,'Current Month'!I:I,"")</f>
        <v>0.31845526666666668</v>
      </c>
      <c r="F442" s="21">
        <f>_xlfn.XLOOKUP(A442,'Prior Month'!A:A,'Prior Month'!I:I,"")</f>
        <v>0.28117406666666667</v>
      </c>
      <c r="G442" s="18">
        <f>_xlfn.XLOOKUP(A442,'Year end 2024'!A:A,'Year end 2024'!I:I,"")</f>
        <v>0.31546703448275865</v>
      </c>
      <c r="H442" s="19">
        <f>_xlfn.XLOOKUP(A442,'Current Month'!A:A,'Current Month'!E:E,0,0)</f>
        <v>47768.29</v>
      </c>
      <c r="I442" s="32">
        <f>_xlfn.XLOOKUP(A442,'Prior Month'!A:A,'Prior Month'!E:E,0,0)</f>
        <v>42176.11</v>
      </c>
      <c r="J442" s="32">
        <f>_xlfn.XLOOKUP(A442,'Year end 2024'!A:A,'Year end 2024'!E:E,0,0)</f>
        <v>45742.720000000001</v>
      </c>
      <c r="K442" s="14">
        <f t="shared" si="12"/>
        <v>5592.18</v>
      </c>
      <c r="L442" s="14">
        <f t="shared" si="13"/>
        <v>2025.5699999999997</v>
      </c>
    </row>
    <row r="443" spans="1:12" ht="35.15" customHeight="1" x14ac:dyDescent="0.4">
      <c r="A443" s="11" t="s">
        <v>948</v>
      </c>
      <c r="B443" s="11" t="s">
        <v>949</v>
      </c>
      <c r="C443" s="11" t="s">
        <v>19</v>
      </c>
      <c r="D443" s="11" t="s">
        <v>18</v>
      </c>
      <c r="E443" s="18">
        <f>_xlfn.XLOOKUP(A443,'Current Month'!A:A,'Current Month'!I:I,"")</f>
        <v>14.467297083376176</v>
      </c>
      <c r="F443" s="21">
        <f>_xlfn.XLOOKUP(A443,'Prior Month'!A:A,'Prior Month'!I:I,"")</f>
        <v>26.78740807076915</v>
      </c>
      <c r="G443" s="18">
        <f>_xlfn.XLOOKUP(A443,'Year end 2024'!A:A,'Year end 2024'!I:I,"")</f>
        <v>7.3565194331754213</v>
      </c>
      <c r="H443" s="19">
        <f>_xlfn.XLOOKUP(A443,'Current Month'!A:A,'Current Month'!E:E,0,0)</f>
        <v>121001.29</v>
      </c>
      <c r="I443" s="32">
        <f>_xlfn.XLOOKUP(A443,'Prior Month'!A:A,'Prior Month'!E:E,0,0)</f>
        <v>235408.01</v>
      </c>
      <c r="J443" s="32">
        <f>_xlfn.XLOOKUP(A443,'Year end 2024'!A:A,'Year end 2024'!E:E,0,0)</f>
        <v>92100.46</v>
      </c>
      <c r="K443" s="14">
        <f t="shared" si="12"/>
        <v>-114406.72000000002</v>
      </c>
      <c r="L443" s="14">
        <f t="shared" si="13"/>
        <v>28900.829999999987</v>
      </c>
    </row>
    <row r="444" spans="1:12" ht="35.15" customHeight="1" x14ac:dyDescent="0.4">
      <c r="A444" s="11" t="s">
        <v>950</v>
      </c>
      <c r="B444" s="11" t="s">
        <v>951</v>
      </c>
      <c r="C444" s="11" t="s">
        <v>109</v>
      </c>
      <c r="D444" s="11" t="s">
        <v>108</v>
      </c>
      <c r="E444" s="18" t="str">
        <f>_xlfn.XLOOKUP(A444,'Current Month'!A:A,'Current Month'!I:I,"")</f>
        <v/>
      </c>
      <c r="F444" s="21" t="str">
        <f>_xlfn.XLOOKUP(A444,'Prior Month'!A:A,'Prior Month'!I:I,"")</f>
        <v/>
      </c>
      <c r="G444" s="18" t="str">
        <f>_xlfn.XLOOKUP(A444,'Year end 2024'!A:A,'Year end 2024'!I:I,"")</f>
        <v/>
      </c>
      <c r="H444" s="19">
        <f>_xlfn.XLOOKUP(A444,'Current Month'!A:A,'Current Month'!E:E,0,0)</f>
        <v>170512.66</v>
      </c>
      <c r="I444" s="32">
        <f>_xlfn.XLOOKUP(A444,'Prior Month'!A:A,'Prior Month'!E:E,0,0)</f>
        <v>389699.86</v>
      </c>
      <c r="J444" s="32">
        <f>_xlfn.XLOOKUP(A444,'Year end 2024'!A:A,'Year end 2024'!E:E,0,0)</f>
        <v>314047.78000000003</v>
      </c>
      <c r="K444" s="14">
        <f t="shared" si="12"/>
        <v>-219187.19999999998</v>
      </c>
      <c r="L444" s="14">
        <f t="shared" si="13"/>
        <v>-143535.12000000002</v>
      </c>
    </row>
    <row r="445" spans="1:12" ht="35.15" customHeight="1" x14ac:dyDescent="0.4">
      <c r="A445" s="11" t="s">
        <v>952</v>
      </c>
      <c r="B445" s="11" t="s">
        <v>953</v>
      </c>
      <c r="C445" s="11" t="s">
        <v>457</v>
      </c>
      <c r="D445" s="11" t="s">
        <v>456</v>
      </c>
      <c r="E445" s="18">
        <f>_xlfn.XLOOKUP(A445,'Current Month'!A:A,'Current Month'!I:I,"")</f>
        <v>0</v>
      </c>
      <c r="F445" s="21">
        <f>_xlfn.XLOOKUP(A445,'Prior Month'!A:A,'Prior Month'!I:I,"")</f>
        <v>0</v>
      </c>
      <c r="G445" s="18">
        <f>_xlfn.XLOOKUP(A445,'Year end 2024'!A:A,'Year end 2024'!I:I,"")</f>
        <v>0</v>
      </c>
      <c r="H445" s="19">
        <f>_xlfn.XLOOKUP(A445,'Current Month'!A:A,'Current Month'!E:E,0,0)</f>
        <v>0</v>
      </c>
      <c r="I445" s="32">
        <f>_xlfn.XLOOKUP(A445,'Prior Month'!A:A,'Prior Month'!E:E,0,0)</f>
        <v>0</v>
      </c>
      <c r="J445" s="32">
        <f>_xlfn.XLOOKUP(A445,'Year end 2024'!A:A,'Year end 2024'!E:E,0,0)</f>
        <v>0</v>
      </c>
      <c r="K445" s="14">
        <f t="shared" ref="K445:K508" si="14">IFERROR(SUM(H445-I445),H445)</f>
        <v>0</v>
      </c>
      <c r="L445" s="14">
        <f t="shared" ref="L445:L508" si="15">IFERROR(SUM(H445-J445),H445)</f>
        <v>0</v>
      </c>
    </row>
    <row r="446" spans="1:12" ht="35.15" customHeight="1" x14ac:dyDescent="0.4">
      <c r="A446" s="11" t="s">
        <v>954</v>
      </c>
      <c r="B446" s="11" t="s">
        <v>955</v>
      </c>
      <c r="C446" s="11" t="s">
        <v>33</v>
      </c>
      <c r="D446" s="11" t="s">
        <v>32</v>
      </c>
      <c r="E446" s="18" t="str">
        <f>_xlfn.XLOOKUP(A446,'Current Month'!A:A,'Current Month'!I:I,"")</f>
        <v/>
      </c>
      <c r="F446" s="21" t="str">
        <f>_xlfn.XLOOKUP(A446,'Prior Month'!A:A,'Prior Month'!I:I,"")</f>
        <v/>
      </c>
      <c r="G446" s="18" t="str">
        <f>_xlfn.XLOOKUP(A446,'Year end 2024'!A:A,'Year end 2024'!I:I,"")</f>
        <v/>
      </c>
      <c r="H446" s="19">
        <f>_xlfn.XLOOKUP(A446,'Current Month'!A:A,'Current Month'!E:E,0,0)</f>
        <v>66942.19</v>
      </c>
      <c r="I446" s="32">
        <f>_xlfn.XLOOKUP(A446,'Prior Month'!A:A,'Prior Month'!E:E,0,0)</f>
        <v>48087.55</v>
      </c>
      <c r="J446" s="32">
        <f>_xlfn.XLOOKUP(A446,'Year end 2024'!A:A,'Year end 2024'!E:E,0,0)</f>
        <v>182839.93</v>
      </c>
      <c r="K446" s="14">
        <f t="shared" si="14"/>
        <v>18854.64</v>
      </c>
      <c r="L446" s="14">
        <f t="shared" si="15"/>
        <v>-115897.73999999999</v>
      </c>
    </row>
    <row r="447" spans="1:12" ht="35.15" customHeight="1" x14ac:dyDescent="0.4">
      <c r="A447" s="11" t="s">
        <v>956</v>
      </c>
      <c r="B447" s="11" t="s">
        <v>957</v>
      </c>
      <c r="C447" s="11" t="s">
        <v>253</v>
      </c>
      <c r="D447" s="11" t="s">
        <v>252</v>
      </c>
      <c r="E447" s="18">
        <f>_xlfn.XLOOKUP(A447,'Current Month'!A:A,'Current Month'!I:I,"")</f>
        <v>6.3376807355847942E-2</v>
      </c>
      <c r="F447" s="21">
        <f>_xlfn.XLOOKUP(A447,'Prior Month'!A:A,'Prior Month'!I:I,"")</f>
        <v>0.21485045549615936</v>
      </c>
      <c r="G447" s="18">
        <f>_xlfn.XLOOKUP(A447,'Year end 2024'!A:A,'Year end 2024'!I:I,"")</f>
        <v>6.3615640449780339E-2</v>
      </c>
      <c r="H447" s="19">
        <f>_xlfn.XLOOKUP(A447,'Current Month'!A:A,'Current Month'!E:E,0,0)</f>
        <v>113221.44</v>
      </c>
      <c r="I447" s="32">
        <f>_xlfn.XLOOKUP(A447,'Prior Month'!A:A,'Prior Month'!E:E,0,0)</f>
        <v>385344.97</v>
      </c>
      <c r="J447" s="32">
        <f>_xlfn.XLOOKUP(A447,'Year end 2024'!A:A,'Year end 2024'!E:E,0,0)</f>
        <v>99613.55</v>
      </c>
      <c r="K447" s="14">
        <f t="shared" si="14"/>
        <v>-272123.52999999997</v>
      </c>
      <c r="L447" s="14">
        <f t="shared" si="15"/>
        <v>13607.89</v>
      </c>
    </row>
    <row r="448" spans="1:12" ht="35.15" customHeight="1" x14ac:dyDescent="0.4">
      <c r="A448" s="11" t="s">
        <v>958</v>
      </c>
      <c r="B448" s="11" t="s">
        <v>959</v>
      </c>
      <c r="C448" s="11" t="s">
        <v>19</v>
      </c>
      <c r="D448" s="11" t="s">
        <v>18</v>
      </c>
      <c r="E448" s="18" t="str">
        <f>_xlfn.XLOOKUP(A448,'Current Month'!A:A,'Current Month'!I:I,"")</f>
        <v/>
      </c>
      <c r="F448" s="21" t="str">
        <f>_xlfn.XLOOKUP(A448,'Prior Month'!A:A,'Prior Month'!I:I,"")</f>
        <v/>
      </c>
      <c r="G448" s="18" t="str">
        <f>_xlfn.XLOOKUP(A448,'Year end 2024'!A:A,'Year end 2024'!I:I,"")</f>
        <v/>
      </c>
      <c r="H448" s="19">
        <f>_xlfn.XLOOKUP(A448,'Current Month'!A:A,'Current Month'!E:E,0,0)</f>
        <v>25561.57</v>
      </c>
      <c r="I448" s="32">
        <f>_xlfn.XLOOKUP(A448,'Prior Month'!A:A,'Prior Month'!E:E,0,0)</f>
        <v>23312.81</v>
      </c>
      <c r="J448" s="32">
        <f>_xlfn.XLOOKUP(A448,'Year end 2024'!A:A,'Year end 2024'!E:E,0,0)</f>
        <v>51551.67</v>
      </c>
      <c r="K448" s="14">
        <f t="shared" si="14"/>
        <v>2248.7599999999984</v>
      </c>
      <c r="L448" s="14">
        <f t="shared" si="15"/>
        <v>-25990.1</v>
      </c>
    </row>
    <row r="449" spans="1:12" ht="35.15" customHeight="1" x14ac:dyDescent="0.4">
      <c r="A449" s="11" t="s">
        <v>960</v>
      </c>
      <c r="B449" s="11" t="s">
        <v>961</v>
      </c>
      <c r="C449" s="11" t="s">
        <v>29</v>
      </c>
      <c r="D449" s="11" t="s">
        <v>28</v>
      </c>
      <c r="E449" s="18">
        <f>_xlfn.XLOOKUP(A449,'Current Month'!A:A,'Current Month'!I:I,"")</f>
        <v>5.1047855367242052E-2</v>
      </c>
      <c r="F449" s="21">
        <f>_xlfn.XLOOKUP(A449,'Prior Month'!A:A,'Prior Month'!I:I,"")</f>
        <v>4.0568848930608553E-2</v>
      </c>
      <c r="G449" s="18">
        <f>_xlfn.XLOOKUP(A449,'Year end 2024'!A:A,'Year end 2024'!I:I,"")</f>
        <v>1.1782127311334163E-2</v>
      </c>
      <c r="H449" s="19">
        <f>_xlfn.XLOOKUP(A449,'Current Month'!A:A,'Current Month'!E:E,0,0)</f>
        <v>24362.03</v>
      </c>
      <c r="I449" s="32">
        <f>_xlfn.XLOOKUP(A449,'Prior Month'!A:A,'Prior Month'!E:E,0,0)</f>
        <v>19428.04</v>
      </c>
      <c r="J449" s="32">
        <f>_xlfn.XLOOKUP(A449,'Year end 2024'!A:A,'Year end 2024'!E:E,0,0)</f>
        <v>5808.39</v>
      </c>
      <c r="K449" s="14">
        <f t="shared" si="14"/>
        <v>4933.989999999998</v>
      </c>
      <c r="L449" s="14">
        <f t="shared" si="15"/>
        <v>18553.64</v>
      </c>
    </row>
    <row r="450" spans="1:12" ht="35.15" customHeight="1" x14ac:dyDescent="0.4">
      <c r="A450" s="11" t="s">
        <v>962</v>
      </c>
      <c r="B450" s="11" t="s">
        <v>963</v>
      </c>
      <c r="C450" s="11" t="s">
        <v>965</v>
      </c>
      <c r="D450" s="11" t="s">
        <v>964</v>
      </c>
      <c r="E450" s="18" t="str">
        <f>_xlfn.XLOOKUP(A450,'Current Month'!A:A,'Current Month'!I:I,"")</f>
        <v/>
      </c>
      <c r="F450" s="21" t="str">
        <f>_xlfn.XLOOKUP(A450,'Prior Month'!A:A,'Prior Month'!I:I,"")</f>
        <v/>
      </c>
      <c r="G450" s="18" t="str">
        <f>_xlfn.XLOOKUP(A450,'Year end 2024'!A:A,'Year end 2024'!I:I,"")</f>
        <v/>
      </c>
      <c r="H450" s="19">
        <f>_xlfn.XLOOKUP(A450,'Current Month'!A:A,'Current Month'!E:E,0,0)</f>
        <v>702920.17</v>
      </c>
      <c r="I450" s="32">
        <f>_xlfn.XLOOKUP(A450,'Prior Month'!A:A,'Prior Month'!E:E,0,0)</f>
        <v>702925.17</v>
      </c>
      <c r="J450" s="32">
        <f>_xlfn.XLOOKUP(A450,'Year end 2024'!A:A,'Year end 2024'!E:E,0,0)</f>
        <v>712330.17</v>
      </c>
      <c r="K450" s="14">
        <f t="shared" si="14"/>
        <v>-5</v>
      </c>
      <c r="L450" s="14">
        <f t="shared" si="15"/>
        <v>-9410</v>
      </c>
    </row>
    <row r="451" spans="1:12" ht="35.15" customHeight="1" x14ac:dyDescent="0.4">
      <c r="A451" s="11" t="s">
        <v>966</v>
      </c>
      <c r="B451" s="11" t="s">
        <v>967</v>
      </c>
      <c r="C451" s="11" t="s">
        <v>259</v>
      </c>
      <c r="D451" s="11" t="s">
        <v>258</v>
      </c>
      <c r="E451" s="18">
        <f>_xlfn.XLOOKUP(A451,'Current Month'!A:A,'Current Month'!I:I,"")</f>
        <v>1.5558046862966437E-2</v>
      </c>
      <c r="F451" s="21">
        <f>_xlfn.XLOOKUP(A451,'Prior Month'!A:A,'Prior Month'!I:I,"")</f>
        <v>8.6396362914585145E-3</v>
      </c>
      <c r="G451" s="18">
        <f>_xlfn.XLOOKUP(A451,'Year end 2024'!A:A,'Year end 2024'!I:I,"")</f>
        <v>5.9341956487237394E-3</v>
      </c>
      <c r="H451" s="19">
        <f>_xlfn.XLOOKUP(A451,'Current Month'!A:A,'Current Month'!E:E,0,0)</f>
        <v>20898.32</v>
      </c>
      <c r="I451" s="32">
        <f>_xlfn.XLOOKUP(A451,'Prior Month'!A:A,'Prior Month'!E:E,0,0)</f>
        <v>11675.25</v>
      </c>
      <c r="J451" s="32">
        <f>_xlfn.XLOOKUP(A451,'Year end 2024'!A:A,'Year end 2024'!E:E,0,0)</f>
        <v>8416.64</v>
      </c>
      <c r="K451" s="14">
        <f t="shared" si="14"/>
        <v>9223.07</v>
      </c>
      <c r="L451" s="14">
        <f t="shared" si="15"/>
        <v>12481.68</v>
      </c>
    </row>
    <row r="452" spans="1:12" ht="35.15" customHeight="1" x14ac:dyDescent="0.4">
      <c r="A452" s="11" t="s">
        <v>968</v>
      </c>
      <c r="B452" s="11" t="s">
        <v>969</v>
      </c>
      <c r="C452" s="11" t="s">
        <v>33</v>
      </c>
      <c r="D452" s="11" t="s">
        <v>32</v>
      </c>
      <c r="E452" s="18" t="str">
        <f>_xlfn.XLOOKUP(A452,'Current Month'!A:A,'Current Month'!I:I,"")</f>
        <v/>
      </c>
      <c r="F452" s="21" t="str">
        <f>_xlfn.XLOOKUP(A452,'Prior Month'!A:A,'Prior Month'!I:I,"")</f>
        <v/>
      </c>
      <c r="G452" s="18" t="str">
        <f>_xlfn.XLOOKUP(A452,'Year end 2024'!A:A,'Year end 2024'!I:I,"")</f>
        <v/>
      </c>
      <c r="H452" s="19">
        <f>_xlfn.XLOOKUP(A452,'Current Month'!A:A,'Current Month'!E:E,0,0)</f>
        <v>346425.33</v>
      </c>
      <c r="I452" s="32">
        <f>_xlfn.XLOOKUP(A452,'Prior Month'!A:A,'Prior Month'!E:E,0,0)</f>
        <v>382859.78</v>
      </c>
      <c r="J452" s="32">
        <f>_xlfn.XLOOKUP(A452,'Year end 2024'!A:A,'Year end 2024'!E:E,0,0)</f>
        <v>422158.13</v>
      </c>
      <c r="K452" s="14">
        <f t="shared" si="14"/>
        <v>-36434.450000000012</v>
      </c>
      <c r="L452" s="14">
        <f t="shared" si="15"/>
        <v>-75732.799999999988</v>
      </c>
    </row>
    <row r="453" spans="1:12" ht="35.15" customHeight="1" x14ac:dyDescent="0.4">
      <c r="A453" s="11" t="s">
        <v>970</v>
      </c>
      <c r="B453" s="11" t="s">
        <v>971</v>
      </c>
      <c r="C453" s="11" t="s">
        <v>19</v>
      </c>
      <c r="D453" s="11" t="s">
        <v>18</v>
      </c>
      <c r="E453" s="18" t="str">
        <f>_xlfn.XLOOKUP(A453,'Current Month'!A:A,'Current Month'!I:I,"")</f>
        <v/>
      </c>
      <c r="F453" s="21" t="str">
        <f>_xlfn.XLOOKUP(A453,'Prior Month'!A:A,'Prior Month'!I:I,"")</f>
        <v/>
      </c>
      <c r="G453" s="18" t="str">
        <f>_xlfn.XLOOKUP(A453,'Year end 2024'!A:A,'Year end 2024'!I:I,"")</f>
        <v/>
      </c>
      <c r="H453" s="19">
        <f>_xlfn.XLOOKUP(A453,'Current Month'!A:A,'Current Month'!E:E,0,0)</f>
        <v>58036.12</v>
      </c>
      <c r="I453" s="32">
        <f>_xlfn.XLOOKUP(A453,'Prior Month'!A:A,'Prior Month'!E:E,0,0)</f>
        <v>48171.07</v>
      </c>
      <c r="J453" s="32">
        <f>_xlfn.XLOOKUP(A453,'Year end 2024'!A:A,'Year end 2024'!E:E,0,0)</f>
        <v>61728.11</v>
      </c>
      <c r="K453" s="14">
        <f t="shared" si="14"/>
        <v>9865.0500000000029</v>
      </c>
      <c r="L453" s="14">
        <f t="shared" si="15"/>
        <v>-3691.989999999998</v>
      </c>
    </row>
    <row r="454" spans="1:12" ht="35.15" customHeight="1" x14ac:dyDescent="0.4">
      <c r="A454" s="11" t="s">
        <v>972</v>
      </c>
      <c r="B454" s="11" t="s">
        <v>973</v>
      </c>
      <c r="C454" s="11" t="s">
        <v>77</v>
      </c>
      <c r="D454" s="11" t="s">
        <v>76</v>
      </c>
      <c r="E454" s="18" t="str">
        <f>_xlfn.XLOOKUP(A454,'Current Month'!A:A,'Current Month'!I:I,"")</f>
        <v/>
      </c>
      <c r="F454" s="21" t="str">
        <f>_xlfn.XLOOKUP(A454,'Prior Month'!A:A,'Prior Month'!I:I,"")</f>
        <v/>
      </c>
      <c r="G454" s="18" t="str">
        <f>_xlfn.XLOOKUP(A454,'Year end 2024'!A:A,'Year end 2024'!I:I,"")</f>
        <v/>
      </c>
      <c r="H454" s="19">
        <f>_xlfn.XLOOKUP(A454,'Current Month'!A:A,'Current Month'!E:E,0,0)</f>
        <v>77590.27</v>
      </c>
      <c r="I454" s="32">
        <f>_xlfn.XLOOKUP(A454,'Prior Month'!A:A,'Prior Month'!E:E,0,0)</f>
        <v>68836.899999999994</v>
      </c>
      <c r="J454" s="32">
        <f>_xlfn.XLOOKUP(A454,'Year end 2024'!A:A,'Year end 2024'!E:E,0,0)</f>
        <v>67538.78</v>
      </c>
      <c r="K454" s="14">
        <f t="shared" si="14"/>
        <v>8753.3700000000099</v>
      </c>
      <c r="L454" s="14">
        <f t="shared" si="15"/>
        <v>10051.490000000005</v>
      </c>
    </row>
    <row r="455" spans="1:12" ht="35.15" customHeight="1" x14ac:dyDescent="0.4">
      <c r="A455" s="11" t="s">
        <v>974</v>
      </c>
      <c r="B455" s="11" t="s">
        <v>975</v>
      </c>
      <c r="C455" s="11" t="s">
        <v>51</v>
      </c>
      <c r="D455" s="11" t="s">
        <v>50</v>
      </c>
      <c r="E455" s="18" t="str">
        <f>_xlfn.XLOOKUP(A455,'Current Month'!A:A,'Current Month'!I:I,"")</f>
        <v/>
      </c>
      <c r="F455" s="21" t="str">
        <f>_xlfn.XLOOKUP(A455,'Prior Month'!A:A,'Prior Month'!I:I,"")</f>
        <v/>
      </c>
      <c r="G455" s="18" t="str">
        <f>_xlfn.XLOOKUP(A455,'Year end 2024'!A:A,'Year end 2024'!I:I,"")</f>
        <v/>
      </c>
      <c r="H455" s="19">
        <f>_xlfn.XLOOKUP(A455,'Current Month'!A:A,'Current Month'!E:E,0,0)</f>
        <v>391998.92</v>
      </c>
      <c r="I455" s="32">
        <f>_xlfn.XLOOKUP(A455,'Prior Month'!A:A,'Prior Month'!E:E,0,0)</f>
        <v>366687.69</v>
      </c>
      <c r="J455" s="32">
        <f>_xlfn.XLOOKUP(A455,'Year end 2024'!A:A,'Year end 2024'!E:E,0,0)</f>
        <v>336035.67</v>
      </c>
      <c r="K455" s="14">
        <f t="shared" si="14"/>
        <v>25311.229999999981</v>
      </c>
      <c r="L455" s="14">
        <f t="shared" si="15"/>
        <v>55963.25</v>
      </c>
    </row>
    <row r="456" spans="1:12" ht="35.15" customHeight="1" x14ac:dyDescent="0.4">
      <c r="A456" s="11" t="s">
        <v>976</v>
      </c>
      <c r="B456" s="11" t="s">
        <v>977</v>
      </c>
      <c r="C456" s="11" t="s">
        <v>259</v>
      </c>
      <c r="D456" s="11" t="s">
        <v>258</v>
      </c>
      <c r="E456" s="18" t="str">
        <f>_xlfn.XLOOKUP(A456,'Current Month'!A:A,'Current Month'!I:I,"")</f>
        <v/>
      </c>
      <c r="F456" s="21" t="str">
        <f>_xlfn.XLOOKUP(A456,'Prior Month'!A:A,'Prior Month'!I:I,"")</f>
        <v/>
      </c>
      <c r="G456" s="18" t="str">
        <f>_xlfn.XLOOKUP(A456,'Year end 2024'!A:A,'Year end 2024'!I:I,"")</f>
        <v/>
      </c>
      <c r="H456" s="19">
        <f>_xlfn.XLOOKUP(A456,'Current Month'!A:A,'Current Month'!E:E,0,0)</f>
        <v>94841.85</v>
      </c>
      <c r="I456" s="32">
        <f>_xlfn.XLOOKUP(A456,'Prior Month'!A:A,'Prior Month'!E:E,0,0)</f>
        <v>58997.56</v>
      </c>
      <c r="J456" s="32">
        <f>_xlfn.XLOOKUP(A456,'Year end 2024'!A:A,'Year end 2024'!E:E,0,0)</f>
        <v>601423.25</v>
      </c>
      <c r="K456" s="14">
        <f t="shared" si="14"/>
        <v>35844.290000000008</v>
      </c>
      <c r="L456" s="14">
        <f t="shared" si="15"/>
        <v>-506581.4</v>
      </c>
    </row>
    <row r="457" spans="1:12" ht="35.15" customHeight="1" x14ac:dyDescent="0.4">
      <c r="A457" s="11" t="s">
        <v>978</v>
      </c>
      <c r="B457" s="11" t="s">
        <v>979</v>
      </c>
      <c r="C457" s="11" t="s">
        <v>19</v>
      </c>
      <c r="D457" s="11" t="s">
        <v>18</v>
      </c>
      <c r="E457" s="18" t="str">
        <f>_xlfn.XLOOKUP(A457,'Current Month'!A:A,'Current Month'!I:I,"")</f>
        <v/>
      </c>
      <c r="F457" s="21" t="str">
        <f>_xlfn.XLOOKUP(A457,'Prior Month'!A:A,'Prior Month'!I:I,"")</f>
        <v/>
      </c>
      <c r="G457" s="18" t="str">
        <f>_xlfn.XLOOKUP(A457,'Year end 2024'!A:A,'Year end 2024'!I:I,"")</f>
        <v/>
      </c>
      <c r="H457" s="19">
        <f>_xlfn.XLOOKUP(A457,'Current Month'!A:A,'Current Month'!E:E,0,0)</f>
        <v>92733.49</v>
      </c>
      <c r="I457" s="32">
        <f>_xlfn.XLOOKUP(A457,'Prior Month'!A:A,'Prior Month'!E:E,0,0)</f>
        <v>92072.92</v>
      </c>
      <c r="J457" s="32">
        <f>_xlfn.XLOOKUP(A457,'Year end 2024'!A:A,'Year end 2024'!E:E,0,0)</f>
        <v>218981.74</v>
      </c>
      <c r="K457" s="14">
        <f t="shared" si="14"/>
        <v>660.57000000000698</v>
      </c>
      <c r="L457" s="14">
        <f t="shared" si="15"/>
        <v>-126248.24999999999</v>
      </c>
    </row>
    <row r="458" spans="1:12" ht="35.15" customHeight="1" x14ac:dyDescent="0.4">
      <c r="A458" s="11" t="s">
        <v>980</v>
      </c>
      <c r="B458" s="11" t="s">
        <v>981</v>
      </c>
      <c r="C458" s="11" t="s">
        <v>77</v>
      </c>
      <c r="D458" s="11" t="s">
        <v>76</v>
      </c>
      <c r="E458" s="18" t="str">
        <f>_xlfn.XLOOKUP(A458,'Current Month'!A:A,'Current Month'!I:I,"")</f>
        <v/>
      </c>
      <c r="F458" s="21" t="str">
        <f>_xlfn.XLOOKUP(A458,'Prior Month'!A:A,'Prior Month'!I:I,"")</f>
        <v/>
      </c>
      <c r="G458" s="18" t="str">
        <f>_xlfn.XLOOKUP(A458,'Year end 2024'!A:A,'Year end 2024'!I:I,"")</f>
        <v/>
      </c>
      <c r="H458" s="19">
        <f>_xlfn.XLOOKUP(A458,'Current Month'!A:A,'Current Month'!E:E,0,0)</f>
        <v>101236.35</v>
      </c>
      <c r="I458" s="32">
        <f>_xlfn.XLOOKUP(A458,'Prior Month'!A:A,'Prior Month'!E:E,0,0)</f>
        <v>122776.72</v>
      </c>
      <c r="J458" s="32">
        <f>_xlfn.XLOOKUP(A458,'Year end 2024'!A:A,'Year end 2024'!E:E,0,0)</f>
        <v>153590.07999999999</v>
      </c>
      <c r="K458" s="14">
        <f t="shared" si="14"/>
        <v>-21540.369999999995</v>
      </c>
      <c r="L458" s="14">
        <f t="shared" si="15"/>
        <v>-52353.729999999981</v>
      </c>
    </row>
    <row r="459" spans="1:12" ht="35.15" customHeight="1" x14ac:dyDescent="0.4">
      <c r="A459" s="11" t="s">
        <v>982</v>
      </c>
      <c r="B459" s="11" t="s">
        <v>983</v>
      </c>
      <c r="C459" s="11" t="s">
        <v>57</v>
      </c>
      <c r="D459" s="11" t="s">
        <v>56</v>
      </c>
      <c r="E459" s="18" t="str">
        <f>_xlfn.XLOOKUP(A459,'Current Month'!A:A,'Current Month'!I:I,"")</f>
        <v/>
      </c>
      <c r="F459" s="21" t="str">
        <f>_xlfn.XLOOKUP(A459,'Prior Month'!A:A,'Prior Month'!I:I,"")</f>
        <v/>
      </c>
      <c r="G459" s="18" t="str">
        <f>_xlfn.XLOOKUP(A459,'Year end 2024'!A:A,'Year end 2024'!I:I,"")</f>
        <v/>
      </c>
      <c r="H459" s="19">
        <f>_xlfn.XLOOKUP(A459,'Current Month'!A:A,'Current Month'!E:E,0,0)</f>
        <v>350623.84</v>
      </c>
      <c r="I459" s="32">
        <f>_xlfn.XLOOKUP(A459,'Prior Month'!A:A,'Prior Month'!E:E,0,0)</f>
        <v>325431.67999999999</v>
      </c>
      <c r="J459" s="32">
        <f>_xlfn.XLOOKUP(A459,'Year end 2024'!A:A,'Year end 2024'!E:E,0,0)</f>
        <v>273801.90000000002</v>
      </c>
      <c r="K459" s="14">
        <f t="shared" si="14"/>
        <v>25192.160000000033</v>
      </c>
      <c r="L459" s="14">
        <f t="shared" si="15"/>
        <v>76821.94</v>
      </c>
    </row>
    <row r="460" spans="1:12" ht="35.15" customHeight="1" x14ac:dyDescent="0.4">
      <c r="A460" s="11" t="s">
        <v>984</v>
      </c>
      <c r="B460" s="11" t="s">
        <v>985</v>
      </c>
      <c r="C460" s="11" t="s">
        <v>57</v>
      </c>
      <c r="D460" s="11" t="s">
        <v>56</v>
      </c>
      <c r="E460" s="18" t="str">
        <f>_xlfn.XLOOKUP(A460,'Current Month'!A:A,'Current Month'!I:I,"")</f>
        <v/>
      </c>
      <c r="F460" s="21" t="str">
        <f>_xlfn.XLOOKUP(A460,'Prior Month'!A:A,'Prior Month'!I:I,"")</f>
        <v/>
      </c>
      <c r="G460" s="18" t="str">
        <f>_xlfn.XLOOKUP(A460,'Year end 2024'!A:A,'Year end 2024'!I:I,"")</f>
        <v/>
      </c>
      <c r="H460" s="19">
        <f>_xlfn.XLOOKUP(A460,'Current Month'!A:A,'Current Month'!E:E,0,0)</f>
        <v>44955.61</v>
      </c>
      <c r="I460" s="32">
        <f>_xlfn.XLOOKUP(A460,'Prior Month'!A:A,'Prior Month'!E:E,0,0)</f>
        <v>45592.51</v>
      </c>
      <c r="J460" s="32">
        <f>_xlfn.XLOOKUP(A460,'Year end 2024'!A:A,'Year end 2024'!E:E,0,0)</f>
        <v>130045.94</v>
      </c>
      <c r="K460" s="14">
        <f t="shared" si="14"/>
        <v>-636.90000000000146</v>
      </c>
      <c r="L460" s="14">
        <f t="shared" si="15"/>
        <v>-85090.33</v>
      </c>
    </row>
    <row r="461" spans="1:12" ht="35.15" customHeight="1" x14ac:dyDescent="0.4">
      <c r="A461" s="11" t="s">
        <v>986</v>
      </c>
      <c r="B461" s="11" t="s">
        <v>987</v>
      </c>
      <c r="C461" s="11" t="s">
        <v>57</v>
      </c>
      <c r="D461" s="11" t="s">
        <v>56</v>
      </c>
      <c r="E461" s="18" t="str">
        <f>_xlfn.XLOOKUP(A461,'Current Month'!A:A,'Current Month'!I:I,"")</f>
        <v/>
      </c>
      <c r="F461" s="21" t="str">
        <f>_xlfn.XLOOKUP(A461,'Prior Month'!A:A,'Prior Month'!I:I,"")</f>
        <v/>
      </c>
      <c r="G461" s="18" t="str">
        <f>_xlfn.XLOOKUP(A461,'Year end 2024'!A:A,'Year end 2024'!I:I,"")</f>
        <v/>
      </c>
      <c r="H461" s="19">
        <f>_xlfn.XLOOKUP(A461,'Current Month'!A:A,'Current Month'!E:E,0,0)</f>
        <v>116834.6</v>
      </c>
      <c r="I461" s="32">
        <f>_xlfn.XLOOKUP(A461,'Prior Month'!A:A,'Prior Month'!E:E,0,0)</f>
        <v>119841.51</v>
      </c>
      <c r="J461" s="32">
        <f>_xlfn.XLOOKUP(A461,'Year end 2024'!A:A,'Year end 2024'!E:E,0,0)</f>
        <v>162868.49</v>
      </c>
      <c r="K461" s="14">
        <f t="shared" si="14"/>
        <v>-3006.9099999999889</v>
      </c>
      <c r="L461" s="14">
        <f t="shared" si="15"/>
        <v>-46033.889999999985</v>
      </c>
    </row>
    <row r="462" spans="1:12" ht="35.15" customHeight="1" x14ac:dyDescent="0.4">
      <c r="A462" s="11" t="s">
        <v>988</v>
      </c>
      <c r="B462" s="11" t="s">
        <v>989</v>
      </c>
      <c r="C462" s="11" t="s">
        <v>457</v>
      </c>
      <c r="D462" s="11" t="s">
        <v>456</v>
      </c>
      <c r="E462" s="18">
        <f>_xlfn.XLOOKUP(A462,'Current Month'!A:A,'Current Month'!I:I,"")</f>
        <v>2.518025167571235E-4</v>
      </c>
      <c r="F462" s="21">
        <f>_xlfn.XLOOKUP(A462,'Prior Month'!A:A,'Prior Month'!I:I,"")</f>
        <v>2.622280062330702E-4</v>
      </c>
      <c r="G462" s="18">
        <f>_xlfn.XLOOKUP(A462,'Year end 2024'!A:A,'Year end 2024'!I:I,"")</f>
        <v>3.5158942749936796E-4</v>
      </c>
      <c r="H462" s="19">
        <f>_xlfn.XLOOKUP(A462,'Current Month'!A:A,'Current Month'!E:E,0,0)</f>
        <v>207.71</v>
      </c>
      <c r="I462" s="32">
        <f>_xlfn.XLOOKUP(A462,'Prior Month'!A:A,'Prior Month'!E:E,0,0)</f>
        <v>217.59</v>
      </c>
      <c r="J462" s="32">
        <f>_xlfn.XLOOKUP(A462,'Year end 2024'!A:A,'Year end 2024'!E:E,0,0)</f>
        <v>306.23</v>
      </c>
      <c r="K462" s="14">
        <f t="shared" si="14"/>
        <v>-9.8799999999999955</v>
      </c>
      <c r="L462" s="14">
        <f t="shared" si="15"/>
        <v>-98.52000000000001</v>
      </c>
    </row>
    <row r="463" spans="1:12" ht="35.15" customHeight="1" x14ac:dyDescent="0.4">
      <c r="A463" s="11" t="s">
        <v>990</v>
      </c>
      <c r="B463" s="11" t="s">
        <v>991</v>
      </c>
      <c r="C463" s="11" t="s">
        <v>457</v>
      </c>
      <c r="D463" s="11" t="s">
        <v>456</v>
      </c>
      <c r="E463" s="18">
        <f>_xlfn.XLOOKUP(A463,'Current Month'!A:A,'Current Month'!I:I,"")</f>
        <v>0.2251100940357838</v>
      </c>
      <c r="F463" s="21">
        <f>_xlfn.XLOOKUP(A463,'Prior Month'!A:A,'Prior Month'!I:I,"")</f>
        <v>0.15242069361255992</v>
      </c>
      <c r="G463" s="18">
        <f>_xlfn.XLOOKUP(A463,'Year end 2024'!A:A,'Year end 2024'!I:I,"")</f>
        <v>0.15561226111921506</v>
      </c>
      <c r="H463" s="19">
        <f>_xlfn.XLOOKUP(A463,'Current Month'!A:A,'Current Month'!E:E,0,0)</f>
        <v>667275.96</v>
      </c>
      <c r="I463" s="32">
        <f>_xlfn.XLOOKUP(A463,'Prior Month'!A:A,'Prior Month'!E:E,0,0)</f>
        <v>453011.15</v>
      </c>
      <c r="J463" s="32">
        <f>_xlfn.XLOOKUP(A463,'Year end 2024'!A:A,'Year end 2024'!E:E,0,0)</f>
        <v>401589.04</v>
      </c>
      <c r="K463" s="14">
        <f t="shared" si="14"/>
        <v>214264.80999999994</v>
      </c>
      <c r="L463" s="14">
        <f t="shared" si="15"/>
        <v>265686.92</v>
      </c>
    </row>
    <row r="464" spans="1:12" ht="35.15" customHeight="1" x14ac:dyDescent="0.4">
      <c r="A464" s="11" t="s">
        <v>992</v>
      </c>
      <c r="B464" s="11" t="s">
        <v>993</v>
      </c>
      <c r="C464" s="11" t="s">
        <v>77</v>
      </c>
      <c r="D464" s="11" t="s">
        <v>76</v>
      </c>
      <c r="E464" s="18" t="str">
        <f>_xlfn.XLOOKUP(A464,'Current Month'!A:A,'Current Month'!I:I,"")</f>
        <v/>
      </c>
      <c r="F464" s="21" t="str">
        <f>_xlfn.XLOOKUP(A464,'Prior Month'!A:A,'Prior Month'!I:I,"")</f>
        <v/>
      </c>
      <c r="G464" s="18" t="str">
        <f>_xlfn.XLOOKUP(A464,'Year end 2024'!A:A,'Year end 2024'!I:I,"")</f>
        <v/>
      </c>
      <c r="H464" s="19">
        <f>_xlfn.XLOOKUP(A464,'Current Month'!A:A,'Current Month'!E:E,0,0)</f>
        <v>5630.91</v>
      </c>
      <c r="I464" s="32">
        <f>_xlfn.XLOOKUP(A464,'Prior Month'!A:A,'Prior Month'!E:E,0,0)</f>
        <v>5483</v>
      </c>
      <c r="J464" s="32">
        <f>_xlfn.XLOOKUP(A464,'Year end 2024'!A:A,'Year end 2024'!E:E,0,0)</f>
        <v>25573.84</v>
      </c>
      <c r="K464" s="14">
        <f t="shared" si="14"/>
        <v>147.90999999999985</v>
      </c>
      <c r="L464" s="14">
        <f t="shared" si="15"/>
        <v>-19942.93</v>
      </c>
    </row>
    <row r="465" spans="1:12" ht="35.15" customHeight="1" x14ac:dyDescent="0.4">
      <c r="A465" s="11" t="s">
        <v>994</v>
      </c>
      <c r="B465" s="11" t="s">
        <v>995</v>
      </c>
      <c r="C465" s="11" t="s">
        <v>67</v>
      </c>
      <c r="D465" s="11" t="s">
        <v>66</v>
      </c>
      <c r="E465" s="18" t="str">
        <f>_xlfn.XLOOKUP(A465,'Current Month'!A:A,'Current Month'!I:I,"")</f>
        <v/>
      </c>
      <c r="F465" s="21" t="str">
        <f>_xlfn.XLOOKUP(A465,'Prior Month'!A:A,'Prior Month'!I:I,"")</f>
        <v/>
      </c>
      <c r="G465" s="18" t="str">
        <f>_xlfn.XLOOKUP(A465,'Year end 2024'!A:A,'Year end 2024'!I:I,"")</f>
        <v/>
      </c>
      <c r="H465" s="19">
        <f>_xlfn.XLOOKUP(A465,'Current Month'!A:A,'Current Month'!E:E,0,0)</f>
        <v>372.94</v>
      </c>
      <c r="I465" s="32">
        <f>_xlfn.XLOOKUP(A465,'Prior Month'!A:A,'Prior Month'!E:E,0,0)</f>
        <v>2111.7199999999998</v>
      </c>
      <c r="J465" s="32">
        <f>_xlfn.XLOOKUP(A465,'Year end 2024'!A:A,'Year end 2024'!E:E,0,0)</f>
        <v>4642.95</v>
      </c>
      <c r="K465" s="14">
        <f t="shared" si="14"/>
        <v>-1738.7799999999997</v>
      </c>
      <c r="L465" s="14">
        <f t="shared" si="15"/>
        <v>-4270.01</v>
      </c>
    </row>
    <row r="466" spans="1:12" ht="35.15" customHeight="1" x14ac:dyDescent="0.4">
      <c r="A466" s="11" t="s">
        <v>996</v>
      </c>
      <c r="B466" s="11" t="s">
        <v>997</v>
      </c>
      <c r="C466" s="11" t="s">
        <v>19</v>
      </c>
      <c r="D466" s="11" t="s">
        <v>18</v>
      </c>
      <c r="E466" s="18">
        <f>_xlfn.XLOOKUP(A466,'Current Month'!A:A,'Current Month'!I:I,"")</f>
        <v>14.485835596601984</v>
      </c>
      <c r="F466" s="21">
        <f>_xlfn.XLOOKUP(A466,'Prior Month'!A:A,'Prior Month'!I:I,"")</f>
        <v>12.105256721528578</v>
      </c>
      <c r="G466" s="18">
        <f>_xlfn.XLOOKUP(A466,'Year end 2024'!A:A,'Year end 2024'!I:I,"")</f>
        <v>12.032217986587899</v>
      </c>
      <c r="H466" s="19">
        <f>_xlfn.XLOOKUP(A466,'Current Month'!A:A,'Current Month'!E:E,0,0)</f>
        <v>88432.26</v>
      </c>
      <c r="I466" s="32">
        <f>_xlfn.XLOOKUP(A466,'Prior Month'!A:A,'Prior Month'!E:E,0,0)</f>
        <v>81169.62</v>
      </c>
      <c r="J466" s="32">
        <f>_xlfn.XLOOKUP(A466,'Year end 2024'!A:A,'Year end 2024'!E:E,0,0)</f>
        <v>144686.94</v>
      </c>
      <c r="K466" s="14">
        <f t="shared" si="14"/>
        <v>7262.6399999999994</v>
      </c>
      <c r="L466" s="14">
        <f t="shared" si="15"/>
        <v>-56254.680000000008</v>
      </c>
    </row>
    <row r="467" spans="1:12" ht="35.15" customHeight="1" x14ac:dyDescent="0.4">
      <c r="A467" s="11" t="s">
        <v>998</v>
      </c>
      <c r="B467" s="11" t="s">
        <v>999</v>
      </c>
      <c r="C467" s="11" t="s">
        <v>259</v>
      </c>
      <c r="D467" s="11" t="s">
        <v>258</v>
      </c>
      <c r="E467" s="18" t="str">
        <f>_xlfn.XLOOKUP(A467,'Current Month'!A:A,'Current Month'!I:I,"")</f>
        <v/>
      </c>
      <c r="F467" s="21" t="str">
        <f>_xlfn.XLOOKUP(A467,'Prior Month'!A:A,'Prior Month'!I:I,"")</f>
        <v/>
      </c>
      <c r="G467" s="18" t="str">
        <f>_xlfn.XLOOKUP(A467,'Year end 2024'!A:A,'Year end 2024'!I:I,"")</f>
        <v/>
      </c>
      <c r="H467" s="19">
        <f>_xlfn.XLOOKUP(A467,'Current Month'!A:A,'Current Month'!E:E,0,0)</f>
        <v>212886.52</v>
      </c>
      <c r="I467" s="32">
        <f>_xlfn.XLOOKUP(A467,'Prior Month'!A:A,'Prior Month'!E:E,0,0)</f>
        <v>250592.32</v>
      </c>
      <c r="J467" s="32">
        <f>_xlfn.XLOOKUP(A467,'Year end 2024'!A:A,'Year end 2024'!E:E,0,0)</f>
        <v>240695.12</v>
      </c>
      <c r="K467" s="14">
        <f t="shared" si="14"/>
        <v>-37705.800000000017</v>
      </c>
      <c r="L467" s="14">
        <f t="shared" si="15"/>
        <v>-27808.600000000006</v>
      </c>
    </row>
    <row r="468" spans="1:12" ht="35.15" customHeight="1" x14ac:dyDescent="0.4">
      <c r="A468" s="11" t="s">
        <v>1000</v>
      </c>
      <c r="B468" s="11" t="s">
        <v>1001</v>
      </c>
      <c r="C468" s="11" t="s">
        <v>313</v>
      </c>
      <c r="D468" s="11" t="s">
        <v>312</v>
      </c>
      <c r="E468" s="18" t="str">
        <f>_xlfn.XLOOKUP(A468,'Current Month'!A:A,'Current Month'!I:I,"")</f>
        <v/>
      </c>
      <c r="F468" s="21" t="str">
        <f>_xlfn.XLOOKUP(A468,'Prior Month'!A:A,'Prior Month'!I:I,"")</f>
        <v/>
      </c>
      <c r="G468" s="18" t="str">
        <f>_xlfn.XLOOKUP(A468,'Year end 2024'!A:A,'Year end 2024'!I:I,"")</f>
        <v/>
      </c>
      <c r="H468" s="19">
        <f>_xlfn.XLOOKUP(A468,'Current Month'!A:A,'Current Month'!E:E,0,0)</f>
        <v>84108.35</v>
      </c>
      <c r="I468" s="32">
        <f>_xlfn.XLOOKUP(A468,'Prior Month'!A:A,'Prior Month'!E:E,0,0)</f>
        <v>56836.44</v>
      </c>
      <c r="J468" s="32">
        <f>_xlfn.XLOOKUP(A468,'Year end 2024'!A:A,'Year end 2024'!E:E,0,0)</f>
        <v>174766</v>
      </c>
      <c r="K468" s="14">
        <f t="shared" si="14"/>
        <v>27271.910000000003</v>
      </c>
      <c r="L468" s="14">
        <f t="shared" si="15"/>
        <v>-90657.65</v>
      </c>
    </row>
    <row r="469" spans="1:12" ht="35.15" customHeight="1" x14ac:dyDescent="0.4">
      <c r="A469" s="11" t="s">
        <v>1002</v>
      </c>
      <c r="B469" s="11" t="s">
        <v>1003</v>
      </c>
      <c r="C469" s="11" t="s">
        <v>109</v>
      </c>
      <c r="D469" s="11" t="s">
        <v>108</v>
      </c>
      <c r="E469" s="18" t="str">
        <f>_xlfn.XLOOKUP(A469,'Current Month'!A:A,'Current Month'!I:I,"")</f>
        <v/>
      </c>
      <c r="F469" s="21" t="str">
        <f>_xlfn.XLOOKUP(A469,'Prior Month'!A:A,'Prior Month'!I:I,"")</f>
        <v/>
      </c>
      <c r="G469" s="18" t="str">
        <f>_xlfn.XLOOKUP(A469,'Year end 2024'!A:A,'Year end 2024'!I:I,"")</f>
        <v/>
      </c>
      <c r="H469" s="19">
        <f>_xlfn.XLOOKUP(A469,'Current Month'!A:A,'Current Month'!E:E,0,0)</f>
        <v>187517.82</v>
      </c>
      <c r="I469" s="32">
        <f>_xlfn.XLOOKUP(A469,'Prior Month'!A:A,'Prior Month'!E:E,0,0)</f>
        <v>180398.72</v>
      </c>
      <c r="J469" s="32">
        <f>_xlfn.XLOOKUP(A469,'Year end 2024'!A:A,'Year end 2024'!E:E,0,0)</f>
        <v>174696.93</v>
      </c>
      <c r="K469" s="14">
        <f t="shared" si="14"/>
        <v>7119.1000000000058</v>
      </c>
      <c r="L469" s="14">
        <f t="shared" si="15"/>
        <v>12820.890000000014</v>
      </c>
    </row>
    <row r="470" spans="1:12" ht="35.15" customHeight="1" x14ac:dyDescent="0.4">
      <c r="A470" s="11" t="s">
        <v>1004</v>
      </c>
      <c r="B470" s="11" t="s">
        <v>1005</v>
      </c>
      <c r="C470" s="11" t="s">
        <v>253</v>
      </c>
      <c r="D470" s="11" t="s">
        <v>252</v>
      </c>
      <c r="E470" s="18">
        <f>_xlfn.XLOOKUP(A470,'Current Month'!A:A,'Current Month'!I:I,"")</f>
        <v>2.9259895822721149</v>
      </c>
      <c r="F470" s="21">
        <f>_xlfn.XLOOKUP(A470,'Prior Month'!A:A,'Prior Month'!I:I,"")</f>
        <v>2.6289643515007444</v>
      </c>
      <c r="G470" s="18">
        <f>_xlfn.XLOOKUP(A470,'Year end 2024'!A:A,'Year end 2024'!I:I,"")</f>
        <v>0.69597227975151121</v>
      </c>
      <c r="H470" s="19">
        <f>_xlfn.XLOOKUP(A470,'Current Month'!A:A,'Current Month'!E:E,0,0)</f>
        <v>614625.53</v>
      </c>
      <c r="I470" s="32">
        <f>_xlfn.XLOOKUP(A470,'Prior Month'!A:A,'Prior Month'!E:E,0,0)</f>
        <v>564450.24</v>
      </c>
      <c r="J470" s="32">
        <f>_xlfn.XLOOKUP(A470,'Year end 2024'!A:A,'Year end 2024'!E:E,0,0)</f>
        <v>177046.53</v>
      </c>
      <c r="K470" s="14">
        <f t="shared" si="14"/>
        <v>50175.290000000037</v>
      </c>
      <c r="L470" s="14">
        <f t="shared" si="15"/>
        <v>437579</v>
      </c>
    </row>
    <row r="471" spans="1:12" ht="35.15" customHeight="1" x14ac:dyDescent="0.4">
      <c r="A471" s="11" t="s">
        <v>1006</v>
      </c>
      <c r="B471" s="11" t="s">
        <v>1007</v>
      </c>
      <c r="C471" s="11" t="s">
        <v>457</v>
      </c>
      <c r="D471" s="11" t="s">
        <v>456</v>
      </c>
      <c r="E471" s="18">
        <f>_xlfn.XLOOKUP(A471,'Current Month'!A:A,'Current Month'!I:I,"")</f>
        <v>1.5788332982060303E-2</v>
      </c>
      <c r="F471" s="21">
        <f>_xlfn.XLOOKUP(A471,'Prior Month'!A:A,'Prior Month'!I:I,"")</f>
        <v>1.5281151267625196E-2</v>
      </c>
      <c r="G471" s="18">
        <f>_xlfn.XLOOKUP(A471,'Year end 2024'!A:A,'Year end 2024'!I:I,"")</f>
        <v>1.1060817101573066E-2</v>
      </c>
      <c r="H471" s="19">
        <f>_xlfn.XLOOKUP(A471,'Current Month'!A:A,'Current Month'!E:E,0,0)</f>
        <v>25390.02</v>
      </c>
      <c r="I471" s="32">
        <f>_xlfn.XLOOKUP(A471,'Prior Month'!A:A,'Prior Month'!E:E,0,0)</f>
        <v>24712.63</v>
      </c>
      <c r="J471" s="32">
        <f>_xlfn.XLOOKUP(A471,'Year end 2024'!A:A,'Year end 2024'!E:E,0,0)</f>
        <v>18716.12</v>
      </c>
      <c r="K471" s="14">
        <f t="shared" si="14"/>
        <v>677.38999999999942</v>
      </c>
      <c r="L471" s="14">
        <f t="shared" si="15"/>
        <v>6673.9000000000015</v>
      </c>
    </row>
    <row r="472" spans="1:12" ht="35.15" customHeight="1" x14ac:dyDescent="0.4">
      <c r="A472" s="11" t="s">
        <v>1008</v>
      </c>
      <c r="B472" s="11" t="s">
        <v>1009</v>
      </c>
      <c r="C472" s="11" t="s">
        <v>57</v>
      </c>
      <c r="D472" s="11" t="s">
        <v>56</v>
      </c>
      <c r="E472" s="18" t="str">
        <f>_xlfn.XLOOKUP(A472,'Current Month'!A:A,'Current Month'!I:I,"")</f>
        <v/>
      </c>
      <c r="F472" s="21" t="str">
        <f>_xlfn.XLOOKUP(A472,'Prior Month'!A:A,'Prior Month'!I:I,"")</f>
        <v/>
      </c>
      <c r="G472" s="18" t="str">
        <f>_xlfn.XLOOKUP(A472,'Year end 2024'!A:A,'Year end 2024'!I:I,"")</f>
        <v/>
      </c>
      <c r="H472" s="19">
        <f>_xlfn.XLOOKUP(A472,'Current Month'!A:A,'Current Month'!E:E,0,0)</f>
        <v>71112.47</v>
      </c>
      <c r="I472" s="32">
        <f>_xlfn.XLOOKUP(A472,'Prior Month'!A:A,'Prior Month'!E:E,0,0)</f>
        <v>75345.509999999995</v>
      </c>
      <c r="J472" s="32">
        <f>_xlfn.XLOOKUP(A472,'Year end 2024'!A:A,'Year end 2024'!E:E,0,0)</f>
        <v>83903.28</v>
      </c>
      <c r="K472" s="14">
        <f t="shared" si="14"/>
        <v>-4233.0399999999936</v>
      </c>
      <c r="L472" s="14">
        <f t="shared" si="15"/>
        <v>-12790.809999999998</v>
      </c>
    </row>
    <row r="473" spans="1:12" ht="35.15" customHeight="1" x14ac:dyDescent="0.4">
      <c r="A473" s="11" t="s">
        <v>1010</v>
      </c>
      <c r="B473" s="11" t="s">
        <v>1011</v>
      </c>
      <c r="C473" s="11" t="s">
        <v>15</v>
      </c>
      <c r="D473" s="11" t="s">
        <v>14</v>
      </c>
      <c r="E473" s="18">
        <f>_xlfn.XLOOKUP(A473,'Current Month'!A:A,'Current Month'!I:I,"")</f>
        <v>0.25904013719504826</v>
      </c>
      <c r="F473" s="21">
        <f>_xlfn.XLOOKUP(A473,'Prior Month'!A:A,'Prior Month'!I:I,"")</f>
        <v>0.21731014585183767</v>
      </c>
      <c r="G473" s="18">
        <f>_xlfn.XLOOKUP(A473,'Year end 2024'!A:A,'Year end 2024'!I:I,"")</f>
        <v>0.45396783415249037</v>
      </c>
      <c r="H473" s="19">
        <f>_xlfn.XLOOKUP(A473,'Current Month'!A:A,'Current Month'!E:E,0,0)</f>
        <v>2773122.49</v>
      </c>
      <c r="I473" s="32">
        <f>_xlfn.XLOOKUP(A473,'Prior Month'!A:A,'Prior Month'!E:E,0,0)</f>
        <v>2335809.54</v>
      </c>
      <c r="J473" s="32">
        <f>_xlfn.XLOOKUP(A473,'Year end 2024'!A:A,'Year end 2024'!E:E,0,0)</f>
        <v>2095862.54</v>
      </c>
      <c r="K473" s="14">
        <f t="shared" si="14"/>
        <v>437312.95000000019</v>
      </c>
      <c r="L473" s="14">
        <f t="shared" si="15"/>
        <v>677259.95000000019</v>
      </c>
    </row>
    <row r="474" spans="1:12" ht="35.15" customHeight="1" x14ac:dyDescent="0.4">
      <c r="A474" s="11" t="s">
        <v>1012</v>
      </c>
      <c r="B474" s="11" t="s">
        <v>1013</v>
      </c>
      <c r="C474" s="11" t="s">
        <v>67</v>
      </c>
      <c r="D474" s="11" t="s">
        <v>66</v>
      </c>
      <c r="E474" s="18">
        <f>_xlfn.XLOOKUP(A474,'Current Month'!A:A,'Current Month'!I:I,"")</f>
        <v>2.6901227157563232</v>
      </c>
      <c r="F474" s="21">
        <f>_xlfn.XLOOKUP(A474,'Prior Month'!A:A,'Prior Month'!I:I,"")</f>
        <v>2.6572187695859637</v>
      </c>
      <c r="G474" s="18">
        <f>_xlfn.XLOOKUP(A474,'Year end 2024'!A:A,'Year end 2024'!I:I,"")</f>
        <v>2.9580163744163164</v>
      </c>
      <c r="H474" s="19">
        <f>_xlfn.XLOOKUP(A474,'Current Month'!A:A,'Current Month'!E:E,0,0)</f>
        <v>481207.08</v>
      </c>
      <c r="I474" s="32">
        <f>_xlfn.XLOOKUP(A474,'Prior Month'!A:A,'Prior Month'!E:E,0,0)</f>
        <v>476920.84</v>
      </c>
      <c r="J474" s="32">
        <f>_xlfn.XLOOKUP(A474,'Year end 2024'!A:A,'Year end 2024'!E:E,0,0)</f>
        <v>546744.01</v>
      </c>
      <c r="K474" s="14">
        <f t="shared" si="14"/>
        <v>4286.2399999999907</v>
      </c>
      <c r="L474" s="14">
        <f t="shared" si="15"/>
        <v>-65536.929999999993</v>
      </c>
    </row>
    <row r="475" spans="1:12" ht="35.15" customHeight="1" x14ac:dyDescent="0.4">
      <c r="A475" s="11" t="s">
        <v>1014</v>
      </c>
      <c r="B475" s="11" t="s">
        <v>1015</v>
      </c>
      <c r="C475" s="11" t="s">
        <v>57</v>
      </c>
      <c r="D475" s="11" t="s">
        <v>56</v>
      </c>
      <c r="E475" s="18" t="str">
        <f>_xlfn.XLOOKUP(A475,'Current Month'!A:A,'Current Month'!I:I,"")</f>
        <v/>
      </c>
      <c r="F475" s="21" t="str">
        <f>_xlfn.XLOOKUP(A475,'Prior Month'!A:A,'Prior Month'!I:I,"")</f>
        <v/>
      </c>
      <c r="G475" s="18" t="str">
        <f>_xlfn.XLOOKUP(A475,'Year end 2024'!A:A,'Year end 2024'!I:I,"")</f>
        <v/>
      </c>
      <c r="H475" s="19">
        <f>_xlfn.XLOOKUP(A475,'Current Month'!A:A,'Current Month'!E:E,0,0)</f>
        <v>242665.21</v>
      </c>
      <c r="I475" s="32">
        <f>_xlfn.XLOOKUP(A475,'Prior Month'!A:A,'Prior Month'!E:E,0,0)</f>
        <v>233254.95</v>
      </c>
      <c r="J475" s="32">
        <f>_xlfn.XLOOKUP(A475,'Year end 2024'!A:A,'Year end 2024'!E:E,0,0)</f>
        <v>213214.17</v>
      </c>
      <c r="K475" s="14">
        <f t="shared" si="14"/>
        <v>9410.2599999999802</v>
      </c>
      <c r="L475" s="14">
        <f t="shared" si="15"/>
        <v>29451.039999999979</v>
      </c>
    </row>
    <row r="476" spans="1:12" ht="35.15" customHeight="1" x14ac:dyDescent="0.4">
      <c r="A476" s="11" t="s">
        <v>1016</v>
      </c>
      <c r="B476" s="11" t="s">
        <v>1017</v>
      </c>
      <c r="C476" s="11" t="s">
        <v>57</v>
      </c>
      <c r="D476" s="11" t="s">
        <v>56</v>
      </c>
      <c r="E476" s="18" t="str">
        <f>_xlfn.XLOOKUP(A476,'Current Month'!A:A,'Current Month'!I:I,"")</f>
        <v/>
      </c>
      <c r="F476" s="21" t="str">
        <f>_xlfn.XLOOKUP(A476,'Prior Month'!A:A,'Prior Month'!I:I,"")</f>
        <v/>
      </c>
      <c r="G476" s="18" t="str">
        <f>_xlfn.XLOOKUP(A476,'Year end 2024'!A:A,'Year end 2024'!I:I,"")</f>
        <v/>
      </c>
      <c r="H476" s="19">
        <f>_xlfn.XLOOKUP(A476,'Current Month'!A:A,'Current Month'!E:E,0,0)</f>
        <v>240243.54</v>
      </c>
      <c r="I476" s="32">
        <f>_xlfn.XLOOKUP(A476,'Prior Month'!A:A,'Prior Month'!E:E,0,0)</f>
        <v>225844.9</v>
      </c>
      <c r="J476" s="32">
        <f>_xlfn.XLOOKUP(A476,'Year end 2024'!A:A,'Year end 2024'!E:E,0,0)</f>
        <v>394624</v>
      </c>
      <c r="K476" s="14">
        <f t="shared" si="14"/>
        <v>14398.640000000014</v>
      </c>
      <c r="L476" s="14">
        <f t="shared" si="15"/>
        <v>-154380.46</v>
      </c>
    </row>
    <row r="477" spans="1:12" ht="35.15" customHeight="1" x14ac:dyDescent="0.4">
      <c r="A477" s="11" t="s">
        <v>1018</v>
      </c>
      <c r="B477" s="11" t="s">
        <v>1019</v>
      </c>
      <c r="C477" s="11" t="s">
        <v>51</v>
      </c>
      <c r="D477" s="11" t="s">
        <v>50</v>
      </c>
      <c r="E477" s="18" t="str">
        <f>_xlfn.XLOOKUP(A477,'Current Month'!A:A,'Current Month'!I:I,"")</f>
        <v/>
      </c>
      <c r="F477" s="21" t="str">
        <f>_xlfn.XLOOKUP(A477,'Prior Month'!A:A,'Prior Month'!I:I,"")</f>
        <v/>
      </c>
      <c r="G477" s="18" t="str">
        <f>_xlfn.XLOOKUP(A477,'Year end 2024'!A:A,'Year end 2024'!I:I,"")</f>
        <v/>
      </c>
      <c r="H477" s="19">
        <f>_xlfn.XLOOKUP(A477,'Current Month'!A:A,'Current Month'!E:E,0,0)</f>
        <v>78618.710000000006</v>
      </c>
      <c r="I477" s="32">
        <f>_xlfn.XLOOKUP(A477,'Prior Month'!A:A,'Prior Month'!E:E,0,0)</f>
        <v>94770.37</v>
      </c>
      <c r="J477" s="32">
        <f>_xlfn.XLOOKUP(A477,'Year end 2024'!A:A,'Year end 2024'!E:E,0,0)</f>
        <v>205177.72</v>
      </c>
      <c r="K477" s="14">
        <f t="shared" si="14"/>
        <v>-16151.659999999989</v>
      </c>
      <c r="L477" s="14">
        <f t="shared" si="15"/>
        <v>-126559.01</v>
      </c>
    </row>
    <row r="478" spans="1:12" ht="35.15" customHeight="1" x14ac:dyDescent="0.4">
      <c r="A478" s="11" t="s">
        <v>1020</v>
      </c>
      <c r="B478" s="11" t="s">
        <v>1021</v>
      </c>
      <c r="C478" s="11" t="s">
        <v>11</v>
      </c>
      <c r="D478" s="11" t="s">
        <v>10</v>
      </c>
      <c r="E478" s="18">
        <f>_xlfn.XLOOKUP(A478,'Current Month'!A:A,'Current Month'!I:I,"")</f>
        <v>3.3942813381242254</v>
      </c>
      <c r="F478" s="21">
        <f>_xlfn.XLOOKUP(A478,'Prior Month'!A:A,'Prior Month'!I:I,"")</f>
        <v>2.7463819459141772</v>
      </c>
      <c r="G478" s="18">
        <f>_xlfn.XLOOKUP(A478,'Year end 2024'!A:A,'Year end 2024'!I:I,"")</f>
        <v>2.8580314520782748</v>
      </c>
      <c r="H478" s="19">
        <f>_xlfn.XLOOKUP(A478,'Current Month'!A:A,'Current Month'!E:E,0,0)</f>
        <v>35686860.880000003</v>
      </c>
      <c r="I478" s="32">
        <f>_xlfn.XLOOKUP(A478,'Prior Month'!A:A,'Prior Month'!E:E,0,0)</f>
        <v>29083882.870000001</v>
      </c>
      <c r="J478" s="32">
        <f>_xlfn.XLOOKUP(A478,'Year end 2024'!A:A,'Year end 2024'!E:E,0,0)</f>
        <v>30490667.100000001</v>
      </c>
      <c r="K478" s="14">
        <f t="shared" si="14"/>
        <v>6602978.0100000016</v>
      </c>
      <c r="L478" s="14">
        <f t="shared" si="15"/>
        <v>5196193.7800000012</v>
      </c>
    </row>
    <row r="479" spans="1:12" ht="35.15" customHeight="1" x14ac:dyDescent="0.4">
      <c r="A479" s="11" t="s">
        <v>1022</v>
      </c>
      <c r="B479" s="11" t="s">
        <v>1023</v>
      </c>
      <c r="C479" s="11" t="s">
        <v>77</v>
      </c>
      <c r="D479" s="11" t="s">
        <v>76</v>
      </c>
      <c r="E479" s="18" t="str">
        <f>_xlfn.XLOOKUP(A479,'Current Month'!A:A,'Current Month'!I:I,"")</f>
        <v/>
      </c>
      <c r="F479" s="21" t="str">
        <f>_xlfn.XLOOKUP(A479,'Prior Month'!A:A,'Prior Month'!I:I,"")</f>
        <v/>
      </c>
      <c r="G479" s="18" t="str">
        <f>_xlfn.XLOOKUP(A479,'Year end 2024'!A:A,'Year end 2024'!I:I,"")</f>
        <v/>
      </c>
      <c r="H479" s="19">
        <f>_xlfn.XLOOKUP(A479,'Current Month'!A:A,'Current Month'!E:E,0,0)</f>
        <v>67204.929999999993</v>
      </c>
      <c r="I479" s="32">
        <f>_xlfn.XLOOKUP(A479,'Prior Month'!A:A,'Prior Month'!E:E,0,0)</f>
        <v>45370.75</v>
      </c>
      <c r="J479" s="32">
        <f>_xlfn.XLOOKUP(A479,'Year end 2024'!A:A,'Year end 2024'!E:E,0,0)</f>
        <v>29327.87</v>
      </c>
      <c r="K479" s="14">
        <f t="shared" si="14"/>
        <v>21834.179999999993</v>
      </c>
      <c r="L479" s="14">
        <f t="shared" si="15"/>
        <v>37877.06</v>
      </c>
    </row>
    <row r="480" spans="1:12" ht="35.15" customHeight="1" x14ac:dyDescent="0.4">
      <c r="A480" s="11" t="s">
        <v>1024</v>
      </c>
      <c r="B480" s="11" t="s">
        <v>1025</v>
      </c>
      <c r="C480" s="11" t="s">
        <v>19</v>
      </c>
      <c r="D480" s="11" t="s">
        <v>18</v>
      </c>
      <c r="E480" s="18" t="str">
        <f>_xlfn.XLOOKUP(A480,'Current Month'!A:A,'Current Month'!I:I,"")</f>
        <v/>
      </c>
      <c r="F480" s="21" t="str">
        <f>_xlfn.XLOOKUP(A480,'Prior Month'!A:A,'Prior Month'!I:I,"")</f>
        <v/>
      </c>
      <c r="G480" s="18" t="str">
        <f>_xlfn.XLOOKUP(A480,'Year end 2024'!A:A,'Year end 2024'!I:I,"")</f>
        <v/>
      </c>
      <c r="H480" s="19">
        <f>_xlfn.XLOOKUP(A480,'Current Month'!A:A,'Current Month'!E:E,0,0)</f>
        <v>92741.11</v>
      </c>
      <c r="I480" s="32">
        <f>_xlfn.XLOOKUP(A480,'Prior Month'!A:A,'Prior Month'!E:E,0,0)</f>
        <v>91842.559999999998</v>
      </c>
      <c r="J480" s="32">
        <f>_xlfn.XLOOKUP(A480,'Year end 2024'!A:A,'Year end 2024'!E:E,0,0)</f>
        <v>74156.509999999995</v>
      </c>
      <c r="K480" s="14">
        <f t="shared" si="14"/>
        <v>898.55000000000291</v>
      </c>
      <c r="L480" s="14">
        <f t="shared" si="15"/>
        <v>18584.600000000006</v>
      </c>
    </row>
    <row r="481" spans="1:12" ht="35.15" customHeight="1" x14ac:dyDescent="0.4">
      <c r="A481" s="11" t="s">
        <v>1026</v>
      </c>
      <c r="B481" s="11" t="s">
        <v>1027</v>
      </c>
      <c r="C481" s="11" t="s">
        <v>57</v>
      </c>
      <c r="D481" s="11" t="s">
        <v>56</v>
      </c>
      <c r="E481" s="18" t="str">
        <f>_xlfn.XLOOKUP(A481,'Current Month'!A:A,'Current Month'!I:I,"")</f>
        <v/>
      </c>
      <c r="F481" s="21" t="str">
        <f>_xlfn.XLOOKUP(A481,'Prior Month'!A:A,'Prior Month'!I:I,"")</f>
        <v/>
      </c>
      <c r="G481" s="18" t="str">
        <f>_xlfn.XLOOKUP(A481,'Year end 2024'!A:A,'Year end 2024'!I:I,"")</f>
        <v/>
      </c>
      <c r="H481" s="19">
        <f>_xlfn.XLOOKUP(A481,'Current Month'!A:A,'Current Month'!E:E,0,0)</f>
        <v>208388.96</v>
      </c>
      <c r="I481" s="32">
        <f>_xlfn.XLOOKUP(A481,'Prior Month'!A:A,'Prior Month'!E:E,0,0)</f>
        <v>186753.13</v>
      </c>
      <c r="J481" s="32">
        <f>_xlfn.XLOOKUP(A481,'Year end 2024'!A:A,'Year end 2024'!E:E,0,0)</f>
        <v>151531.93</v>
      </c>
      <c r="K481" s="14">
        <f t="shared" si="14"/>
        <v>21635.829999999987</v>
      </c>
      <c r="L481" s="14">
        <f t="shared" si="15"/>
        <v>56857.03</v>
      </c>
    </row>
    <row r="482" spans="1:12" ht="35.15" customHeight="1" x14ac:dyDescent="0.4">
      <c r="A482" s="11" t="s">
        <v>1028</v>
      </c>
      <c r="B482" s="11" t="s">
        <v>1029</v>
      </c>
      <c r="C482" s="11" t="s">
        <v>19</v>
      </c>
      <c r="D482" s="11" t="s">
        <v>18</v>
      </c>
      <c r="E482" s="18">
        <f>_xlfn.XLOOKUP(A482,'Current Month'!A:A,'Current Month'!I:I,"")</f>
        <v>465.65242999999998</v>
      </c>
      <c r="F482" s="21">
        <f>_xlfn.XLOOKUP(A482,'Prior Month'!A:A,'Prior Month'!I:I,"")</f>
        <v>482.38389000000001</v>
      </c>
      <c r="G482" s="18">
        <f>_xlfn.XLOOKUP(A482,'Year end 2024'!A:A,'Year end 2024'!I:I,"")</f>
        <v>380.81641999999999</v>
      </c>
      <c r="H482" s="19">
        <f>_xlfn.XLOOKUP(A482,'Current Month'!A:A,'Current Month'!E:E,0,0)</f>
        <v>465652.43</v>
      </c>
      <c r="I482" s="32">
        <f>_xlfn.XLOOKUP(A482,'Prior Month'!A:A,'Prior Month'!E:E,0,0)</f>
        <v>482383.89</v>
      </c>
      <c r="J482" s="32">
        <f>_xlfn.XLOOKUP(A482,'Year end 2024'!A:A,'Year end 2024'!E:E,0,0)</f>
        <v>380816.42</v>
      </c>
      <c r="K482" s="14">
        <f t="shared" si="14"/>
        <v>-16731.460000000021</v>
      </c>
      <c r="L482" s="14">
        <f t="shared" si="15"/>
        <v>84836.010000000009</v>
      </c>
    </row>
    <row r="483" spans="1:12" ht="35.15" customHeight="1" x14ac:dyDescent="0.4">
      <c r="A483" s="11" t="s">
        <v>1030</v>
      </c>
      <c r="B483" s="11" t="s">
        <v>1031</v>
      </c>
      <c r="C483" s="11" t="s">
        <v>57</v>
      </c>
      <c r="D483" s="11" t="s">
        <v>56</v>
      </c>
      <c r="E483" s="18" t="str">
        <f>_xlfn.XLOOKUP(A483,'Current Month'!A:A,'Current Month'!I:I,"")</f>
        <v/>
      </c>
      <c r="F483" s="21" t="str">
        <f>_xlfn.XLOOKUP(A483,'Prior Month'!A:A,'Prior Month'!I:I,"")</f>
        <v/>
      </c>
      <c r="G483" s="18" t="str">
        <f>_xlfn.XLOOKUP(A483,'Year end 2024'!A:A,'Year end 2024'!I:I,"")</f>
        <v/>
      </c>
      <c r="H483" s="19">
        <f>_xlfn.XLOOKUP(A483,'Current Month'!A:A,'Current Month'!E:E,0,0)</f>
        <v>2702.51</v>
      </c>
      <c r="I483" s="32">
        <f>_xlfn.XLOOKUP(A483,'Prior Month'!A:A,'Prior Month'!E:E,0,0)</f>
        <v>2927.79</v>
      </c>
      <c r="J483" s="32">
        <f>_xlfn.XLOOKUP(A483,'Year end 2024'!A:A,'Year end 2024'!E:E,0,0)</f>
        <v>3619.42</v>
      </c>
      <c r="K483" s="14">
        <f t="shared" si="14"/>
        <v>-225.27999999999975</v>
      </c>
      <c r="L483" s="14">
        <f t="shared" si="15"/>
        <v>-916.90999999999985</v>
      </c>
    </row>
    <row r="484" spans="1:12" ht="35.15" customHeight="1" x14ac:dyDescent="0.4">
      <c r="A484" s="11" t="s">
        <v>1032</v>
      </c>
      <c r="B484" s="11" t="s">
        <v>1033</v>
      </c>
      <c r="C484" s="11" t="s">
        <v>109</v>
      </c>
      <c r="D484" s="11" t="s">
        <v>108</v>
      </c>
      <c r="E484" s="18" t="str">
        <f>_xlfn.XLOOKUP(A484,'Current Month'!A:A,'Current Month'!I:I,"")</f>
        <v/>
      </c>
      <c r="F484" s="21" t="str">
        <f>_xlfn.XLOOKUP(A484,'Prior Month'!A:A,'Prior Month'!I:I,"")</f>
        <v/>
      </c>
      <c r="G484" s="18" t="str">
        <f>_xlfn.XLOOKUP(A484,'Year end 2024'!A:A,'Year end 2024'!I:I,"")</f>
        <v/>
      </c>
      <c r="H484" s="19">
        <f>_xlfn.XLOOKUP(A484,'Current Month'!A:A,'Current Month'!E:E,0,0)</f>
        <v>96776.86</v>
      </c>
      <c r="I484" s="32">
        <f>_xlfn.XLOOKUP(A484,'Prior Month'!A:A,'Prior Month'!E:E,0,0)</f>
        <v>106171.33</v>
      </c>
      <c r="J484" s="32">
        <f>_xlfn.XLOOKUP(A484,'Year end 2024'!A:A,'Year end 2024'!E:E,0,0)</f>
        <v>47170.68</v>
      </c>
      <c r="K484" s="14">
        <f t="shared" si="14"/>
        <v>-9394.4700000000012</v>
      </c>
      <c r="L484" s="14">
        <f t="shared" si="15"/>
        <v>49606.18</v>
      </c>
    </row>
    <row r="485" spans="1:12" ht="35.15" customHeight="1" x14ac:dyDescent="0.4">
      <c r="A485" s="11" t="s">
        <v>1034</v>
      </c>
      <c r="B485" s="11" t="s">
        <v>1035</v>
      </c>
      <c r="C485" s="11" t="s">
        <v>19</v>
      </c>
      <c r="D485" s="11" t="s">
        <v>18</v>
      </c>
      <c r="E485" s="18" t="str">
        <f>_xlfn.XLOOKUP(A485,'Current Month'!A:A,'Current Month'!I:I,"")</f>
        <v/>
      </c>
      <c r="F485" s="21" t="str">
        <f>_xlfn.XLOOKUP(A485,'Prior Month'!A:A,'Prior Month'!I:I,"")</f>
        <v/>
      </c>
      <c r="G485" s="18" t="str">
        <f>_xlfn.XLOOKUP(A485,'Year end 2024'!A:A,'Year end 2024'!I:I,"")</f>
        <v/>
      </c>
      <c r="H485" s="19">
        <f>_xlfn.XLOOKUP(A485,'Current Month'!A:A,'Current Month'!E:E,0,0)</f>
        <v>46002.39</v>
      </c>
      <c r="I485" s="32">
        <f>_xlfn.XLOOKUP(A485,'Prior Month'!A:A,'Prior Month'!E:E,0,0)</f>
        <v>38426.39</v>
      </c>
      <c r="J485" s="32">
        <f>_xlfn.XLOOKUP(A485,'Year end 2024'!A:A,'Year end 2024'!E:E,0,0)</f>
        <v>27645.32</v>
      </c>
      <c r="K485" s="14">
        <f t="shared" si="14"/>
        <v>7576</v>
      </c>
      <c r="L485" s="14">
        <f t="shared" si="15"/>
        <v>18357.07</v>
      </c>
    </row>
    <row r="486" spans="1:12" ht="35.15" customHeight="1" x14ac:dyDescent="0.4">
      <c r="A486" s="11" t="s">
        <v>1036</v>
      </c>
      <c r="B486" s="11" t="s">
        <v>1037</v>
      </c>
      <c r="C486" s="11" t="s">
        <v>77</v>
      </c>
      <c r="D486" s="11" t="s">
        <v>76</v>
      </c>
      <c r="E486" s="18" t="str">
        <f>_xlfn.XLOOKUP(A486,'Current Month'!A:A,'Current Month'!I:I,"")</f>
        <v/>
      </c>
      <c r="F486" s="21" t="str">
        <f>_xlfn.XLOOKUP(A486,'Prior Month'!A:A,'Prior Month'!I:I,"")</f>
        <v/>
      </c>
      <c r="G486" s="18" t="str">
        <f>_xlfn.XLOOKUP(A486,'Year end 2024'!A:A,'Year end 2024'!I:I,"")</f>
        <v/>
      </c>
      <c r="H486" s="19">
        <f>_xlfn.XLOOKUP(A486,'Current Month'!A:A,'Current Month'!E:E,0,0)</f>
        <v>217206.19</v>
      </c>
      <c r="I486" s="32">
        <f>_xlfn.XLOOKUP(A486,'Prior Month'!A:A,'Prior Month'!E:E,0,0)</f>
        <v>229551.99</v>
      </c>
      <c r="J486" s="32">
        <f>_xlfn.XLOOKUP(A486,'Year end 2024'!A:A,'Year end 2024'!E:E,0,0)</f>
        <v>236637.04</v>
      </c>
      <c r="K486" s="14">
        <f t="shared" si="14"/>
        <v>-12345.799999999988</v>
      </c>
      <c r="L486" s="14">
        <f t="shared" si="15"/>
        <v>-19430.850000000006</v>
      </c>
    </row>
    <row r="487" spans="1:12" ht="35.15" customHeight="1" x14ac:dyDescent="0.4">
      <c r="A487" s="11" t="s">
        <v>1038</v>
      </c>
      <c r="B487" s="11" t="s">
        <v>1039</v>
      </c>
      <c r="C487" s="11" t="s">
        <v>67</v>
      </c>
      <c r="D487" s="11" t="s">
        <v>66</v>
      </c>
      <c r="E487" s="18" t="str">
        <f>_xlfn.XLOOKUP(A487,'Current Month'!A:A,'Current Month'!I:I,"")</f>
        <v/>
      </c>
      <c r="F487" s="21" t="str">
        <f>_xlfn.XLOOKUP(A487,'Prior Month'!A:A,'Prior Month'!I:I,"")</f>
        <v/>
      </c>
      <c r="G487" s="18" t="str">
        <f>_xlfn.XLOOKUP(A487,'Year end 2024'!A:A,'Year end 2024'!I:I,"")</f>
        <v/>
      </c>
      <c r="H487" s="19">
        <f>_xlfn.XLOOKUP(A487,'Current Month'!A:A,'Current Month'!E:E,0,0)</f>
        <v>131754.32</v>
      </c>
      <c r="I487" s="32">
        <f>_xlfn.XLOOKUP(A487,'Prior Month'!A:A,'Prior Month'!E:E,0,0)</f>
        <v>194371.3</v>
      </c>
      <c r="J487" s="32">
        <f>_xlfn.XLOOKUP(A487,'Year end 2024'!A:A,'Year end 2024'!E:E,0,0)</f>
        <v>175799.58</v>
      </c>
      <c r="K487" s="14">
        <f t="shared" si="14"/>
        <v>-62616.979999999981</v>
      </c>
      <c r="L487" s="14">
        <f t="shared" si="15"/>
        <v>-44045.25999999998</v>
      </c>
    </row>
    <row r="488" spans="1:12" ht="35.15" customHeight="1" x14ac:dyDescent="0.4">
      <c r="A488" s="11" t="s">
        <v>1040</v>
      </c>
      <c r="B488" s="11" t="s">
        <v>1041</v>
      </c>
      <c r="C488" s="11" t="s">
        <v>385</v>
      </c>
      <c r="D488" s="11" t="s">
        <v>384</v>
      </c>
      <c r="E488" s="18">
        <f>_xlfn.XLOOKUP(A488,'Current Month'!A:A,'Current Month'!I:I,"")</f>
        <v>3.0404331410147631</v>
      </c>
      <c r="F488" s="21">
        <f>_xlfn.XLOOKUP(A488,'Prior Month'!A:A,'Prior Month'!I:I,"")</f>
        <v>0.57868169862548779</v>
      </c>
      <c r="G488" s="18">
        <f>_xlfn.XLOOKUP(A488,'Year end 2024'!A:A,'Year end 2024'!I:I,"")</f>
        <v>3.3718095621924316</v>
      </c>
      <c r="H488" s="19">
        <f>_xlfn.XLOOKUP(A488,'Current Month'!A:A,'Current Month'!E:E,0,0)</f>
        <v>143338.18</v>
      </c>
      <c r="I488" s="32">
        <f>_xlfn.XLOOKUP(A488,'Prior Month'!A:A,'Prior Month'!E:E,0,0)</f>
        <v>27281.37</v>
      </c>
      <c r="J488" s="32">
        <f>_xlfn.XLOOKUP(A488,'Year end 2024'!A:A,'Year end 2024'!E:E,0,0)</f>
        <v>158960.59</v>
      </c>
      <c r="K488" s="14">
        <f t="shared" si="14"/>
        <v>116056.81</v>
      </c>
      <c r="L488" s="14">
        <f t="shared" si="15"/>
        <v>-15622.410000000003</v>
      </c>
    </row>
    <row r="489" spans="1:12" ht="35.15" customHeight="1" x14ac:dyDescent="0.4">
      <c r="A489" s="11" t="s">
        <v>1042</v>
      </c>
      <c r="B489" s="11" t="s">
        <v>1043</v>
      </c>
      <c r="C489" s="11" t="s">
        <v>41</v>
      </c>
      <c r="D489" s="11" t="s">
        <v>40</v>
      </c>
      <c r="E489" s="18" t="str">
        <f>_xlfn.XLOOKUP(A489,'Current Month'!A:A,'Current Month'!I:I,"")</f>
        <v/>
      </c>
      <c r="F489" s="21" t="str">
        <f>_xlfn.XLOOKUP(A489,'Prior Month'!A:A,'Prior Month'!I:I,"")</f>
        <v/>
      </c>
      <c r="G489" s="18" t="str">
        <f>_xlfn.XLOOKUP(A489,'Year end 2024'!A:A,'Year end 2024'!I:I,"")</f>
        <v/>
      </c>
      <c r="H489" s="19">
        <f>_xlfn.XLOOKUP(A489,'Current Month'!A:A,'Current Month'!E:E,0,0)</f>
        <v>4101.8</v>
      </c>
      <c r="I489" s="32">
        <f>_xlfn.XLOOKUP(A489,'Prior Month'!A:A,'Prior Month'!E:E,0,0)</f>
        <v>798.71</v>
      </c>
      <c r="J489" s="32">
        <f>_xlfn.XLOOKUP(A489,'Year end 2024'!A:A,'Year end 2024'!E:E,0,0)</f>
        <v>3535.09</v>
      </c>
      <c r="K489" s="14">
        <f t="shared" si="14"/>
        <v>3303.09</v>
      </c>
      <c r="L489" s="14">
        <f t="shared" si="15"/>
        <v>566.71</v>
      </c>
    </row>
    <row r="490" spans="1:12" ht="35.15" customHeight="1" x14ac:dyDescent="0.4">
      <c r="A490" s="11" t="s">
        <v>1044</v>
      </c>
      <c r="B490" s="11" t="s">
        <v>1045</v>
      </c>
      <c r="C490" s="11" t="s">
        <v>19</v>
      </c>
      <c r="D490" s="11" t="s">
        <v>18</v>
      </c>
      <c r="E490" s="18" t="str">
        <f>_xlfn.XLOOKUP(A490,'Current Month'!A:A,'Current Month'!I:I,"")</f>
        <v/>
      </c>
      <c r="F490" s="21" t="str">
        <f>_xlfn.XLOOKUP(A490,'Prior Month'!A:A,'Prior Month'!I:I,"")</f>
        <v/>
      </c>
      <c r="G490" s="18" t="str">
        <f>_xlfn.XLOOKUP(A490,'Year end 2024'!A:A,'Year end 2024'!I:I,"")</f>
        <v/>
      </c>
      <c r="H490" s="19">
        <f>_xlfn.XLOOKUP(A490,'Current Month'!A:A,'Current Month'!E:E,0,0)</f>
        <v>66384.5</v>
      </c>
      <c r="I490" s="32">
        <f>_xlfn.XLOOKUP(A490,'Prior Month'!A:A,'Prior Month'!E:E,0,0)</f>
        <v>64784.5</v>
      </c>
      <c r="J490" s="32">
        <f>_xlfn.XLOOKUP(A490,'Year end 2024'!A:A,'Year end 2024'!E:E,0,0)</f>
        <v>46183.99</v>
      </c>
      <c r="K490" s="14">
        <f t="shared" si="14"/>
        <v>1600</v>
      </c>
      <c r="L490" s="14">
        <f t="shared" si="15"/>
        <v>20200.510000000002</v>
      </c>
    </row>
    <row r="491" spans="1:12" ht="35.15" customHeight="1" x14ac:dyDescent="0.4">
      <c r="A491" s="11" t="s">
        <v>1046</v>
      </c>
      <c r="B491" s="11" t="s">
        <v>1047</v>
      </c>
      <c r="C491" s="11" t="s">
        <v>51</v>
      </c>
      <c r="D491" s="11" t="s">
        <v>50</v>
      </c>
      <c r="E491" s="18" t="str">
        <f>_xlfn.XLOOKUP(A491,'Current Month'!A:A,'Current Month'!I:I,"")</f>
        <v/>
      </c>
      <c r="F491" s="21" t="str">
        <f>_xlfn.XLOOKUP(A491,'Prior Month'!A:A,'Prior Month'!I:I,"")</f>
        <v/>
      </c>
      <c r="G491" s="18" t="str">
        <f>_xlfn.XLOOKUP(A491,'Year end 2024'!A:A,'Year end 2024'!I:I,"")</f>
        <v/>
      </c>
      <c r="H491" s="19">
        <f>_xlfn.XLOOKUP(A491,'Current Month'!A:A,'Current Month'!E:E,0,0)</f>
        <v>120224.23</v>
      </c>
      <c r="I491" s="32">
        <f>_xlfn.XLOOKUP(A491,'Prior Month'!A:A,'Prior Month'!E:E,0,0)</f>
        <v>118605.64</v>
      </c>
      <c r="J491" s="32">
        <f>_xlfn.XLOOKUP(A491,'Year end 2024'!A:A,'Year end 2024'!E:E,0,0)</f>
        <v>68417.64</v>
      </c>
      <c r="K491" s="14">
        <f t="shared" si="14"/>
        <v>1618.5899999999965</v>
      </c>
      <c r="L491" s="14">
        <f t="shared" si="15"/>
        <v>51806.59</v>
      </c>
    </row>
    <row r="492" spans="1:12" ht="35.15" customHeight="1" x14ac:dyDescent="0.4">
      <c r="A492" s="11" t="s">
        <v>1048</v>
      </c>
      <c r="B492" s="11" t="s">
        <v>1049</v>
      </c>
      <c r="C492" s="11" t="s">
        <v>15</v>
      </c>
      <c r="D492" s="11" t="s">
        <v>14</v>
      </c>
      <c r="E492" s="18">
        <f>_xlfn.XLOOKUP(A492,'Current Month'!A:A,'Current Month'!I:I,"")</f>
        <v>8.3152862118652873E-2</v>
      </c>
      <c r="F492" s="21">
        <f>_xlfn.XLOOKUP(A492,'Prior Month'!A:A,'Prior Month'!I:I,"")</f>
        <v>6.3710662137727275E-2</v>
      </c>
      <c r="G492" s="18">
        <f>_xlfn.XLOOKUP(A492,'Year end 2024'!A:A,'Year end 2024'!I:I,"")</f>
        <v>6.6919606781551316E-2</v>
      </c>
      <c r="H492" s="19">
        <f>_xlfn.XLOOKUP(A492,'Current Month'!A:A,'Current Month'!E:E,0,0)</f>
        <v>462819.87</v>
      </c>
      <c r="I492" s="32">
        <f>_xlfn.XLOOKUP(A492,'Prior Month'!A:A,'Prior Month'!E:E,0,0)</f>
        <v>355797.51</v>
      </c>
      <c r="J492" s="32">
        <f>_xlfn.XLOOKUP(A492,'Year end 2024'!A:A,'Year end 2024'!E:E,0,0)</f>
        <v>383373.63</v>
      </c>
      <c r="K492" s="14">
        <f t="shared" si="14"/>
        <v>107022.35999999999</v>
      </c>
      <c r="L492" s="14">
        <f t="shared" si="15"/>
        <v>79446.239999999991</v>
      </c>
    </row>
    <row r="493" spans="1:12" ht="35.15" customHeight="1" x14ac:dyDescent="0.4">
      <c r="A493" s="11" t="s">
        <v>1050</v>
      </c>
      <c r="B493" s="11" t="s">
        <v>1051</v>
      </c>
      <c r="C493" s="11" t="s">
        <v>51</v>
      </c>
      <c r="D493" s="11" t="s">
        <v>50</v>
      </c>
      <c r="E493" s="18" t="str">
        <f>_xlfn.XLOOKUP(A493,'Current Month'!A:A,'Current Month'!I:I,"")</f>
        <v/>
      </c>
      <c r="F493" s="21" t="str">
        <f>_xlfn.XLOOKUP(A493,'Prior Month'!A:A,'Prior Month'!I:I,"")</f>
        <v/>
      </c>
      <c r="G493" s="18" t="str">
        <f>_xlfn.XLOOKUP(A493,'Year end 2024'!A:A,'Year end 2024'!I:I,"")</f>
        <v/>
      </c>
      <c r="H493" s="19">
        <f>_xlfn.XLOOKUP(A493,'Current Month'!A:A,'Current Month'!E:E,0,0)</f>
        <v>32426.68</v>
      </c>
      <c r="I493" s="32">
        <f>_xlfn.XLOOKUP(A493,'Prior Month'!A:A,'Prior Month'!E:E,0,0)</f>
        <v>39704.44</v>
      </c>
      <c r="J493" s="32">
        <f>_xlfn.XLOOKUP(A493,'Year end 2024'!A:A,'Year end 2024'!E:E,0,0)</f>
        <v>33440.92</v>
      </c>
      <c r="K493" s="14">
        <f t="shared" si="14"/>
        <v>-7277.760000000002</v>
      </c>
      <c r="L493" s="14">
        <f t="shared" si="15"/>
        <v>-1014.239999999998</v>
      </c>
    </row>
    <row r="494" spans="1:12" ht="35.15" customHeight="1" x14ac:dyDescent="0.4">
      <c r="A494" s="11" t="s">
        <v>1052</v>
      </c>
      <c r="B494" s="11" t="s">
        <v>1053</v>
      </c>
      <c r="C494" s="11" t="s">
        <v>33</v>
      </c>
      <c r="D494" s="11" t="s">
        <v>32</v>
      </c>
      <c r="E494" s="18" t="str">
        <f>_xlfn.XLOOKUP(A494,'Current Month'!A:A,'Current Month'!I:I,"")</f>
        <v/>
      </c>
      <c r="F494" s="21" t="str">
        <f>_xlfn.XLOOKUP(A494,'Prior Month'!A:A,'Prior Month'!I:I,"")</f>
        <v/>
      </c>
      <c r="G494" s="18" t="str">
        <f>_xlfn.XLOOKUP(A494,'Year end 2024'!A:A,'Year end 2024'!I:I,"")</f>
        <v/>
      </c>
      <c r="H494" s="19">
        <f>_xlfn.XLOOKUP(A494,'Current Month'!A:A,'Current Month'!E:E,0,0)</f>
        <v>4263231.03</v>
      </c>
      <c r="I494" s="32">
        <f>_xlfn.XLOOKUP(A494,'Prior Month'!A:A,'Prior Month'!E:E,0,0)</f>
        <v>4466631.5</v>
      </c>
      <c r="J494" s="32">
        <f>_xlfn.XLOOKUP(A494,'Year end 2024'!A:A,'Year end 2024'!E:E,0,0)</f>
        <v>11780158.359999999</v>
      </c>
      <c r="K494" s="14">
        <f t="shared" si="14"/>
        <v>-203400.46999999974</v>
      </c>
      <c r="L494" s="14">
        <f t="shared" si="15"/>
        <v>-7516927.3299999991</v>
      </c>
    </row>
    <row r="495" spans="1:12" ht="35.15" customHeight="1" x14ac:dyDescent="0.4">
      <c r="A495" s="11" t="s">
        <v>1054</v>
      </c>
      <c r="B495" s="11" t="s">
        <v>1055</v>
      </c>
      <c r="C495" s="11" t="s">
        <v>51</v>
      </c>
      <c r="D495" s="11" t="s">
        <v>50</v>
      </c>
      <c r="E495" s="18" t="str">
        <f>_xlfn.XLOOKUP(A495,'Current Month'!A:A,'Current Month'!I:I,"")</f>
        <v/>
      </c>
      <c r="F495" s="21" t="str">
        <f>_xlfn.XLOOKUP(A495,'Prior Month'!A:A,'Prior Month'!I:I,"")</f>
        <v/>
      </c>
      <c r="G495" s="18" t="str">
        <f>_xlfn.XLOOKUP(A495,'Year end 2024'!A:A,'Year end 2024'!I:I,"")</f>
        <v/>
      </c>
      <c r="H495" s="19">
        <f>_xlfn.XLOOKUP(A495,'Current Month'!A:A,'Current Month'!E:E,0,0)</f>
        <v>90980.01</v>
      </c>
      <c r="I495" s="32">
        <f>_xlfn.XLOOKUP(A495,'Prior Month'!A:A,'Prior Month'!E:E,0,0)</f>
        <v>89803.54</v>
      </c>
      <c r="J495" s="32">
        <f>_xlfn.XLOOKUP(A495,'Year end 2024'!A:A,'Year end 2024'!E:E,0,0)</f>
        <v>94041.43</v>
      </c>
      <c r="K495" s="14">
        <f t="shared" si="14"/>
        <v>1176.4700000000012</v>
      </c>
      <c r="L495" s="14">
        <f t="shared" si="15"/>
        <v>-3061.4199999999983</v>
      </c>
    </row>
    <row r="496" spans="1:12" ht="35.15" customHeight="1" x14ac:dyDescent="0.4">
      <c r="A496" s="11" t="s">
        <v>1056</v>
      </c>
      <c r="B496" s="11" t="s">
        <v>1057</v>
      </c>
      <c r="C496" s="11" t="s">
        <v>77</v>
      </c>
      <c r="D496" s="11" t="s">
        <v>76</v>
      </c>
      <c r="E496" s="18" t="str">
        <f>_xlfn.XLOOKUP(A496,'Current Month'!A:A,'Current Month'!I:I,"")</f>
        <v/>
      </c>
      <c r="F496" s="21" t="str">
        <f>_xlfn.XLOOKUP(A496,'Prior Month'!A:A,'Prior Month'!I:I,"")</f>
        <v/>
      </c>
      <c r="G496" s="18" t="str">
        <f>_xlfn.XLOOKUP(A496,'Year end 2024'!A:A,'Year end 2024'!I:I,"")</f>
        <v/>
      </c>
      <c r="H496" s="19">
        <f>_xlfn.XLOOKUP(A496,'Current Month'!A:A,'Current Month'!E:E,0,0)</f>
        <v>41373.75</v>
      </c>
      <c r="I496" s="32">
        <f>_xlfn.XLOOKUP(A496,'Prior Month'!A:A,'Prior Month'!E:E,0,0)</f>
        <v>28936.07</v>
      </c>
      <c r="J496" s="32">
        <f>_xlfn.XLOOKUP(A496,'Year end 2024'!A:A,'Year end 2024'!E:E,0,0)</f>
        <v>54598.05</v>
      </c>
      <c r="K496" s="14">
        <f t="shared" si="14"/>
        <v>12437.68</v>
      </c>
      <c r="L496" s="14">
        <f t="shared" si="15"/>
        <v>-13224.300000000003</v>
      </c>
    </row>
    <row r="497" spans="1:12" ht="35.15" customHeight="1" x14ac:dyDescent="0.4">
      <c r="A497" s="11" t="s">
        <v>1058</v>
      </c>
      <c r="B497" s="11" t="s">
        <v>1059</v>
      </c>
      <c r="C497" s="11" t="s">
        <v>77</v>
      </c>
      <c r="D497" s="11" t="s">
        <v>76</v>
      </c>
      <c r="E497" s="18" t="str">
        <f>_xlfn.XLOOKUP(A497,'Current Month'!A:A,'Current Month'!I:I,"")</f>
        <v/>
      </c>
      <c r="F497" s="21" t="str">
        <f>_xlfn.XLOOKUP(A497,'Prior Month'!A:A,'Prior Month'!I:I,"")</f>
        <v/>
      </c>
      <c r="G497" s="18" t="str">
        <f>_xlfn.XLOOKUP(A497,'Year end 2024'!A:A,'Year end 2024'!I:I,"")</f>
        <v/>
      </c>
      <c r="H497" s="19">
        <f>_xlfn.XLOOKUP(A497,'Current Month'!A:A,'Current Month'!E:E,0,0)</f>
        <v>133997.49</v>
      </c>
      <c r="I497" s="32">
        <f>_xlfn.XLOOKUP(A497,'Prior Month'!A:A,'Prior Month'!E:E,0,0)</f>
        <v>172112.9</v>
      </c>
      <c r="J497" s="32">
        <f>_xlfn.XLOOKUP(A497,'Year end 2024'!A:A,'Year end 2024'!E:E,0,0)</f>
        <v>82669.62</v>
      </c>
      <c r="K497" s="14">
        <f t="shared" si="14"/>
        <v>-38115.410000000003</v>
      </c>
      <c r="L497" s="14">
        <f t="shared" si="15"/>
        <v>51327.869999999995</v>
      </c>
    </row>
    <row r="498" spans="1:12" ht="35.15" customHeight="1" x14ac:dyDescent="0.4">
      <c r="A498" s="11" t="s">
        <v>1060</v>
      </c>
      <c r="B498" s="11" t="s">
        <v>1061</v>
      </c>
      <c r="C498" s="11" t="s">
        <v>15</v>
      </c>
      <c r="D498" s="11" t="s">
        <v>14</v>
      </c>
      <c r="E498" s="18">
        <f>_xlfn.XLOOKUP(A498,'Current Month'!A:A,'Current Month'!I:I,"")</f>
        <v>4.6902852004808732E-2</v>
      </c>
      <c r="F498" s="21">
        <f>_xlfn.XLOOKUP(A498,'Prior Month'!A:A,'Prior Month'!I:I,"")</f>
        <v>6.0605402187076107E-2</v>
      </c>
      <c r="G498" s="18">
        <f>_xlfn.XLOOKUP(A498,'Year end 2024'!A:A,'Year end 2024'!I:I,"")</f>
        <v>0.18841627623246807</v>
      </c>
      <c r="H498" s="19">
        <f>_xlfn.XLOOKUP(A498,'Current Month'!A:A,'Current Month'!E:E,0,0)</f>
        <v>262993.59999999998</v>
      </c>
      <c r="I498" s="32">
        <f>_xlfn.XLOOKUP(A498,'Prior Month'!A:A,'Prior Month'!E:E,0,0)</f>
        <v>340071.32</v>
      </c>
      <c r="J498" s="32">
        <f>_xlfn.XLOOKUP(A498,'Year end 2024'!A:A,'Year end 2024'!E:E,0,0)</f>
        <v>638284.66</v>
      </c>
      <c r="K498" s="14">
        <f t="shared" si="14"/>
        <v>-77077.72000000003</v>
      </c>
      <c r="L498" s="14">
        <f t="shared" si="15"/>
        <v>-375291.06000000006</v>
      </c>
    </row>
    <row r="499" spans="1:12" ht="35.15" customHeight="1" x14ac:dyDescent="0.4">
      <c r="A499" s="11" t="s">
        <v>1062</v>
      </c>
      <c r="B499" s="11" t="s">
        <v>1063</v>
      </c>
      <c r="C499" s="11" t="s">
        <v>51</v>
      </c>
      <c r="D499" s="11" t="s">
        <v>50</v>
      </c>
      <c r="E499" s="18" t="str">
        <f>_xlfn.XLOOKUP(A499,'Current Month'!A:A,'Current Month'!I:I,"")</f>
        <v/>
      </c>
      <c r="F499" s="21" t="str">
        <f>_xlfn.XLOOKUP(A499,'Prior Month'!A:A,'Prior Month'!I:I,"")</f>
        <v/>
      </c>
      <c r="G499" s="18" t="str">
        <f>_xlfn.XLOOKUP(A499,'Year end 2024'!A:A,'Year end 2024'!I:I,"")</f>
        <v/>
      </c>
      <c r="H499" s="19">
        <f>_xlfn.XLOOKUP(A499,'Current Month'!A:A,'Current Month'!E:E,0,0)</f>
        <v>257408.76</v>
      </c>
      <c r="I499" s="32">
        <f>_xlfn.XLOOKUP(A499,'Prior Month'!A:A,'Prior Month'!E:E,0,0)</f>
        <v>212771.23</v>
      </c>
      <c r="J499" s="32">
        <f>_xlfn.XLOOKUP(A499,'Year end 2024'!A:A,'Year end 2024'!E:E,0,0)</f>
        <v>217522.32</v>
      </c>
      <c r="K499" s="14">
        <f t="shared" si="14"/>
        <v>44637.53</v>
      </c>
      <c r="L499" s="14">
        <f t="shared" si="15"/>
        <v>39886.44</v>
      </c>
    </row>
    <row r="500" spans="1:12" ht="35.15" customHeight="1" x14ac:dyDescent="0.4">
      <c r="A500" s="11" t="s">
        <v>1064</v>
      </c>
      <c r="B500" s="11" t="s">
        <v>1065</v>
      </c>
      <c r="C500" s="11" t="s">
        <v>19</v>
      </c>
      <c r="D500" s="11" t="s">
        <v>18</v>
      </c>
      <c r="E500" s="18" t="str">
        <f>_xlfn.XLOOKUP(A500,'Current Month'!A:A,'Current Month'!I:I,"")</f>
        <v/>
      </c>
      <c r="F500" s="21" t="str">
        <f>_xlfn.XLOOKUP(A500,'Prior Month'!A:A,'Prior Month'!I:I,"")</f>
        <v/>
      </c>
      <c r="G500" s="18" t="str">
        <f>_xlfn.XLOOKUP(A500,'Year end 2024'!A:A,'Year end 2024'!I:I,"")</f>
        <v/>
      </c>
      <c r="H500" s="19">
        <f>_xlfn.XLOOKUP(A500,'Current Month'!A:A,'Current Month'!E:E,0,0)</f>
        <v>206140.88</v>
      </c>
      <c r="I500" s="32">
        <f>_xlfn.XLOOKUP(A500,'Prior Month'!A:A,'Prior Month'!E:E,0,0)</f>
        <v>229754.19</v>
      </c>
      <c r="J500" s="32">
        <f>_xlfn.XLOOKUP(A500,'Year end 2024'!A:A,'Year end 2024'!E:E,0,0)</f>
        <v>226316.24</v>
      </c>
      <c r="K500" s="14">
        <f t="shared" si="14"/>
        <v>-23613.309999999998</v>
      </c>
      <c r="L500" s="14">
        <f t="shared" si="15"/>
        <v>-20175.359999999986</v>
      </c>
    </row>
    <row r="501" spans="1:12" ht="35.15" customHeight="1" x14ac:dyDescent="0.4">
      <c r="A501" s="11" t="s">
        <v>1066</v>
      </c>
      <c r="B501" s="11" t="s">
        <v>1067</v>
      </c>
      <c r="C501" s="11" t="s">
        <v>487</v>
      </c>
      <c r="D501" s="11" t="s">
        <v>486</v>
      </c>
      <c r="E501" s="18">
        <f>_xlfn.XLOOKUP(A501,'Current Month'!A:A,'Current Month'!I:I,"")</f>
        <v>1.9956901401900699E-2</v>
      </c>
      <c r="F501" s="21">
        <f>_xlfn.XLOOKUP(A501,'Prior Month'!A:A,'Prior Month'!I:I,"")</f>
        <v>1.6430920056198207E-2</v>
      </c>
      <c r="G501" s="18">
        <f>_xlfn.XLOOKUP(A501,'Year end 2024'!A:A,'Year end 2024'!I:I,"")</f>
        <v>1.5880187042450762E-2</v>
      </c>
      <c r="H501" s="19">
        <f>_xlfn.XLOOKUP(A501,'Current Month'!A:A,'Current Month'!E:E,0,0)</f>
        <v>72386.36</v>
      </c>
      <c r="I501" s="32">
        <f>_xlfn.XLOOKUP(A501,'Prior Month'!A:A,'Prior Month'!E:E,0,0)</f>
        <v>59786.13</v>
      </c>
      <c r="J501" s="32">
        <f>_xlfn.XLOOKUP(A501,'Year end 2024'!A:A,'Year end 2024'!E:E,0,0)</f>
        <v>60121.58</v>
      </c>
      <c r="K501" s="14">
        <f t="shared" si="14"/>
        <v>12600.230000000003</v>
      </c>
      <c r="L501" s="14">
        <f t="shared" si="15"/>
        <v>12264.779999999999</v>
      </c>
    </row>
    <row r="502" spans="1:12" ht="35.15" customHeight="1" x14ac:dyDescent="0.4">
      <c r="A502" s="11" t="s">
        <v>1068</v>
      </c>
      <c r="B502" s="11" t="s">
        <v>1069</v>
      </c>
      <c r="C502" s="11" t="s">
        <v>51</v>
      </c>
      <c r="D502" s="11" t="s">
        <v>50</v>
      </c>
      <c r="E502" s="18" t="str">
        <f>_xlfn.XLOOKUP(A502,'Current Month'!A:A,'Current Month'!I:I,"")</f>
        <v/>
      </c>
      <c r="F502" s="21" t="str">
        <f>_xlfn.XLOOKUP(A502,'Prior Month'!A:A,'Prior Month'!I:I,"")</f>
        <v/>
      </c>
      <c r="G502" s="18" t="str">
        <f>_xlfn.XLOOKUP(A502,'Year end 2024'!A:A,'Year end 2024'!I:I,"")</f>
        <v/>
      </c>
      <c r="H502" s="19">
        <f>_xlfn.XLOOKUP(A502,'Current Month'!A:A,'Current Month'!E:E,0,0)</f>
        <v>91988.58</v>
      </c>
      <c r="I502" s="32">
        <f>_xlfn.XLOOKUP(A502,'Prior Month'!A:A,'Prior Month'!E:E,0,0)</f>
        <v>92335.11</v>
      </c>
      <c r="J502" s="32">
        <f>_xlfn.XLOOKUP(A502,'Year end 2024'!A:A,'Year end 2024'!E:E,0,0)</f>
        <v>75554.789999999994</v>
      </c>
      <c r="K502" s="14">
        <f t="shared" si="14"/>
        <v>-346.52999999999884</v>
      </c>
      <c r="L502" s="14">
        <f t="shared" si="15"/>
        <v>16433.790000000008</v>
      </c>
    </row>
    <row r="503" spans="1:12" ht="35.15" customHeight="1" x14ac:dyDescent="0.4">
      <c r="A503" s="11" t="s">
        <v>1070</v>
      </c>
      <c r="B503" s="11" t="s">
        <v>1071</v>
      </c>
      <c r="C503" s="11" t="s">
        <v>109</v>
      </c>
      <c r="D503" s="11" t="s">
        <v>108</v>
      </c>
      <c r="E503" s="18" t="str">
        <f>_xlfn.XLOOKUP(A503,'Current Month'!A:A,'Current Month'!I:I,"")</f>
        <v/>
      </c>
      <c r="F503" s="21" t="str">
        <f>_xlfn.XLOOKUP(A503,'Prior Month'!A:A,'Prior Month'!I:I,"")</f>
        <v/>
      </c>
      <c r="G503" s="18" t="str">
        <f>_xlfn.XLOOKUP(A503,'Year end 2024'!A:A,'Year end 2024'!I:I,"")</f>
        <v/>
      </c>
      <c r="H503" s="19">
        <f>_xlfn.XLOOKUP(A503,'Current Month'!A:A,'Current Month'!E:E,0,0)</f>
        <v>1417841.55</v>
      </c>
      <c r="I503" s="32">
        <f>_xlfn.XLOOKUP(A503,'Prior Month'!A:A,'Prior Month'!E:E,0,0)</f>
        <v>1414718.32</v>
      </c>
      <c r="J503" s="32">
        <f>_xlfn.XLOOKUP(A503,'Year end 2024'!A:A,'Year end 2024'!E:E,0,0)</f>
        <v>1388816.89</v>
      </c>
      <c r="K503" s="14">
        <f t="shared" si="14"/>
        <v>3123.2299999999814</v>
      </c>
      <c r="L503" s="14">
        <f t="shared" si="15"/>
        <v>29024.660000000149</v>
      </c>
    </row>
    <row r="504" spans="1:12" ht="35.15" customHeight="1" x14ac:dyDescent="0.4">
      <c r="A504" s="11" t="s">
        <v>1072</v>
      </c>
      <c r="B504" s="11" t="s">
        <v>1073</v>
      </c>
      <c r="C504" s="11" t="s">
        <v>313</v>
      </c>
      <c r="D504" s="11" t="s">
        <v>312</v>
      </c>
      <c r="E504" s="18">
        <f>_xlfn.XLOOKUP(A504,'Current Month'!A:A,'Current Month'!I:I,"")</f>
        <v>0.13275342857142858</v>
      </c>
      <c r="F504" s="21">
        <f>_xlfn.XLOOKUP(A504,'Prior Month'!A:A,'Prior Month'!I:I,"")</f>
        <v>0.14601742857142858</v>
      </c>
      <c r="G504" s="18">
        <f>_xlfn.XLOOKUP(A504,'Year end 2024'!A:A,'Year end 2024'!I:I,"")</f>
        <v>0.24191428571428572</v>
      </c>
      <c r="H504" s="19">
        <f>_xlfn.XLOOKUP(A504,'Current Month'!A:A,'Current Month'!E:E,0,0)</f>
        <v>4646.37</v>
      </c>
      <c r="I504" s="32">
        <f>_xlfn.XLOOKUP(A504,'Prior Month'!A:A,'Prior Month'!E:E,0,0)</f>
        <v>5110.6099999999997</v>
      </c>
      <c r="J504" s="32">
        <f>_xlfn.XLOOKUP(A504,'Year end 2024'!A:A,'Year end 2024'!E:E,0,0)</f>
        <v>8467</v>
      </c>
      <c r="K504" s="14">
        <f t="shared" si="14"/>
        <v>-464.23999999999978</v>
      </c>
      <c r="L504" s="14">
        <f t="shared" si="15"/>
        <v>-3820.63</v>
      </c>
    </row>
    <row r="505" spans="1:12" ht="35.15" customHeight="1" x14ac:dyDescent="0.4">
      <c r="A505" s="11" t="s">
        <v>1074</v>
      </c>
      <c r="B505" s="11" t="s">
        <v>1075</v>
      </c>
      <c r="C505" s="11" t="s">
        <v>109</v>
      </c>
      <c r="D505" s="11" t="s">
        <v>108</v>
      </c>
      <c r="E505" s="18" t="str">
        <f>_xlfn.XLOOKUP(A505,'Current Month'!A:A,'Current Month'!I:I,"")</f>
        <v/>
      </c>
      <c r="F505" s="21" t="str">
        <f>_xlfn.XLOOKUP(A505,'Prior Month'!A:A,'Prior Month'!I:I,"")</f>
        <v/>
      </c>
      <c r="G505" s="18" t="str">
        <f>_xlfn.XLOOKUP(A505,'Year end 2024'!A:A,'Year end 2024'!I:I,"")</f>
        <v/>
      </c>
      <c r="H505" s="19">
        <f>_xlfn.XLOOKUP(A505,'Current Month'!A:A,'Current Month'!E:E,0,0)</f>
        <v>307537.24</v>
      </c>
      <c r="I505" s="32">
        <f>_xlfn.XLOOKUP(A505,'Prior Month'!A:A,'Prior Month'!E:E,0,0)</f>
        <v>331007.77</v>
      </c>
      <c r="J505" s="32">
        <f>_xlfn.XLOOKUP(A505,'Year end 2024'!A:A,'Year end 2024'!E:E,0,0)</f>
        <v>284055.5</v>
      </c>
      <c r="K505" s="14">
        <f t="shared" si="14"/>
        <v>-23470.530000000028</v>
      </c>
      <c r="L505" s="14">
        <f t="shared" si="15"/>
        <v>23481.739999999991</v>
      </c>
    </row>
    <row r="506" spans="1:12" ht="35.15" customHeight="1" x14ac:dyDescent="0.4">
      <c r="A506" s="11" t="s">
        <v>1076</v>
      </c>
      <c r="B506" s="11" t="s">
        <v>1077</v>
      </c>
      <c r="C506" s="11" t="s">
        <v>259</v>
      </c>
      <c r="D506" s="11" t="s">
        <v>258</v>
      </c>
      <c r="E506" s="18">
        <f>_xlfn.XLOOKUP(A506,'Current Month'!A:A,'Current Month'!I:I,"")</f>
        <v>1.2461910061779111</v>
      </c>
      <c r="F506" s="21">
        <f>_xlfn.XLOOKUP(A506,'Prior Month'!A:A,'Prior Month'!I:I,"")</f>
        <v>0.92140905463286094</v>
      </c>
      <c r="G506" s="18">
        <f>_xlfn.XLOOKUP(A506,'Year end 2024'!A:A,'Year end 2024'!I:I,"")</f>
        <v>0.8552452906726894</v>
      </c>
      <c r="H506" s="19">
        <f>_xlfn.XLOOKUP(A506,'Current Month'!A:A,'Current Month'!E:E,0,0)</f>
        <v>1566106.22</v>
      </c>
      <c r="I506" s="32">
        <f>_xlfn.XLOOKUP(A506,'Prior Month'!A:A,'Prior Month'!E:E,0,0)</f>
        <v>1170699.96</v>
      </c>
      <c r="J506" s="32">
        <f>_xlfn.XLOOKUP(A506,'Year end 2024'!A:A,'Year end 2024'!E:E,0,0)</f>
        <v>1182345.74</v>
      </c>
      <c r="K506" s="14">
        <f t="shared" si="14"/>
        <v>395406.26</v>
      </c>
      <c r="L506" s="14">
        <f t="shared" si="15"/>
        <v>383760.48</v>
      </c>
    </row>
    <row r="507" spans="1:12" ht="35.15" customHeight="1" x14ac:dyDescent="0.4">
      <c r="A507" s="11" t="s">
        <v>1078</v>
      </c>
      <c r="B507" s="11" t="s">
        <v>1079</v>
      </c>
      <c r="C507" s="11" t="s">
        <v>57</v>
      </c>
      <c r="D507" s="11" t="s">
        <v>56</v>
      </c>
      <c r="E507" s="18" t="str">
        <f>_xlfn.XLOOKUP(A507,'Current Month'!A:A,'Current Month'!I:I,"")</f>
        <v/>
      </c>
      <c r="F507" s="21" t="str">
        <f>_xlfn.XLOOKUP(A507,'Prior Month'!A:A,'Prior Month'!I:I,"")</f>
        <v/>
      </c>
      <c r="G507" s="18" t="str">
        <f>_xlfn.XLOOKUP(A507,'Year end 2024'!A:A,'Year end 2024'!I:I,"")</f>
        <v/>
      </c>
      <c r="H507" s="19">
        <f>_xlfn.XLOOKUP(A507,'Current Month'!A:A,'Current Month'!E:E,0,0)</f>
        <v>367894.46</v>
      </c>
      <c r="I507" s="32">
        <f>_xlfn.XLOOKUP(A507,'Prior Month'!A:A,'Prior Month'!E:E,0,0)</f>
        <v>310348.83</v>
      </c>
      <c r="J507" s="32">
        <f>_xlfn.XLOOKUP(A507,'Year end 2024'!A:A,'Year end 2024'!E:E,0,0)</f>
        <v>269154.2</v>
      </c>
      <c r="K507" s="14">
        <f t="shared" si="14"/>
        <v>57545.630000000005</v>
      </c>
      <c r="L507" s="14">
        <f t="shared" si="15"/>
        <v>98740.260000000009</v>
      </c>
    </row>
    <row r="508" spans="1:12" ht="35.15" customHeight="1" x14ac:dyDescent="0.4">
      <c r="A508" s="11" t="s">
        <v>1080</v>
      </c>
      <c r="B508" s="11" t="s">
        <v>1081</v>
      </c>
      <c r="C508" s="11" t="s">
        <v>29</v>
      </c>
      <c r="D508" s="11" t="s">
        <v>28</v>
      </c>
      <c r="E508" s="18" t="str">
        <f>_xlfn.XLOOKUP(A508,'Current Month'!A:A,'Current Month'!I:I,"")</f>
        <v/>
      </c>
      <c r="F508" s="21" t="str">
        <f>_xlfn.XLOOKUP(A508,'Prior Month'!A:A,'Prior Month'!I:I,"")</f>
        <v/>
      </c>
      <c r="G508" s="18" t="str">
        <f>_xlfn.XLOOKUP(A508,'Year end 2024'!A:A,'Year end 2024'!I:I,"")</f>
        <v/>
      </c>
      <c r="H508" s="19">
        <f>_xlfn.XLOOKUP(A508,'Current Month'!A:A,'Current Month'!E:E,0,0)</f>
        <v>7849.37</v>
      </c>
      <c r="I508" s="32">
        <f>_xlfn.XLOOKUP(A508,'Prior Month'!A:A,'Prior Month'!E:E,0,0)</f>
        <v>5979.77</v>
      </c>
      <c r="J508" s="32">
        <f>_xlfn.XLOOKUP(A508,'Year end 2024'!A:A,'Year end 2024'!E:E,0,0)</f>
        <v>5718.56</v>
      </c>
      <c r="K508" s="14">
        <f t="shared" si="14"/>
        <v>1869.5999999999995</v>
      </c>
      <c r="L508" s="14">
        <f t="shared" si="15"/>
        <v>2130.8099999999995</v>
      </c>
    </row>
    <row r="509" spans="1:12" ht="35.15" customHeight="1" x14ac:dyDescent="0.4">
      <c r="A509" s="11" t="s">
        <v>1082</v>
      </c>
      <c r="B509" s="11" t="s">
        <v>1083</v>
      </c>
      <c r="C509" s="11" t="s">
        <v>213</v>
      </c>
      <c r="D509" s="11" t="s">
        <v>212</v>
      </c>
      <c r="E509" s="18">
        <f>_xlfn.XLOOKUP(A509,'Current Month'!A:A,'Current Month'!I:I,"")</f>
        <v>7.6555944855033573E-4</v>
      </c>
      <c r="F509" s="21">
        <f>_xlfn.XLOOKUP(A509,'Prior Month'!A:A,'Prior Month'!I:I,"")</f>
        <v>7.6059899829715504E-4</v>
      </c>
      <c r="G509" s="18">
        <f>_xlfn.XLOOKUP(A509,'Year end 2024'!A:A,'Year end 2024'!I:I,"")</f>
        <v>5.0086395907555405E-2</v>
      </c>
      <c r="H509" s="19">
        <f>_xlfn.XLOOKUP(A509,'Current Month'!A:A,'Current Month'!E:E,0,0)</f>
        <v>79.39</v>
      </c>
      <c r="I509" s="32">
        <f>_xlfn.XLOOKUP(A509,'Prior Month'!A:A,'Prior Month'!E:E,0,0)</f>
        <v>79.39</v>
      </c>
      <c r="J509" s="32">
        <f>_xlfn.XLOOKUP(A509,'Year end 2024'!A:A,'Year end 2024'!E:E,0,0)</f>
        <v>5368.6</v>
      </c>
      <c r="K509" s="14">
        <f t="shared" ref="K509:K571" si="16">IFERROR(SUM(H509-I509),H509)</f>
        <v>0</v>
      </c>
      <c r="L509" s="14">
        <f t="shared" ref="L509:L571" si="17">IFERROR(SUM(H509-J509),H509)</f>
        <v>-5289.21</v>
      </c>
    </row>
    <row r="510" spans="1:12" ht="35.15" customHeight="1" x14ac:dyDescent="0.4">
      <c r="A510" s="11" t="s">
        <v>1084</v>
      </c>
      <c r="B510" s="11" t="s">
        <v>1085</v>
      </c>
      <c r="C510" s="11" t="s">
        <v>19</v>
      </c>
      <c r="D510" s="11" t="s">
        <v>18</v>
      </c>
      <c r="E510" s="18" t="str">
        <f>_xlfn.XLOOKUP(A510,'Current Month'!A:A,'Current Month'!I:I,"")</f>
        <v/>
      </c>
      <c r="F510" s="21" t="str">
        <f>_xlfn.XLOOKUP(A510,'Prior Month'!A:A,'Prior Month'!I:I,"")</f>
        <v/>
      </c>
      <c r="G510" s="18" t="str">
        <f>_xlfn.XLOOKUP(A510,'Year end 2024'!A:A,'Year end 2024'!I:I,"")</f>
        <v/>
      </c>
      <c r="H510" s="19">
        <f>_xlfn.XLOOKUP(A510,'Current Month'!A:A,'Current Month'!E:E,0,0)</f>
        <v>223512.23</v>
      </c>
      <c r="I510" s="32">
        <f>_xlfn.XLOOKUP(A510,'Prior Month'!A:A,'Prior Month'!E:E,0,0)</f>
        <v>187066.28</v>
      </c>
      <c r="J510" s="32">
        <f>_xlfn.XLOOKUP(A510,'Year end 2024'!A:A,'Year end 2024'!E:E,0,0)</f>
        <v>359507.28</v>
      </c>
      <c r="K510" s="14">
        <f t="shared" si="16"/>
        <v>36445.950000000012</v>
      </c>
      <c r="L510" s="14">
        <f t="shared" si="17"/>
        <v>-135995.05000000002</v>
      </c>
    </row>
    <row r="511" spans="1:12" ht="35.15" customHeight="1" x14ac:dyDescent="0.4">
      <c r="A511" s="11" t="s">
        <v>1086</v>
      </c>
      <c r="B511" s="11" t="s">
        <v>1087</v>
      </c>
      <c r="C511" s="11" t="s">
        <v>33</v>
      </c>
      <c r="D511" s="11" t="s">
        <v>32</v>
      </c>
      <c r="E511" s="18" t="str">
        <f>_xlfn.XLOOKUP(A511,'Current Month'!A:A,'Current Month'!I:I,"")</f>
        <v/>
      </c>
      <c r="F511" s="21" t="str">
        <f>_xlfn.XLOOKUP(A511,'Prior Month'!A:A,'Prior Month'!I:I,"")</f>
        <v/>
      </c>
      <c r="G511" s="18">
        <f>_xlfn.XLOOKUP(A511,'Year end 2024'!A:A,'Year end 2024'!I:I,"")</f>
        <v>2.2356860647017824E-2</v>
      </c>
      <c r="H511" s="19">
        <f>_xlfn.XLOOKUP(A511,'Current Month'!A:A,'Current Month'!E:E,0,0)</f>
        <v>5912.97</v>
      </c>
      <c r="I511" s="32">
        <f>_xlfn.XLOOKUP(A511,'Prior Month'!A:A,'Prior Month'!E:E,0,0)</f>
        <v>7692.14</v>
      </c>
      <c r="J511" s="32">
        <f>_xlfn.XLOOKUP(A511,'Year end 2024'!A:A,'Year end 2024'!E:E,0,0)</f>
        <v>27787.99</v>
      </c>
      <c r="K511" s="14">
        <f t="shared" si="16"/>
        <v>-1779.17</v>
      </c>
      <c r="L511" s="14">
        <f t="shared" si="17"/>
        <v>-21875.02</v>
      </c>
    </row>
    <row r="512" spans="1:12" ht="35.15" customHeight="1" x14ac:dyDescent="0.4">
      <c r="A512" s="11" t="s">
        <v>1088</v>
      </c>
      <c r="B512" s="11" t="s">
        <v>1089</v>
      </c>
      <c r="C512" s="11" t="s">
        <v>57</v>
      </c>
      <c r="D512" s="11" t="s">
        <v>56</v>
      </c>
      <c r="E512" s="18" t="str">
        <f>_xlfn.XLOOKUP(A512,'Current Month'!A:A,'Current Month'!I:I,"")</f>
        <v/>
      </c>
      <c r="F512" s="21" t="str">
        <f>_xlfn.XLOOKUP(A512,'Prior Month'!A:A,'Prior Month'!I:I,"")</f>
        <v/>
      </c>
      <c r="G512" s="18" t="str">
        <f>_xlfn.XLOOKUP(A512,'Year end 2024'!A:A,'Year end 2024'!I:I,"")</f>
        <v/>
      </c>
      <c r="H512" s="19">
        <f>_xlfn.XLOOKUP(A512,'Current Month'!A:A,'Current Month'!E:E,0,0)</f>
        <v>93591.86</v>
      </c>
      <c r="I512" s="32">
        <f>_xlfn.XLOOKUP(A512,'Prior Month'!A:A,'Prior Month'!E:E,0,0)</f>
        <v>93593.59</v>
      </c>
      <c r="J512" s="32">
        <f>_xlfn.XLOOKUP(A512,'Year end 2024'!A:A,'Year end 2024'!E:E,0,0)</f>
        <v>96216.03</v>
      </c>
      <c r="K512" s="14">
        <f t="shared" si="16"/>
        <v>-1.7299999999959255</v>
      </c>
      <c r="L512" s="14">
        <f t="shared" si="17"/>
        <v>-2624.1699999999983</v>
      </c>
    </row>
    <row r="513" spans="1:12" ht="35.15" customHeight="1" x14ac:dyDescent="0.4">
      <c r="A513" s="11" t="s">
        <v>1090</v>
      </c>
      <c r="B513" s="11" t="s">
        <v>1091</v>
      </c>
      <c r="C513" s="11" t="s">
        <v>465</v>
      </c>
      <c r="D513" s="11" t="s">
        <v>464</v>
      </c>
      <c r="E513" s="18">
        <f>_xlfn.XLOOKUP(A513,'Current Month'!A:A,'Current Month'!I:I,"")</f>
        <v>0.53956820463108168</v>
      </c>
      <c r="F513" s="21">
        <f>_xlfn.XLOOKUP(A513,'Prior Month'!A:A,'Prior Month'!I:I,"")</f>
        <v>0.53135999379919774</v>
      </c>
      <c r="G513" s="18">
        <f>_xlfn.XLOOKUP(A513,'Year end 2024'!A:A,'Year end 2024'!I:I,"")</f>
        <v>0.14822022334191201</v>
      </c>
      <c r="H513" s="19">
        <f>_xlfn.XLOOKUP(A513,'Current Month'!A:A,'Current Month'!E:E,0,0)</f>
        <v>5228406.25</v>
      </c>
      <c r="I513" s="32">
        <f>_xlfn.XLOOKUP(A513,'Prior Month'!A:A,'Prior Month'!E:E,0,0)</f>
        <v>3997092.55</v>
      </c>
      <c r="J513" s="32">
        <f>_xlfn.XLOOKUP(A513,'Year end 2024'!A:A,'Year end 2024'!E:E,0,0)</f>
        <v>1117400.8899999999</v>
      </c>
      <c r="K513" s="14">
        <f t="shared" si="16"/>
        <v>1231313.7000000002</v>
      </c>
      <c r="L513" s="14">
        <f t="shared" si="17"/>
        <v>4111005.3600000003</v>
      </c>
    </row>
    <row r="514" spans="1:12" ht="35.15" customHeight="1" x14ac:dyDescent="0.4">
      <c r="A514" s="11" t="s">
        <v>1092</v>
      </c>
      <c r="B514" s="11" t="s">
        <v>1093</v>
      </c>
      <c r="C514" s="11" t="s">
        <v>19</v>
      </c>
      <c r="D514" s="11" t="s">
        <v>18</v>
      </c>
      <c r="E514" s="18">
        <f>_xlfn.XLOOKUP(A514,'Current Month'!A:A,'Current Month'!I:I,"")</f>
        <v>0.89841431016250528</v>
      </c>
      <c r="F514" s="21">
        <f>_xlfn.XLOOKUP(A514,'Prior Month'!A:A,'Prior Month'!I:I,"")</f>
        <v>0.86017626534873592</v>
      </c>
      <c r="G514" s="18">
        <f>_xlfn.XLOOKUP(A514,'Year end 2024'!A:A,'Year end 2024'!I:I,"")</f>
        <v>0.82449536554458236</v>
      </c>
      <c r="H514" s="19">
        <f>_xlfn.XLOOKUP(A514,'Current Month'!A:A,'Current Month'!E:E,0,0)</f>
        <v>262693.11</v>
      </c>
      <c r="I514" s="32">
        <f>_xlfn.XLOOKUP(A514,'Prior Month'!A:A,'Prior Month'!E:E,0,0)</f>
        <v>252340.32</v>
      </c>
      <c r="J514" s="32">
        <f>_xlfn.XLOOKUP(A514,'Year end 2024'!A:A,'Year end 2024'!E:E,0,0)</f>
        <v>288225.68</v>
      </c>
      <c r="K514" s="14">
        <f t="shared" si="16"/>
        <v>10352.789999999979</v>
      </c>
      <c r="L514" s="14">
        <f t="shared" si="17"/>
        <v>-25532.570000000007</v>
      </c>
    </row>
    <row r="515" spans="1:12" ht="35.15" customHeight="1" x14ac:dyDescent="0.4">
      <c r="A515" s="11" t="s">
        <v>1094</v>
      </c>
      <c r="B515" s="11" t="s">
        <v>1095</v>
      </c>
      <c r="C515" s="11" t="s">
        <v>19</v>
      </c>
      <c r="D515" s="11" t="s">
        <v>18</v>
      </c>
      <c r="E515" s="18" t="str">
        <f>_xlfn.XLOOKUP(A515,'Current Month'!A:A,'Current Month'!I:I,"")</f>
        <v/>
      </c>
      <c r="F515" s="21" t="str">
        <f>_xlfn.XLOOKUP(A515,'Prior Month'!A:A,'Prior Month'!I:I,"")</f>
        <v/>
      </c>
      <c r="G515" s="18" t="str">
        <f>_xlfn.XLOOKUP(A515,'Year end 2024'!A:A,'Year end 2024'!I:I,"")</f>
        <v/>
      </c>
      <c r="H515" s="19">
        <f>_xlfn.XLOOKUP(A515,'Current Month'!A:A,'Current Month'!E:E,0,0)</f>
        <v>113646.33</v>
      </c>
      <c r="I515" s="32">
        <f>_xlfn.XLOOKUP(A515,'Prior Month'!A:A,'Prior Month'!E:E,0,0)</f>
        <v>111548.92</v>
      </c>
      <c r="J515" s="32">
        <f>_xlfn.XLOOKUP(A515,'Year end 2024'!A:A,'Year end 2024'!E:E,0,0)</f>
        <v>91083.69</v>
      </c>
      <c r="K515" s="14">
        <f t="shared" si="16"/>
        <v>2097.4100000000035</v>
      </c>
      <c r="L515" s="14">
        <f t="shared" si="17"/>
        <v>22562.639999999999</v>
      </c>
    </row>
    <row r="516" spans="1:12" ht="35.15" customHeight="1" x14ac:dyDescent="0.4">
      <c r="A516" s="11" t="s">
        <v>1096</v>
      </c>
      <c r="B516" s="11" t="s">
        <v>1097</v>
      </c>
      <c r="C516" s="11" t="s">
        <v>19</v>
      </c>
      <c r="D516" s="11" t="s">
        <v>18</v>
      </c>
      <c r="E516" s="18" t="str">
        <f>_xlfn.XLOOKUP(A516,'Current Month'!A:A,'Current Month'!I:I,"")</f>
        <v/>
      </c>
      <c r="F516" s="21" t="str">
        <f>_xlfn.XLOOKUP(A516,'Prior Month'!A:A,'Prior Month'!I:I,"")</f>
        <v/>
      </c>
      <c r="G516" s="18" t="str">
        <f>_xlfn.XLOOKUP(A516,'Year end 2024'!A:A,'Year end 2024'!I:I,"")</f>
        <v/>
      </c>
      <c r="H516" s="19">
        <f>_xlfn.XLOOKUP(A516,'Current Month'!A:A,'Current Month'!E:E,0,0)</f>
        <v>148059.51999999999</v>
      </c>
      <c r="I516" s="32">
        <f>_xlfn.XLOOKUP(A516,'Prior Month'!A:A,'Prior Month'!E:E,0,0)</f>
        <v>142410.46</v>
      </c>
      <c r="J516" s="32">
        <f>_xlfn.XLOOKUP(A516,'Year end 2024'!A:A,'Year end 2024'!E:E,0,0)</f>
        <v>100576.39</v>
      </c>
      <c r="K516" s="14">
        <f t="shared" si="16"/>
        <v>5649.0599999999977</v>
      </c>
      <c r="L516" s="14">
        <f t="shared" si="17"/>
        <v>47483.12999999999</v>
      </c>
    </row>
    <row r="517" spans="1:12" ht="35.15" customHeight="1" x14ac:dyDescent="0.4">
      <c r="A517" s="11" t="s">
        <v>1098</v>
      </c>
      <c r="B517" s="11" t="s">
        <v>1099</v>
      </c>
      <c r="C517" s="11" t="s">
        <v>465</v>
      </c>
      <c r="D517" s="11" t="s">
        <v>464</v>
      </c>
      <c r="E517" s="18">
        <f>_xlfn.XLOOKUP(A517,'Current Month'!A:A,'Current Month'!I:I,"")</f>
        <v>6.0608856203397433E-2</v>
      </c>
      <c r="F517" s="21">
        <f>_xlfn.XLOOKUP(A517,'Prior Month'!A:A,'Prior Month'!I:I,"")</f>
        <v>5.0805489703254575E-2</v>
      </c>
      <c r="G517" s="18">
        <f>_xlfn.XLOOKUP(A517,'Year end 2024'!A:A,'Year end 2024'!I:I,"")</f>
        <v>5.485337151540097E-2</v>
      </c>
      <c r="H517" s="19">
        <f>_xlfn.XLOOKUP(A517,'Current Month'!A:A,'Current Month'!E:E,0,0)</f>
        <v>604224.65</v>
      </c>
      <c r="I517" s="32">
        <f>_xlfn.XLOOKUP(A517,'Prior Month'!A:A,'Prior Month'!E:E,0,0)</f>
        <v>333570.34000000003</v>
      </c>
      <c r="J517" s="32">
        <f>_xlfn.XLOOKUP(A517,'Year end 2024'!A:A,'Year end 2024'!E:E,0,0)</f>
        <v>415259.39</v>
      </c>
      <c r="K517" s="14">
        <f t="shared" si="16"/>
        <v>270654.31</v>
      </c>
      <c r="L517" s="14">
        <f t="shared" si="17"/>
        <v>188965.26</v>
      </c>
    </row>
    <row r="518" spans="1:12" ht="35.15" customHeight="1" x14ac:dyDescent="0.4">
      <c r="A518" s="11" t="s">
        <v>1100</v>
      </c>
      <c r="B518" s="11" t="s">
        <v>1101</v>
      </c>
      <c r="C518" s="11" t="s">
        <v>109</v>
      </c>
      <c r="D518" s="11" t="s">
        <v>108</v>
      </c>
      <c r="E518" s="18" t="str">
        <f>_xlfn.XLOOKUP(A518,'Current Month'!A:A,'Current Month'!I:I,"")</f>
        <v/>
      </c>
      <c r="F518" s="21" t="str">
        <f>_xlfn.XLOOKUP(A518,'Prior Month'!A:A,'Prior Month'!I:I,"")</f>
        <v/>
      </c>
      <c r="G518" s="18" t="str">
        <f>_xlfn.XLOOKUP(A518,'Year end 2024'!A:A,'Year end 2024'!I:I,"")</f>
        <v/>
      </c>
      <c r="H518" s="19">
        <f>_xlfn.XLOOKUP(A518,'Current Month'!A:A,'Current Month'!E:E,0,0)</f>
        <v>425712.14</v>
      </c>
      <c r="I518" s="32">
        <f>_xlfn.XLOOKUP(A518,'Prior Month'!A:A,'Prior Month'!E:E,0,0)</f>
        <v>352571.35</v>
      </c>
      <c r="J518" s="32">
        <f>_xlfn.XLOOKUP(A518,'Year end 2024'!A:A,'Year end 2024'!E:E,0,0)</f>
        <v>184521.62</v>
      </c>
      <c r="K518" s="14">
        <f t="shared" si="16"/>
        <v>73140.790000000037</v>
      </c>
      <c r="L518" s="14">
        <f t="shared" si="17"/>
        <v>241190.52000000002</v>
      </c>
    </row>
    <row r="519" spans="1:12" ht="35.15" customHeight="1" x14ac:dyDescent="0.4">
      <c r="A519" s="11" t="s">
        <v>1102</v>
      </c>
      <c r="B519" s="11" t="s">
        <v>1103</v>
      </c>
      <c r="C519" s="11" t="s">
        <v>57</v>
      </c>
      <c r="D519" s="11" t="s">
        <v>56</v>
      </c>
      <c r="E519" s="18" t="str">
        <f>_xlfn.XLOOKUP(A519,'Current Month'!A:A,'Current Month'!I:I,"")</f>
        <v/>
      </c>
      <c r="F519" s="21" t="str">
        <f>_xlfn.XLOOKUP(A519,'Prior Month'!A:A,'Prior Month'!I:I,"")</f>
        <v/>
      </c>
      <c r="G519" s="18" t="str">
        <f>_xlfn.XLOOKUP(A519,'Year end 2024'!A:A,'Year end 2024'!I:I,"")</f>
        <v/>
      </c>
      <c r="H519" s="19">
        <f>_xlfn.XLOOKUP(A519,'Current Month'!A:A,'Current Month'!E:E,0,0)</f>
        <v>217450.82</v>
      </c>
      <c r="I519" s="32">
        <f>_xlfn.XLOOKUP(A519,'Prior Month'!A:A,'Prior Month'!E:E,0,0)</f>
        <v>37666.480000000003</v>
      </c>
      <c r="J519" s="32">
        <f>_xlfn.XLOOKUP(A519,'Year end 2024'!A:A,'Year end 2024'!E:E,0,0)</f>
        <v>14232.81</v>
      </c>
      <c r="K519" s="14">
        <f t="shared" si="16"/>
        <v>179784.34</v>
      </c>
      <c r="L519" s="14">
        <f t="shared" si="17"/>
        <v>203218.01</v>
      </c>
    </row>
    <row r="520" spans="1:12" ht="35.15" customHeight="1" x14ac:dyDescent="0.4">
      <c r="A520" s="11" t="s">
        <v>1104</v>
      </c>
      <c r="B520" s="11" t="s">
        <v>1105</v>
      </c>
      <c r="C520" s="11" t="s">
        <v>67</v>
      </c>
      <c r="D520" s="11" t="s">
        <v>66</v>
      </c>
      <c r="E520" s="18" t="str">
        <f>_xlfn.XLOOKUP(A520,'Current Month'!A:A,'Current Month'!I:I,"")</f>
        <v/>
      </c>
      <c r="F520" s="21" t="str">
        <f>_xlfn.XLOOKUP(A520,'Prior Month'!A:A,'Prior Month'!I:I,"")</f>
        <v/>
      </c>
      <c r="G520" s="18" t="str">
        <f>_xlfn.XLOOKUP(A520,'Year end 2024'!A:A,'Year end 2024'!I:I,"")</f>
        <v/>
      </c>
      <c r="H520" s="19">
        <f>_xlfn.XLOOKUP(A520,'Current Month'!A:A,'Current Month'!E:E,0,0)</f>
        <v>377904.61</v>
      </c>
      <c r="I520" s="32">
        <f>_xlfn.XLOOKUP(A520,'Prior Month'!A:A,'Prior Month'!E:E,0,0)</f>
        <v>350937.11</v>
      </c>
      <c r="J520" s="32">
        <f>_xlfn.XLOOKUP(A520,'Year end 2024'!A:A,'Year end 2024'!E:E,0,0)</f>
        <v>190232.17</v>
      </c>
      <c r="K520" s="14">
        <f t="shared" si="16"/>
        <v>26967.5</v>
      </c>
      <c r="L520" s="14">
        <f t="shared" si="17"/>
        <v>187672.43999999997</v>
      </c>
    </row>
    <row r="521" spans="1:12" ht="35.15" customHeight="1" x14ac:dyDescent="0.4">
      <c r="A521" s="11" t="s">
        <v>1106</v>
      </c>
      <c r="B521" s="11" t="s">
        <v>1107</v>
      </c>
      <c r="C521" s="11" t="s">
        <v>77</v>
      </c>
      <c r="D521" s="11" t="s">
        <v>76</v>
      </c>
      <c r="E521" s="18" t="str">
        <f>_xlfn.XLOOKUP(A521,'Current Month'!A:A,'Current Month'!I:I,"")</f>
        <v/>
      </c>
      <c r="F521" s="21" t="str">
        <f>_xlfn.XLOOKUP(A521,'Prior Month'!A:A,'Prior Month'!I:I,"")</f>
        <v/>
      </c>
      <c r="G521" s="18" t="str">
        <f>_xlfn.XLOOKUP(A521,'Year end 2024'!A:A,'Year end 2024'!I:I,"")</f>
        <v/>
      </c>
      <c r="H521" s="19">
        <f>_xlfn.XLOOKUP(A521,'Current Month'!A:A,'Current Month'!E:E,0,0)</f>
        <v>59686.87</v>
      </c>
      <c r="I521" s="32">
        <f>_xlfn.XLOOKUP(A521,'Prior Month'!A:A,'Prior Month'!E:E,0,0)</f>
        <v>60353.87</v>
      </c>
      <c r="J521" s="32">
        <f>_xlfn.XLOOKUP(A521,'Year end 2024'!A:A,'Year end 2024'!E:E,0,0)</f>
        <v>64562.59</v>
      </c>
      <c r="K521" s="14">
        <f t="shared" si="16"/>
        <v>-667</v>
      </c>
      <c r="L521" s="14">
        <f t="shared" si="17"/>
        <v>-4875.7199999999939</v>
      </c>
    </row>
    <row r="522" spans="1:12" ht="35.15" customHeight="1" x14ac:dyDescent="0.4">
      <c r="A522" s="11" t="s">
        <v>1108</v>
      </c>
      <c r="B522" s="11" t="s">
        <v>1109</v>
      </c>
      <c r="C522" s="11" t="s">
        <v>77</v>
      </c>
      <c r="D522" s="11" t="s">
        <v>76</v>
      </c>
      <c r="E522" s="18" t="str">
        <f>_xlfn.XLOOKUP(A522,'Current Month'!A:A,'Current Month'!I:I,"")</f>
        <v/>
      </c>
      <c r="F522" s="21" t="str">
        <f>_xlfn.XLOOKUP(A522,'Prior Month'!A:A,'Prior Month'!I:I,"")</f>
        <v/>
      </c>
      <c r="G522" s="18">
        <f>_xlfn.XLOOKUP(A522,'Year end 2024'!A:A,'Year end 2024'!I:I,"")</f>
        <v>66.369450000000001</v>
      </c>
      <c r="H522" s="19">
        <f>_xlfn.XLOOKUP(A522,'Current Month'!A:A,'Current Month'!E:E,0,0)</f>
        <v>198203.4</v>
      </c>
      <c r="I522" s="32">
        <f>_xlfn.XLOOKUP(A522,'Prior Month'!A:A,'Prior Month'!E:E,0,0)</f>
        <v>199808.56</v>
      </c>
      <c r="J522" s="32">
        <f>_xlfn.XLOOKUP(A522,'Year end 2024'!A:A,'Year end 2024'!E:E,0,0)</f>
        <v>66369.45</v>
      </c>
      <c r="K522" s="14">
        <f t="shared" si="16"/>
        <v>-1605.1600000000035</v>
      </c>
      <c r="L522" s="14">
        <f t="shared" si="17"/>
        <v>131833.95000000001</v>
      </c>
    </row>
    <row r="523" spans="1:12" ht="35.15" customHeight="1" x14ac:dyDescent="0.4">
      <c r="A523" s="11" t="s">
        <v>1110</v>
      </c>
      <c r="B523" s="11" t="s">
        <v>1111</v>
      </c>
      <c r="C523" s="11" t="s">
        <v>51</v>
      </c>
      <c r="D523" s="11" t="s">
        <v>50</v>
      </c>
      <c r="E523" s="18" t="str">
        <f>_xlfn.XLOOKUP(A523,'Current Month'!A:A,'Current Month'!I:I,"")</f>
        <v/>
      </c>
      <c r="F523" s="21" t="str">
        <f>_xlfn.XLOOKUP(A523,'Prior Month'!A:A,'Prior Month'!I:I,"")</f>
        <v/>
      </c>
      <c r="G523" s="18" t="str">
        <f>_xlfn.XLOOKUP(A523,'Year end 2024'!A:A,'Year end 2024'!I:I,"")</f>
        <v/>
      </c>
      <c r="H523" s="19">
        <f>_xlfn.XLOOKUP(A523,'Current Month'!A:A,'Current Month'!E:E,0,0)</f>
        <v>385173.31</v>
      </c>
      <c r="I523" s="32">
        <f>_xlfn.XLOOKUP(A523,'Prior Month'!A:A,'Prior Month'!E:E,0,0)</f>
        <v>390393.07</v>
      </c>
      <c r="J523" s="32">
        <f>_xlfn.XLOOKUP(A523,'Year end 2024'!A:A,'Year end 2024'!E:E,0,0)</f>
        <v>393574.42</v>
      </c>
      <c r="K523" s="14">
        <f t="shared" si="16"/>
        <v>-5219.7600000000093</v>
      </c>
      <c r="L523" s="14">
        <f t="shared" si="17"/>
        <v>-8401.109999999986</v>
      </c>
    </row>
    <row r="524" spans="1:12" ht="35.15" customHeight="1" x14ac:dyDescent="0.4">
      <c r="A524" s="11" t="s">
        <v>1112</v>
      </c>
      <c r="B524" s="11" t="s">
        <v>1113</v>
      </c>
      <c r="C524" s="11" t="s">
        <v>51</v>
      </c>
      <c r="D524" s="11" t="s">
        <v>50</v>
      </c>
      <c r="E524" s="18" t="str">
        <f>_xlfn.XLOOKUP(A524,'Current Month'!A:A,'Current Month'!I:I,"")</f>
        <v/>
      </c>
      <c r="F524" s="21" t="str">
        <f>_xlfn.XLOOKUP(A524,'Prior Month'!A:A,'Prior Month'!I:I,"")</f>
        <v/>
      </c>
      <c r="G524" s="18" t="str">
        <f>_xlfn.XLOOKUP(A524,'Year end 2024'!A:A,'Year end 2024'!I:I,"")</f>
        <v/>
      </c>
      <c r="H524" s="19">
        <f>_xlfn.XLOOKUP(A524,'Current Month'!A:A,'Current Month'!E:E,0,0)</f>
        <v>30352.400000000001</v>
      </c>
      <c r="I524" s="32">
        <f>_xlfn.XLOOKUP(A524,'Prior Month'!A:A,'Prior Month'!E:E,0,0)</f>
        <v>34738.949999999997</v>
      </c>
      <c r="J524" s="32">
        <f>_xlfn.XLOOKUP(A524,'Year end 2024'!A:A,'Year end 2024'!E:E,0,0)</f>
        <v>22890.15</v>
      </c>
      <c r="K524" s="14">
        <f t="shared" si="16"/>
        <v>-4386.5499999999956</v>
      </c>
      <c r="L524" s="14">
        <f t="shared" si="17"/>
        <v>7462.25</v>
      </c>
    </row>
    <row r="525" spans="1:12" ht="35.15" customHeight="1" x14ac:dyDescent="0.4">
      <c r="A525" s="11" t="s">
        <v>1114</v>
      </c>
      <c r="B525" s="11" t="s">
        <v>1115</v>
      </c>
      <c r="C525" s="11" t="s">
        <v>67</v>
      </c>
      <c r="D525" s="11" t="s">
        <v>66</v>
      </c>
      <c r="E525" s="18" t="str">
        <f>_xlfn.XLOOKUP(A525,'Current Month'!A:A,'Current Month'!I:I,"")</f>
        <v/>
      </c>
      <c r="F525" s="21" t="str">
        <f>_xlfn.XLOOKUP(A525,'Prior Month'!A:A,'Prior Month'!I:I,"")</f>
        <v/>
      </c>
      <c r="G525" s="18" t="str">
        <f>_xlfn.XLOOKUP(A525,'Year end 2024'!A:A,'Year end 2024'!I:I,"")</f>
        <v/>
      </c>
      <c r="H525" s="19">
        <f>_xlfn.XLOOKUP(A525,'Current Month'!A:A,'Current Month'!E:E,0,0)</f>
        <v>33393.07</v>
      </c>
      <c r="I525" s="32">
        <f>_xlfn.XLOOKUP(A525,'Prior Month'!A:A,'Prior Month'!E:E,0,0)</f>
        <v>24633.46</v>
      </c>
      <c r="J525" s="32">
        <f>_xlfn.XLOOKUP(A525,'Year end 2024'!A:A,'Year end 2024'!E:E,0,0)</f>
        <v>52139.69</v>
      </c>
      <c r="K525" s="14">
        <f t="shared" si="16"/>
        <v>8759.61</v>
      </c>
      <c r="L525" s="14">
        <f t="shared" si="17"/>
        <v>-18746.620000000003</v>
      </c>
    </row>
    <row r="526" spans="1:12" ht="35.15" customHeight="1" x14ac:dyDescent="0.4">
      <c r="A526" s="11" t="s">
        <v>1116</v>
      </c>
      <c r="B526" s="11" t="s">
        <v>1117</v>
      </c>
      <c r="C526" s="11" t="s">
        <v>259</v>
      </c>
      <c r="D526" s="11" t="s">
        <v>258</v>
      </c>
      <c r="E526" s="18">
        <f>_xlfn.XLOOKUP(A526,'Current Month'!A:A,'Current Month'!I:I,"")</f>
        <v>4.5006716938711257E-2</v>
      </c>
      <c r="F526" s="21">
        <f>_xlfn.XLOOKUP(A526,'Prior Month'!A:A,'Prior Month'!I:I,"")</f>
        <v>4.4832789156030471E-2</v>
      </c>
      <c r="G526" s="18">
        <f>_xlfn.XLOOKUP(A526,'Year end 2024'!A:A,'Year end 2024'!I:I,"")</f>
        <v>4.3255808804303304E-2</v>
      </c>
      <c r="H526" s="19">
        <f>_xlfn.XLOOKUP(A526,'Current Month'!A:A,'Current Month'!E:E,0,0)</f>
        <v>3765</v>
      </c>
      <c r="I526" s="32">
        <f>_xlfn.XLOOKUP(A526,'Prior Month'!A:A,'Prior Month'!E:E,0,0)</f>
        <v>3770</v>
      </c>
      <c r="J526" s="32">
        <f>_xlfn.XLOOKUP(A526,'Year end 2024'!A:A,'Year end 2024'!E:E,0,0)</f>
        <v>3790</v>
      </c>
      <c r="K526" s="14">
        <f t="shared" si="16"/>
        <v>-5</v>
      </c>
      <c r="L526" s="14">
        <f t="shared" si="17"/>
        <v>-25</v>
      </c>
    </row>
    <row r="527" spans="1:12" ht="35.15" customHeight="1" x14ac:dyDescent="0.4">
      <c r="A527" s="11" t="s">
        <v>1118</v>
      </c>
      <c r="B527" s="11" t="s">
        <v>1119</v>
      </c>
      <c r="C527" s="11" t="s">
        <v>109</v>
      </c>
      <c r="D527" s="11" t="s">
        <v>108</v>
      </c>
      <c r="E527" s="18" t="str">
        <f>_xlfn.XLOOKUP(A527,'Current Month'!A:A,'Current Month'!I:I,"")</f>
        <v/>
      </c>
      <c r="F527" s="21" t="str">
        <f>_xlfn.XLOOKUP(A527,'Prior Month'!A:A,'Prior Month'!I:I,"")</f>
        <v/>
      </c>
      <c r="G527" s="18" t="str">
        <f>_xlfn.XLOOKUP(A527,'Year end 2024'!A:A,'Year end 2024'!I:I,"")</f>
        <v/>
      </c>
      <c r="H527" s="19">
        <f>_xlfn.XLOOKUP(A527,'Current Month'!A:A,'Current Month'!E:E,0,0)</f>
        <v>185695.34</v>
      </c>
      <c r="I527" s="32">
        <f>_xlfn.XLOOKUP(A527,'Prior Month'!A:A,'Prior Month'!E:E,0,0)</f>
        <v>180202.05</v>
      </c>
      <c r="J527" s="32">
        <f>_xlfn.XLOOKUP(A527,'Year end 2024'!A:A,'Year end 2024'!E:E,0,0)</f>
        <v>229400.33</v>
      </c>
      <c r="K527" s="14">
        <f t="shared" si="16"/>
        <v>5493.2900000000081</v>
      </c>
      <c r="L527" s="14">
        <f t="shared" si="17"/>
        <v>-43704.989999999991</v>
      </c>
    </row>
    <row r="528" spans="1:12" ht="35.15" customHeight="1" x14ac:dyDescent="0.4">
      <c r="A528" s="11" t="s">
        <v>1120</v>
      </c>
      <c r="B528" s="11" t="s">
        <v>1121</v>
      </c>
      <c r="C528" s="11" t="s">
        <v>465</v>
      </c>
      <c r="D528" s="11" t="s">
        <v>464</v>
      </c>
      <c r="E528" s="18">
        <f>_xlfn.XLOOKUP(A528,'Current Month'!A:A,'Current Month'!I:I,"")</f>
        <v>0.59309810449611133</v>
      </c>
      <c r="F528" s="21">
        <f>_xlfn.XLOOKUP(A528,'Prior Month'!A:A,'Prior Month'!I:I,"")</f>
        <v>0.40700207458543886</v>
      </c>
      <c r="G528" s="18">
        <f>_xlfn.XLOOKUP(A528,'Year end 2024'!A:A,'Year end 2024'!I:I,"")</f>
        <v>0.25295511742958926</v>
      </c>
      <c r="H528" s="19">
        <f>_xlfn.XLOOKUP(A528,'Current Month'!A:A,'Current Month'!E:E,0,0)</f>
        <v>1317402.8899999999</v>
      </c>
      <c r="I528" s="32">
        <f>_xlfn.XLOOKUP(A528,'Prior Month'!A:A,'Prior Month'!E:E,0,0)</f>
        <v>906836.65</v>
      </c>
      <c r="J528" s="32">
        <f>_xlfn.XLOOKUP(A528,'Year end 2024'!A:A,'Year end 2024'!E:E,0,0)</f>
        <v>578223.86</v>
      </c>
      <c r="K528" s="14">
        <f t="shared" si="16"/>
        <v>410566.23999999987</v>
      </c>
      <c r="L528" s="14">
        <f t="shared" si="17"/>
        <v>739179.02999999991</v>
      </c>
    </row>
    <row r="529" spans="1:12" ht="35.15" customHeight="1" x14ac:dyDescent="0.4">
      <c r="A529" s="11" t="s">
        <v>1122</v>
      </c>
      <c r="B529" s="11" t="s">
        <v>1123</v>
      </c>
      <c r="C529" s="11" t="s">
        <v>29</v>
      </c>
      <c r="D529" s="11" t="s">
        <v>28</v>
      </c>
      <c r="E529" s="18" t="str">
        <f>_xlfn.XLOOKUP(A529,'Current Month'!A:A,'Current Month'!I:I,"")</f>
        <v/>
      </c>
      <c r="F529" s="21" t="str">
        <f>_xlfn.XLOOKUP(A529,'Prior Month'!A:A,'Prior Month'!I:I,"")</f>
        <v/>
      </c>
      <c r="G529" s="18" t="str">
        <f>_xlfn.XLOOKUP(A529,'Year end 2024'!A:A,'Year end 2024'!I:I,"")</f>
        <v/>
      </c>
      <c r="H529" s="19">
        <f>_xlfn.XLOOKUP(A529,'Current Month'!A:A,'Current Month'!E:E,0,0)</f>
        <v>1047863.67</v>
      </c>
      <c r="I529" s="32">
        <f>_xlfn.XLOOKUP(A529,'Prior Month'!A:A,'Prior Month'!E:E,0,0)</f>
        <v>1036336.29</v>
      </c>
      <c r="J529" s="32">
        <f>_xlfn.XLOOKUP(A529,'Year end 2024'!A:A,'Year end 2024'!E:E,0,0)</f>
        <v>977480.91</v>
      </c>
      <c r="K529" s="14">
        <f t="shared" si="16"/>
        <v>11527.380000000005</v>
      </c>
      <c r="L529" s="14">
        <f t="shared" si="17"/>
        <v>70382.760000000009</v>
      </c>
    </row>
    <row r="530" spans="1:12" ht="35.15" customHeight="1" x14ac:dyDescent="0.4">
      <c r="A530" s="11" t="s">
        <v>1124</v>
      </c>
      <c r="B530" s="11" t="s">
        <v>1125</v>
      </c>
      <c r="C530" s="11" t="s">
        <v>101</v>
      </c>
      <c r="D530" s="11" t="s">
        <v>100</v>
      </c>
      <c r="E530" s="18">
        <f>_xlfn.XLOOKUP(A530,'Current Month'!A:A,'Current Month'!I:I,"")</f>
        <v>1.2610463760231787</v>
      </c>
      <c r="F530" s="21">
        <f>_xlfn.XLOOKUP(A530,'Prior Month'!A:A,'Prior Month'!I:I,"")</f>
        <v>0.91113802462519355</v>
      </c>
      <c r="G530" s="18">
        <f>_xlfn.XLOOKUP(A530,'Year end 2024'!A:A,'Year end 2024'!I:I,"")</f>
        <v>15.379147151049111</v>
      </c>
      <c r="H530" s="19">
        <f>_xlfn.XLOOKUP(A530,'Current Month'!A:A,'Current Month'!E:E,0,0)</f>
        <v>2119782.9300000002</v>
      </c>
      <c r="I530" s="32">
        <f>_xlfn.XLOOKUP(A530,'Prior Month'!A:A,'Prior Month'!E:E,0,0)</f>
        <v>1537060.19</v>
      </c>
      <c r="J530" s="32">
        <f>_xlfn.XLOOKUP(A530,'Year end 2024'!A:A,'Year end 2024'!E:E,0,0)</f>
        <v>2218538.25</v>
      </c>
      <c r="K530" s="14">
        <f t="shared" si="16"/>
        <v>582722.74000000022</v>
      </c>
      <c r="L530" s="14">
        <f t="shared" si="17"/>
        <v>-98755.319999999832</v>
      </c>
    </row>
    <row r="531" spans="1:12" ht="35.15" customHeight="1" x14ac:dyDescent="0.4">
      <c r="A531" s="11" t="s">
        <v>1126</v>
      </c>
      <c r="B531" s="11" t="s">
        <v>1127</v>
      </c>
      <c r="C531" s="11" t="s">
        <v>19</v>
      </c>
      <c r="D531" s="11" t="s">
        <v>18</v>
      </c>
      <c r="E531" s="18">
        <f>_xlfn.XLOOKUP(A531,'Current Month'!A:A,'Current Month'!I:I,"")</f>
        <v>1.3182265820889247</v>
      </c>
      <c r="F531" s="21">
        <f>_xlfn.XLOOKUP(A531,'Prior Month'!A:A,'Prior Month'!I:I,"")</f>
        <v>1.2955590108657586</v>
      </c>
      <c r="G531" s="18">
        <f>_xlfn.XLOOKUP(A531,'Year end 2024'!A:A,'Year end 2024'!I:I,"")</f>
        <v>1.3674728075921434</v>
      </c>
      <c r="H531" s="19">
        <f>_xlfn.XLOOKUP(A531,'Current Month'!A:A,'Current Month'!E:E,0,0)</f>
        <v>35739.68</v>
      </c>
      <c r="I531" s="32">
        <f>_xlfn.XLOOKUP(A531,'Prior Month'!A:A,'Prior Month'!E:E,0,0)</f>
        <v>36478.199999999997</v>
      </c>
      <c r="J531" s="32">
        <f>_xlfn.XLOOKUP(A531,'Year end 2024'!A:A,'Year end 2024'!E:E,0,0)</f>
        <v>43860.61</v>
      </c>
      <c r="K531" s="14">
        <f t="shared" si="16"/>
        <v>-738.5199999999968</v>
      </c>
      <c r="L531" s="14">
        <f t="shared" si="17"/>
        <v>-8120.93</v>
      </c>
    </row>
    <row r="532" spans="1:12" ht="35.15" customHeight="1" x14ac:dyDescent="0.4">
      <c r="A532" s="11" t="s">
        <v>1128</v>
      </c>
      <c r="B532" s="11" t="s">
        <v>1129</v>
      </c>
      <c r="C532" s="11" t="s">
        <v>19</v>
      </c>
      <c r="D532" s="11" t="s">
        <v>18</v>
      </c>
      <c r="E532" s="18" t="str">
        <f>_xlfn.XLOOKUP(A532,'Current Month'!A:A,'Current Month'!I:I,"")</f>
        <v/>
      </c>
      <c r="F532" s="21" t="str">
        <f>_xlfn.XLOOKUP(A532,'Prior Month'!A:A,'Prior Month'!I:I,"")</f>
        <v/>
      </c>
      <c r="G532" s="18" t="str">
        <f>_xlfn.XLOOKUP(A532,'Year end 2024'!A:A,'Year end 2024'!I:I,"")</f>
        <v/>
      </c>
      <c r="H532" s="19">
        <f>_xlfn.XLOOKUP(A532,'Current Month'!A:A,'Current Month'!E:E,0,0)</f>
        <v>559868</v>
      </c>
      <c r="I532" s="32">
        <f>_xlfn.XLOOKUP(A532,'Prior Month'!A:A,'Prior Month'!E:E,0,0)</f>
        <v>215313.38</v>
      </c>
      <c r="J532" s="32">
        <f>_xlfn.XLOOKUP(A532,'Year end 2024'!A:A,'Year end 2024'!E:E,0,0)</f>
        <v>262985.57</v>
      </c>
      <c r="K532" s="14">
        <f t="shared" si="16"/>
        <v>344554.62</v>
      </c>
      <c r="L532" s="14">
        <f t="shared" si="17"/>
        <v>296882.43</v>
      </c>
    </row>
    <row r="533" spans="1:12" ht="35.15" customHeight="1" x14ac:dyDescent="0.4">
      <c r="A533" s="11" t="s">
        <v>1130</v>
      </c>
      <c r="B533" s="11" t="s">
        <v>1131</v>
      </c>
      <c r="C533" s="11" t="s">
        <v>19</v>
      </c>
      <c r="D533" s="11" t="s">
        <v>18</v>
      </c>
      <c r="E533" s="18" t="str">
        <f>_xlfn.XLOOKUP(A533,'Current Month'!A:A,'Current Month'!I:I,"")</f>
        <v/>
      </c>
      <c r="F533" s="21" t="str">
        <f>_xlfn.XLOOKUP(A533,'Prior Month'!A:A,'Prior Month'!I:I,"")</f>
        <v/>
      </c>
      <c r="G533" s="18" t="str">
        <f>_xlfn.XLOOKUP(A533,'Year end 2024'!A:A,'Year end 2024'!I:I,"")</f>
        <v/>
      </c>
      <c r="H533" s="19">
        <f>_xlfn.XLOOKUP(A533,'Current Month'!A:A,'Current Month'!E:E,0,0)</f>
        <v>18515.88</v>
      </c>
      <c r="I533" s="32">
        <f>_xlfn.XLOOKUP(A533,'Prior Month'!A:A,'Prior Month'!E:E,0,0)</f>
        <v>13889.19</v>
      </c>
      <c r="J533" s="32">
        <f>_xlfn.XLOOKUP(A533,'Year end 2024'!A:A,'Year end 2024'!E:E,0,0)</f>
        <v>43121.71</v>
      </c>
      <c r="K533" s="14">
        <f t="shared" si="16"/>
        <v>4626.6900000000005</v>
      </c>
      <c r="L533" s="14">
        <f t="shared" si="17"/>
        <v>-24605.829999999998</v>
      </c>
    </row>
    <row r="534" spans="1:12" ht="35.15" customHeight="1" x14ac:dyDescent="0.4">
      <c r="A534" s="11" t="s">
        <v>1132</v>
      </c>
      <c r="B534" s="11" t="s">
        <v>1133</v>
      </c>
      <c r="C534" s="11" t="s">
        <v>19</v>
      </c>
      <c r="D534" s="11" t="s">
        <v>18</v>
      </c>
      <c r="E534" s="18" t="str">
        <f>_xlfn.XLOOKUP(A534,'Current Month'!A:A,'Current Month'!I:I,"")</f>
        <v/>
      </c>
      <c r="F534" s="21" t="str">
        <f>_xlfn.XLOOKUP(A534,'Prior Month'!A:A,'Prior Month'!I:I,"")</f>
        <v/>
      </c>
      <c r="G534" s="18" t="str">
        <f>_xlfn.XLOOKUP(A534,'Year end 2024'!A:A,'Year end 2024'!I:I,"")</f>
        <v/>
      </c>
      <c r="H534" s="19">
        <f>_xlfn.XLOOKUP(A534,'Current Month'!A:A,'Current Month'!E:E,0,0)</f>
        <v>196937.54</v>
      </c>
      <c r="I534" s="32">
        <f>_xlfn.XLOOKUP(A534,'Prior Month'!A:A,'Prior Month'!E:E,0,0)</f>
        <v>201669.17</v>
      </c>
      <c r="J534" s="32">
        <f>_xlfn.XLOOKUP(A534,'Year end 2024'!A:A,'Year end 2024'!E:E,0,0)</f>
        <v>229796.03</v>
      </c>
      <c r="K534" s="14">
        <f t="shared" si="16"/>
        <v>-4731.6300000000047</v>
      </c>
      <c r="L534" s="14">
        <f t="shared" si="17"/>
        <v>-32858.489999999991</v>
      </c>
    </row>
    <row r="535" spans="1:12" ht="35.15" customHeight="1" x14ac:dyDescent="0.4">
      <c r="A535" s="11" t="s">
        <v>1134</v>
      </c>
      <c r="B535" s="11" t="s">
        <v>1135</v>
      </c>
      <c r="C535" s="11" t="s">
        <v>57</v>
      </c>
      <c r="D535" s="11" t="s">
        <v>56</v>
      </c>
      <c r="E535" s="18" t="str">
        <f>_xlfn.XLOOKUP(A535,'Current Month'!A:A,'Current Month'!I:I,"")</f>
        <v/>
      </c>
      <c r="F535" s="21" t="str">
        <f>_xlfn.XLOOKUP(A535,'Prior Month'!A:A,'Prior Month'!I:I,"")</f>
        <v/>
      </c>
      <c r="G535" s="18" t="str">
        <f>_xlfn.XLOOKUP(A535,'Year end 2024'!A:A,'Year end 2024'!I:I,"")</f>
        <v/>
      </c>
      <c r="H535" s="19">
        <f>_xlfn.XLOOKUP(A535,'Current Month'!A:A,'Current Month'!E:E,0,0)</f>
        <v>46725.48</v>
      </c>
      <c r="I535" s="32">
        <f>_xlfn.XLOOKUP(A535,'Prior Month'!A:A,'Prior Month'!E:E,0,0)</f>
        <v>57161.89</v>
      </c>
      <c r="J535" s="32">
        <f>_xlfn.XLOOKUP(A535,'Year end 2024'!A:A,'Year end 2024'!E:E,0,0)</f>
        <v>74003.009999999995</v>
      </c>
      <c r="K535" s="14">
        <f t="shared" si="16"/>
        <v>-10436.409999999996</v>
      </c>
      <c r="L535" s="14">
        <f t="shared" si="17"/>
        <v>-27277.529999999992</v>
      </c>
    </row>
    <row r="536" spans="1:12" ht="35.15" customHeight="1" x14ac:dyDescent="0.4">
      <c r="A536" s="11" t="s">
        <v>1136</v>
      </c>
      <c r="B536" s="11" t="s">
        <v>1137</v>
      </c>
      <c r="C536" s="11" t="s">
        <v>19</v>
      </c>
      <c r="D536" s="11" t="s">
        <v>18</v>
      </c>
      <c r="E536" s="18" t="str">
        <f>_xlfn.XLOOKUP(A536,'Current Month'!A:A,'Current Month'!I:I,"")</f>
        <v/>
      </c>
      <c r="F536" s="21" t="str">
        <f>_xlfn.XLOOKUP(A536,'Prior Month'!A:A,'Prior Month'!I:I,"")</f>
        <v/>
      </c>
      <c r="G536" s="18" t="str">
        <f>_xlfn.XLOOKUP(A536,'Year end 2024'!A:A,'Year end 2024'!I:I,"")</f>
        <v/>
      </c>
      <c r="H536" s="19">
        <f>_xlfn.XLOOKUP(A536,'Current Month'!A:A,'Current Month'!E:E,0,0)</f>
        <v>76517.81</v>
      </c>
      <c r="I536" s="32">
        <f>_xlfn.XLOOKUP(A536,'Prior Month'!A:A,'Prior Month'!E:E,0,0)</f>
        <v>79046.600000000006</v>
      </c>
      <c r="J536" s="32">
        <f>_xlfn.XLOOKUP(A536,'Year end 2024'!A:A,'Year end 2024'!E:E,0,0)</f>
        <v>185871.75</v>
      </c>
      <c r="K536" s="14">
        <f t="shared" si="16"/>
        <v>-2528.7900000000081</v>
      </c>
      <c r="L536" s="14">
        <f t="shared" si="17"/>
        <v>-109353.94</v>
      </c>
    </row>
    <row r="537" spans="1:12" ht="35.15" customHeight="1" x14ac:dyDescent="0.4">
      <c r="A537" s="11" t="s">
        <v>1138</v>
      </c>
      <c r="B537" s="11" t="s">
        <v>1139</v>
      </c>
      <c r="C537" s="11" t="s">
        <v>19</v>
      </c>
      <c r="D537" s="11" t="s">
        <v>18</v>
      </c>
      <c r="E537" s="18" t="str">
        <f>_xlfn.XLOOKUP(A537,'Current Month'!A:A,'Current Month'!I:I,"")</f>
        <v/>
      </c>
      <c r="F537" s="21" t="str">
        <f>_xlfn.XLOOKUP(A537,'Prior Month'!A:A,'Prior Month'!I:I,"")</f>
        <v/>
      </c>
      <c r="G537" s="18" t="e">
        <f>_xlfn.XLOOKUP(A537,'Year end 2024'!A:A,'Year end 2024'!I:I,"")</f>
        <v>#DIV/0!</v>
      </c>
      <c r="H537" s="19">
        <f>_xlfn.XLOOKUP(A537,'Current Month'!A:A,'Current Month'!E:E,0,0)</f>
        <v>361798.54</v>
      </c>
      <c r="I537" s="32">
        <f>_xlfn.XLOOKUP(A537,'Prior Month'!A:A,'Prior Month'!E:E,0,0)</f>
        <v>345777.22</v>
      </c>
      <c r="J537" s="32">
        <f>_xlfn.XLOOKUP(A537,'Year end 2024'!A:A,'Year end 2024'!E:E,0,0)</f>
        <v>377996.99</v>
      </c>
      <c r="K537" s="14">
        <f t="shared" si="16"/>
        <v>16021.320000000007</v>
      </c>
      <c r="L537" s="14">
        <f t="shared" si="17"/>
        <v>-16198.450000000012</v>
      </c>
    </row>
    <row r="538" spans="1:12" ht="35.15" customHeight="1" x14ac:dyDescent="0.4">
      <c r="A538" s="11" t="s">
        <v>1140</v>
      </c>
      <c r="B538" s="11" t="s">
        <v>1141</v>
      </c>
      <c r="C538" s="11" t="s">
        <v>259</v>
      </c>
      <c r="D538" s="11" t="s">
        <v>258</v>
      </c>
      <c r="E538" s="18">
        <f>_xlfn.XLOOKUP(A538,'Current Month'!A:A,'Current Month'!I:I,"")</f>
        <v>8.4084665625910697E-4</v>
      </c>
      <c r="F538" s="21">
        <f>_xlfn.XLOOKUP(A538,'Prior Month'!A:A,'Prior Month'!I:I,"")</f>
        <v>1.7881224926957297E-2</v>
      </c>
      <c r="G538" s="18">
        <f>_xlfn.XLOOKUP(A538,'Year end 2024'!A:A,'Year end 2024'!I:I,"")</f>
        <v>2.8426317986975772E-3</v>
      </c>
      <c r="H538" s="19">
        <f>_xlfn.XLOOKUP(A538,'Current Month'!A:A,'Current Month'!E:E,0,0)</f>
        <v>1046.5999999999999</v>
      </c>
      <c r="I538" s="32">
        <f>_xlfn.XLOOKUP(A538,'Prior Month'!A:A,'Prior Month'!E:E,0,0)</f>
        <v>22316.86</v>
      </c>
      <c r="J538" s="32">
        <f>_xlfn.XLOOKUP(A538,'Year end 2024'!A:A,'Year end 2024'!E:E,0,0)</f>
        <v>3597.77</v>
      </c>
      <c r="K538" s="14">
        <f t="shared" si="16"/>
        <v>-21270.260000000002</v>
      </c>
      <c r="L538" s="14">
        <f t="shared" si="17"/>
        <v>-2551.17</v>
      </c>
    </row>
    <row r="539" spans="1:12" ht="35.15" customHeight="1" x14ac:dyDescent="0.4">
      <c r="A539" s="11" t="s">
        <v>1142</v>
      </c>
      <c r="B539" s="11" t="s">
        <v>1143</v>
      </c>
      <c r="C539" s="11" t="s">
        <v>109</v>
      </c>
      <c r="D539" s="11" t="s">
        <v>108</v>
      </c>
      <c r="E539" s="18" t="str">
        <f>_xlfn.XLOOKUP(A539,'Current Month'!A:A,'Current Month'!I:I,"")</f>
        <v/>
      </c>
      <c r="F539" s="21" t="str">
        <f>_xlfn.XLOOKUP(A539,'Prior Month'!A:A,'Prior Month'!I:I,"")</f>
        <v/>
      </c>
      <c r="G539" s="18" t="str">
        <f>_xlfn.XLOOKUP(A539,'Year end 2024'!A:A,'Year end 2024'!I:I,"")</f>
        <v/>
      </c>
      <c r="H539" s="19">
        <f>_xlfn.XLOOKUP(A539,'Current Month'!A:A,'Current Month'!E:E,0,0)</f>
        <v>68510.67</v>
      </c>
      <c r="I539" s="32">
        <f>_xlfn.XLOOKUP(A539,'Prior Month'!A:A,'Prior Month'!E:E,0,0)</f>
        <v>78996.03</v>
      </c>
      <c r="J539" s="32">
        <f>_xlfn.XLOOKUP(A539,'Year end 2024'!A:A,'Year end 2024'!E:E,0,0)</f>
        <v>107348.35</v>
      </c>
      <c r="K539" s="14">
        <f t="shared" si="16"/>
        <v>-10485.36</v>
      </c>
      <c r="L539" s="14">
        <f t="shared" si="17"/>
        <v>-38837.680000000008</v>
      </c>
    </row>
    <row r="540" spans="1:12" ht="35.15" customHeight="1" x14ac:dyDescent="0.4">
      <c r="A540" s="11" t="s">
        <v>1144</v>
      </c>
      <c r="B540" s="11" t="s">
        <v>1145</v>
      </c>
      <c r="C540" s="11" t="s">
        <v>29</v>
      </c>
      <c r="D540" s="11" t="s">
        <v>28</v>
      </c>
      <c r="E540" s="18" t="str">
        <f>_xlfn.XLOOKUP(A540,'Current Month'!A:A,'Current Month'!I:I,"")</f>
        <v/>
      </c>
      <c r="F540" s="21" t="str">
        <f>_xlfn.XLOOKUP(A540,'Prior Month'!A:A,'Prior Month'!I:I,"")</f>
        <v/>
      </c>
      <c r="G540" s="18" t="str">
        <f>_xlfn.XLOOKUP(A540,'Year end 2024'!A:A,'Year end 2024'!I:I,"")</f>
        <v/>
      </c>
      <c r="H540" s="19">
        <f>_xlfn.XLOOKUP(A540,'Current Month'!A:A,'Current Month'!E:E,0,0)</f>
        <v>10536.27</v>
      </c>
      <c r="I540" s="32">
        <f>_xlfn.XLOOKUP(A540,'Prior Month'!A:A,'Prior Month'!E:E,0,0)</f>
        <v>10536.27</v>
      </c>
      <c r="J540" s="32">
        <f>_xlfn.XLOOKUP(A540,'Year end 2024'!A:A,'Year end 2024'!E:E,0,0)</f>
        <v>10301.27</v>
      </c>
      <c r="K540" s="14">
        <f t="shared" si="16"/>
        <v>0</v>
      </c>
      <c r="L540" s="14">
        <f t="shared" si="17"/>
        <v>235</v>
      </c>
    </row>
    <row r="541" spans="1:12" ht="35.15" customHeight="1" x14ac:dyDescent="0.4">
      <c r="A541" s="11" t="s">
        <v>1146</v>
      </c>
      <c r="B541" s="11" t="s">
        <v>1147</v>
      </c>
      <c r="C541" s="11" t="s">
        <v>51</v>
      </c>
      <c r="D541" s="11" t="s">
        <v>50</v>
      </c>
      <c r="E541" s="18" t="str">
        <f>_xlfn.XLOOKUP(A541,'Current Month'!A:A,'Current Month'!I:I,"")</f>
        <v/>
      </c>
      <c r="F541" s="21" t="str">
        <f>_xlfn.XLOOKUP(A541,'Prior Month'!A:A,'Prior Month'!I:I,"")</f>
        <v/>
      </c>
      <c r="G541" s="18" t="str">
        <f>_xlfn.XLOOKUP(A541,'Year end 2024'!A:A,'Year end 2024'!I:I,"")</f>
        <v/>
      </c>
      <c r="H541" s="19">
        <f>_xlfn.XLOOKUP(A541,'Current Month'!A:A,'Current Month'!E:E,0,0)</f>
        <v>439713.73</v>
      </c>
      <c r="I541" s="32">
        <f>_xlfn.XLOOKUP(A541,'Prior Month'!A:A,'Prior Month'!E:E,0,0)</f>
        <v>353781.99</v>
      </c>
      <c r="J541" s="32">
        <f>_xlfn.XLOOKUP(A541,'Year end 2024'!A:A,'Year end 2024'!E:E,0,0)</f>
        <v>198801.8</v>
      </c>
      <c r="K541" s="14">
        <f t="shared" si="16"/>
        <v>85931.739999999991</v>
      </c>
      <c r="L541" s="14">
        <f t="shared" si="17"/>
        <v>240911.93</v>
      </c>
    </row>
    <row r="542" spans="1:12" ht="35.15" customHeight="1" x14ac:dyDescent="0.4">
      <c r="A542" s="11" t="s">
        <v>1148</v>
      </c>
      <c r="B542" s="11" t="s">
        <v>1149</v>
      </c>
      <c r="C542" s="11" t="s">
        <v>67</v>
      </c>
      <c r="D542" s="11" t="s">
        <v>66</v>
      </c>
      <c r="E542" s="18" t="str">
        <f>_xlfn.XLOOKUP(A542,'Current Month'!A:A,'Current Month'!I:I,"")</f>
        <v/>
      </c>
      <c r="F542" s="21" t="str">
        <f>_xlfn.XLOOKUP(A542,'Prior Month'!A:A,'Prior Month'!I:I,"")</f>
        <v/>
      </c>
      <c r="G542" s="18" t="str">
        <f>_xlfn.XLOOKUP(A542,'Year end 2024'!A:A,'Year end 2024'!I:I,"")</f>
        <v/>
      </c>
      <c r="H542" s="19">
        <f>_xlfn.XLOOKUP(A542,'Current Month'!A:A,'Current Month'!E:E,0,0)</f>
        <v>220715.69</v>
      </c>
      <c r="I542" s="32">
        <f>_xlfn.XLOOKUP(A542,'Prior Month'!A:A,'Prior Month'!E:E,0,0)</f>
        <v>219182.35</v>
      </c>
      <c r="J542" s="32">
        <f>_xlfn.XLOOKUP(A542,'Year end 2024'!A:A,'Year end 2024'!E:E,0,0)</f>
        <v>32142.52</v>
      </c>
      <c r="K542" s="14">
        <f t="shared" si="16"/>
        <v>1533.3399999999965</v>
      </c>
      <c r="L542" s="14">
        <f t="shared" si="17"/>
        <v>188573.17</v>
      </c>
    </row>
    <row r="543" spans="1:12" ht="35.15" customHeight="1" x14ac:dyDescent="0.4">
      <c r="A543" s="11" t="s">
        <v>1150</v>
      </c>
      <c r="B543" s="11" t="s">
        <v>1151</v>
      </c>
      <c r="C543" s="11" t="s">
        <v>109</v>
      </c>
      <c r="D543" s="11" t="s">
        <v>108</v>
      </c>
      <c r="E543" s="18" t="str">
        <f>_xlfn.XLOOKUP(A543,'Current Month'!A:A,'Current Month'!I:I,"")</f>
        <v/>
      </c>
      <c r="F543" s="21" t="str">
        <f>_xlfn.XLOOKUP(A543,'Prior Month'!A:A,'Prior Month'!I:I,"")</f>
        <v/>
      </c>
      <c r="G543" s="18" t="str">
        <f>_xlfn.XLOOKUP(A543,'Year end 2024'!A:A,'Year end 2024'!I:I,"")</f>
        <v/>
      </c>
      <c r="H543" s="19">
        <f>_xlfn.XLOOKUP(A543,'Current Month'!A:A,'Current Month'!E:E,0,0)</f>
        <v>93976.2</v>
      </c>
      <c r="I543" s="32">
        <f>_xlfn.XLOOKUP(A543,'Prior Month'!A:A,'Prior Month'!E:E,0,0)</f>
        <v>91513.14</v>
      </c>
      <c r="J543" s="32">
        <f>_xlfn.XLOOKUP(A543,'Year end 2024'!A:A,'Year end 2024'!E:E,0,0)</f>
        <v>80204.28</v>
      </c>
      <c r="K543" s="14">
        <f t="shared" si="16"/>
        <v>2463.0599999999977</v>
      </c>
      <c r="L543" s="14">
        <f t="shared" si="17"/>
        <v>13771.919999999998</v>
      </c>
    </row>
    <row r="544" spans="1:12" ht="35.15" customHeight="1" x14ac:dyDescent="0.4">
      <c r="A544" s="11" t="s">
        <v>1152</v>
      </c>
      <c r="B544" s="11" t="s">
        <v>1153</v>
      </c>
      <c r="C544" s="11" t="s">
        <v>51</v>
      </c>
      <c r="D544" s="11" t="s">
        <v>50</v>
      </c>
      <c r="E544" s="18" t="str">
        <f>_xlfn.XLOOKUP(A544,'Current Month'!A:A,'Current Month'!I:I,"")</f>
        <v/>
      </c>
      <c r="F544" s="21" t="str">
        <f>_xlfn.XLOOKUP(A544,'Prior Month'!A:A,'Prior Month'!I:I,"")</f>
        <v/>
      </c>
      <c r="G544" s="18" t="str">
        <f>_xlfn.XLOOKUP(A544,'Year end 2024'!A:A,'Year end 2024'!I:I,"")</f>
        <v/>
      </c>
      <c r="H544" s="19">
        <f>_xlfn.XLOOKUP(A544,'Current Month'!A:A,'Current Month'!E:E,0,0)</f>
        <v>167032.95999999999</v>
      </c>
      <c r="I544" s="32">
        <f>_xlfn.XLOOKUP(A544,'Prior Month'!A:A,'Prior Month'!E:E,0,0)</f>
        <v>231371.25</v>
      </c>
      <c r="J544" s="32">
        <f>_xlfn.XLOOKUP(A544,'Year end 2024'!A:A,'Year end 2024'!E:E,0,0)</f>
        <v>214912.1</v>
      </c>
      <c r="K544" s="14">
        <f t="shared" si="16"/>
        <v>-64338.290000000008</v>
      </c>
      <c r="L544" s="14">
        <f t="shared" si="17"/>
        <v>-47879.140000000014</v>
      </c>
    </row>
    <row r="545" spans="1:12" ht="35.15" customHeight="1" x14ac:dyDescent="0.4">
      <c r="A545" s="11" t="s">
        <v>1154</v>
      </c>
      <c r="B545" s="11" t="s">
        <v>1155</v>
      </c>
      <c r="C545" s="11" t="s">
        <v>109</v>
      </c>
      <c r="D545" s="11" t="s">
        <v>108</v>
      </c>
      <c r="E545" s="18" t="str">
        <f>_xlfn.XLOOKUP(A545,'Current Month'!A:A,'Current Month'!I:I,"")</f>
        <v/>
      </c>
      <c r="F545" s="21" t="str">
        <f>_xlfn.XLOOKUP(A545,'Prior Month'!A:A,'Prior Month'!I:I,"")</f>
        <v/>
      </c>
      <c r="G545" s="18" t="str">
        <f>_xlfn.XLOOKUP(A545,'Year end 2024'!A:A,'Year end 2024'!I:I,"")</f>
        <v/>
      </c>
      <c r="H545" s="19">
        <f>_xlfn.XLOOKUP(A545,'Current Month'!A:A,'Current Month'!E:E,0,0)</f>
        <v>152158.72</v>
      </c>
      <c r="I545" s="32">
        <f>_xlfn.XLOOKUP(A545,'Prior Month'!A:A,'Prior Month'!E:E,0,0)</f>
        <v>152855.1</v>
      </c>
      <c r="J545" s="32">
        <f>_xlfn.XLOOKUP(A545,'Year end 2024'!A:A,'Year end 2024'!E:E,0,0)</f>
        <v>148850.73000000001</v>
      </c>
      <c r="K545" s="14">
        <f t="shared" si="16"/>
        <v>-696.38000000000466</v>
      </c>
      <c r="L545" s="14">
        <f t="shared" si="17"/>
        <v>3307.9899999999907</v>
      </c>
    </row>
    <row r="546" spans="1:12" ht="35.15" customHeight="1" x14ac:dyDescent="0.4">
      <c r="A546" s="11" t="s">
        <v>1156</v>
      </c>
      <c r="B546" s="11" t="s">
        <v>1157</v>
      </c>
      <c r="C546" s="11" t="s">
        <v>67</v>
      </c>
      <c r="D546" s="11" t="s">
        <v>66</v>
      </c>
      <c r="E546" s="18" t="str">
        <f>_xlfn.XLOOKUP(A546,'Current Month'!A:A,'Current Month'!I:I,"")</f>
        <v/>
      </c>
      <c r="F546" s="21" t="str">
        <f>_xlfn.XLOOKUP(A546,'Prior Month'!A:A,'Prior Month'!I:I,"")</f>
        <v/>
      </c>
      <c r="G546" s="18" t="str">
        <f>_xlfn.XLOOKUP(A546,'Year end 2024'!A:A,'Year end 2024'!I:I,"")</f>
        <v/>
      </c>
      <c r="H546" s="19">
        <f>_xlfn.XLOOKUP(A546,'Current Month'!A:A,'Current Month'!E:E,0,0)</f>
        <v>12258.56</v>
      </c>
      <c r="I546" s="32">
        <f>_xlfn.XLOOKUP(A546,'Prior Month'!A:A,'Prior Month'!E:E,0,0)</f>
        <v>16346.02</v>
      </c>
      <c r="J546" s="32">
        <f>_xlfn.XLOOKUP(A546,'Year end 2024'!A:A,'Year end 2024'!E:E,0,0)</f>
        <v>110017.51</v>
      </c>
      <c r="K546" s="14">
        <f t="shared" si="16"/>
        <v>-4087.4600000000009</v>
      </c>
      <c r="L546" s="14">
        <f t="shared" si="17"/>
        <v>-97758.95</v>
      </c>
    </row>
    <row r="547" spans="1:12" ht="35.15" customHeight="1" x14ac:dyDescent="0.4">
      <c r="A547" s="11" t="s">
        <v>1158</v>
      </c>
      <c r="B547" s="11" t="s">
        <v>1159</v>
      </c>
      <c r="C547" s="11" t="s">
        <v>51</v>
      </c>
      <c r="D547" s="11" t="s">
        <v>50</v>
      </c>
      <c r="E547" s="18" t="str">
        <f>_xlfn.XLOOKUP(A547,'Current Month'!A:A,'Current Month'!I:I,"")</f>
        <v/>
      </c>
      <c r="F547" s="21" t="str">
        <f>_xlfn.XLOOKUP(A547,'Prior Month'!A:A,'Prior Month'!I:I,"")</f>
        <v/>
      </c>
      <c r="G547" s="18" t="str">
        <f>_xlfn.XLOOKUP(A547,'Year end 2024'!A:A,'Year end 2024'!I:I,"")</f>
        <v/>
      </c>
      <c r="H547" s="19">
        <f>_xlfn.XLOOKUP(A547,'Current Month'!A:A,'Current Month'!E:E,0,0)</f>
        <v>3647.01</v>
      </c>
      <c r="I547" s="32">
        <f>_xlfn.XLOOKUP(A547,'Prior Month'!A:A,'Prior Month'!E:E,0,0)</f>
        <v>2312.23</v>
      </c>
      <c r="J547" s="32">
        <f>_xlfn.XLOOKUP(A547,'Year end 2024'!A:A,'Year end 2024'!E:E,0,0)</f>
        <v>5144.16</v>
      </c>
      <c r="K547" s="14">
        <f t="shared" si="16"/>
        <v>1334.7800000000002</v>
      </c>
      <c r="L547" s="14">
        <f t="shared" si="17"/>
        <v>-1497.1499999999996</v>
      </c>
    </row>
    <row r="548" spans="1:12" ht="35.15" customHeight="1" x14ac:dyDescent="0.4">
      <c r="A548" s="11" t="s">
        <v>1160</v>
      </c>
      <c r="B548" s="11" t="s">
        <v>1161</v>
      </c>
      <c r="C548" s="11" t="s">
        <v>465</v>
      </c>
      <c r="D548" s="11" t="s">
        <v>464</v>
      </c>
      <c r="E548" s="18">
        <f>_xlfn.XLOOKUP(A548,'Current Month'!A:A,'Current Month'!I:I,"")</f>
        <v>0.10976633657987439</v>
      </c>
      <c r="F548" s="21">
        <f>_xlfn.XLOOKUP(A548,'Prior Month'!A:A,'Prior Month'!I:I,"")</f>
        <v>0.22522537567766102</v>
      </c>
      <c r="G548" s="18">
        <f>_xlfn.XLOOKUP(A548,'Year end 2024'!A:A,'Year end 2024'!I:I,"")</f>
        <v>0.34108229790295852</v>
      </c>
      <c r="H548" s="19">
        <f>_xlfn.XLOOKUP(A548,'Current Month'!A:A,'Current Month'!E:E,0,0)</f>
        <v>161961.65</v>
      </c>
      <c r="I548" s="32">
        <f>_xlfn.XLOOKUP(A548,'Prior Month'!A:A,'Prior Month'!E:E,0,0)</f>
        <v>339451.97</v>
      </c>
      <c r="J548" s="32">
        <f>_xlfn.XLOOKUP(A548,'Year end 2024'!A:A,'Year end 2024'!E:E,0,0)</f>
        <v>594387.81000000006</v>
      </c>
      <c r="K548" s="14">
        <f t="shared" si="16"/>
        <v>-177490.31999999998</v>
      </c>
      <c r="L548" s="14">
        <f t="shared" si="17"/>
        <v>-432426.16000000003</v>
      </c>
    </row>
    <row r="549" spans="1:12" ht="35.15" customHeight="1" x14ac:dyDescent="0.4">
      <c r="A549" s="11" t="s">
        <v>1162</v>
      </c>
      <c r="B549" s="11" t="s">
        <v>1163</v>
      </c>
      <c r="C549" s="11" t="s">
        <v>109</v>
      </c>
      <c r="D549" s="11" t="s">
        <v>108</v>
      </c>
      <c r="E549" s="18" t="e">
        <f>_xlfn.XLOOKUP(A549,'Current Month'!A:A,'Current Month'!I:I,"")</f>
        <v>#DIV/0!</v>
      </c>
      <c r="F549" s="21" t="e">
        <f>_xlfn.XLOOKUP(A549,'Prior Month'!A:A,'Prior Month'!I:I,"")</f>
        <v>#DIV/0!</v>
      </c>
      <c r="G549" s="18" t="e">
        <f>_xlfn.XLOOKUP(A549,'Year end 2024'!A:A,'Year end 2024'!I:I,"")</f>
        <v>#DIV/0!</v>
      </c>
      <c r="H549" s="19">
        <f>_xlfn.XLOOKUP(A549,'Current Month'!A:A,'Current Month'!E:E,0,0)</f>
        <v>874942.78</v>
      </c>
      <c r="I549" s="32">
        <f>_xlfn.XLOOKUP(A549,'Prior Month'!A:A,'Prior Month'!E:E,0,0)</f>
        <v>863432.83</v>
      </c>
      <c r="J549" s="32">
        <f>_xlfn.XLOOKUP(A549,'Year end 2024'!A:A,'Year end 2024'!E:E,0,0)</f>
        <v>715202.62</v>
      </c>
      <c r="K549" s="14">
        <f t="shared" si="16"/>
        <v>11509.95000000007</v>
      </c>
      <c r="L549" s="14">
        <f t="shared" si="17"/>
        <v>159740.16000000003</v>
      </c>
    </row>
    <row r="550" spans="1:12" ht="35.15" customHeight="1" x14ac:dyDescent="0.4">
      <c r="A550" s="11" t="s">
        <v>1164</v>
      </c>
      <c r="B550" s="11" t="s">
        <v>1165</v>
      </c>
      <c r="C550" s="11" t="s">
        <v>51</v>
      </c>
      <c r="D550" s="11" t="s">
        <v>50</v>
      </c>
      <c r="E550" s="18" t="str">
        <f>_xlfn.XLOOKUP(A550,'Current Month'!A:A,'Current Month'!I:I,"")</f>
        <v/>
      </c>
      <c r="F550" s="21" t="str">
        <f>_xlfn.XLOOKUP(A550,'Prior Month'!A:A,'Prior Month'!I:I,"")</f>
        <v/>
      </c>
      <c r="G550" s="18" t="str">
        <f>_xlfn.XLOOKUP(A550,'Year end 2024'!A:A,'Year end 2024'!I:I,"")</f>
        <v/>
      </c>
      <c r="H550" s="19">
        <f>_xlfn.XLOOKUP(A550,'Current Month'!A:A,'Current Month'!E:E,0,0)</f>
        <v>36266.51</v>
      </c>
      <c r="I550" s="32">
        <f>_xlfn.XLOOKUP(A550,'Prior Month'!A:A,'Prior Month'!E:E,0,0)</f>
        <v>63185.39</v>
      </c>
      <c r="J550" s="32">
        <f>_xlfn.XLOOKUP(A550,'Year end 2024'!A:A,'Year end 2024'!E:E,0,0)</f>
        <v>64705.87</v>
      </c>
      <c r="K550" s="14">
        <f t="shared" si="16"/>
        <v>-26918.879999999997</v>
      </c>
      <c r="L550" s="14">
        <f t="shared" si="17"/>
        <v>-28439.360000000001</v>
      </c>
    </row>
    <row r="551" spans="1:12" ht="35.15" customHeight="1" x14ac:dyDescent="0.4">
      <c r="A551" s="11" t="s">
        <v>1166</v>
      </c>
      <c r="B551" s="11" t="s">
        <v>1167</v>
      </c>
      <c r="C551" s="11" t="s">
        <v>19</v>
      </c>
      <c r="D551" s="11" t="s">
        <v>18</v>
      </c>
      <c r="E551" s="18" t="str">
        <f>_xlfn.XLOOKUP(A551,'Current Month'!A:A,'Current Month'!I:I,"")</f>
        <v/>
      </c>
      <c r="F551" s="21" t="str">
        <f>_xlfn.XLOOKUP(A551,'Prior Month'!A:A,'Prior Month'!I:I,"")</f>
        <v/>
      </c>
      <c r="G551" s="18" t="str">
        <f>_xlfn.XLOOKUP(A551,'Year end 2024'!A:A,'Year end 2024'!I:I,"")</f>
        <v/>
      </c>
      <c r="H551" s="19">
        <f>_xlfn.XLOOKUP(A551,'Current Month'!A:A,'Current Month'!E:E,0,0)</f>
        <v>1523996.4</v>
      </c>
      <c r="I551" s="32">
        <f>_xlfn.XLOOKUP(A551,'Prior Month'!A:A,'Prior Month'!E:E,0,0)</f>
        <v>1512665.75</v>
      </c>
      <c r="J551" s="32">
        <f>_xlfn.XLOOKUP(A551,'Year end 2024'!A:A,'Year end 2024'!E:E,0,0)</f>
        <v>1508001.52</v>
      </c>
      <c r="K551" s="14">
        <f t="shared" si="16"/>
        <v>11330.649999999907</v>
      </c>
      <c r="L551" s="14">
        <f t="shared" si="17"/>
        <v>15994.879999999888</v>
      </c>
    </row>
    <row r="552" spans="1:12" ht="35.15" customHeight="1" x14ac:dyDescent="0.4">
      <c r="A552" s="11" t="s">
        <v>1168</v>
      </c>
      <c r="B552" s="11" t="s">
        <v>1169</v>
      </c>
      <c r="C552" s="11" t="s">
        <v>465</v>
      </c>
      <c r="D552" s="11" t="s">
        <v>464</v>
      </c>
      <c r="E552" s="18">
        <f>_xlfn.XLOOKUP(A552,'Current Month'!A:A,'Current Month'!I:I,"")</f>
        <v>6.7050658005989763E-2</v>
      </c>
      <c r="F552" s="21">
        <f>_xlfn.XLOOKUP(A552,'Prior Month'!A:A,'Prior Month'!I:I,"")</f>
        <v>6.4465067336101828E-2</v>
      </c>
      <c r="G552" s="18">
        <f>_xlfn.XLOOKUP(A552,'Year end 2024'!A:A,'Year end 2024'!I:I,"")</f>
        <v>3.809311962307621E-2</v>
      </c>
      <c r="H552" s="19">
        <f>_xlfn.XLOOKUP(A552,'Current Month'!A:A,'Current Month'!E:E,0,0)</f>
        <v>549563.07999999996</v>
      </c>
      <c r="I552" s="32">
        <f>_xlfn.XLOOKUP(A552,'Prior Month'!A:A,'Prior Month'!E:E,0,0)</f>
        <v>530112.93999999994</v>
      </c>
      <c r="J552" s="32">
        <f>_xlfn.XLOOKUP(A552,'Year end 2024'!A:A,'Year end 2024'!E:E,0,0)</f>
        <v>322953</v>
      </c>
      <c r="K552" s="14">
        <f t="shared" si="16"/>
        <v>19450.140000000014</v>
      </c>
      <c r="L552" s="14">
        <f t="shared" si="17"/>
        <v>226610.07999999996</v>
      </c>
    </row>
    <row r="553" spans="1:12" ht="35.15" customHeight="1" x14ac:dyDescent="0.4">
      <c r="A553" s="11" t="s">
        <v>1170</v>
      </c>
      <c r="B553" s="11" t="s">
        <v>1171</v>
      </c>
      <c r="C553" s="11" t="s">
        <v>109</v>
      </c>
      <c r="D553" s="11" t="s">
        <v>108</v>
      </c>
      <c r="E553" s="18" t="str">
        <f>_xlfn.XLOOKUP(A553,'Current Month'!A:A,'Current Month'!I:I,"")</f>
        <v/>
      </c>
      <c r="F553" s="21" t="str">
        <f>_xlfn.XLOOKUP(A553,'Prior Month'!A:A,'Prior Month'!I:I,"")</f>
        <v/>
      </c>
      <c r="G553" s="18" t="str">
        <f>_xlfn.XLOOKUP(A553,'Year end 2024'!A:A,'Year end 2024'!I:I,"")</f>
        <v/>
      </c>
      <c r="H553" s="19">
        <f>_xlfn.XLOOKUP(A553,'Current Month'!A:A,'Current Month'!E:E,0,0)</f>
        <v>21884</v>
      </c>
      <c r="I553" s="32">
        <f>_xlfn.XLOOKUP(A553,'Prior Month'!A:A,'Prior Month'!E:E,0,0)</f>
        <v>22941.61</v>
      </c>
      <c r="J553" s="32">
        <f>_xlfn.XLOOKUP(A553,'Year end 2024'!A:A,'Year end 2024'!E:E,0,0)</f>
        <v>12026.14</v>
      </c>
      <c r="K553" s="14">
        <f t="shared" si="16"/>
        <v>-1057.6100000000006</v>
      </c>
      <c r="L553" s="14">
        <f t="shared" si="17"/>
        <v>9857.86</v>
      </c>
    </row>
    <row r="554" spans="1:12" ht="35.15" customHeight="1" x14ac:dyDescent="0.4">
      <c r="A554" s="11" t="s">
        <v>312</v>
      </c>
      <c r="B554" s="11" t="s">
        <v>1172</v>
      </c>
      <c r="C554" s="11" t="s">
        <v>77</v>
      </c>
      <c r="D554" s="11" t="s">
        <v>76</v>
      </c>
      <c r="E554" s="18" t="str">
        <f>_xlfn.XLOOKUP(A554,'Current Month'!A:A,'Current Month'!I:I,"")</f>
        <v/>
      </c>
      <c r="F554" s="21" t="str">
        <f>_xlfn.XLOOKUP(A554,'Prior Month'!A:A,'Prior Month'!I:I,"")</f>
        <v/>
      </c>
      <c r="G554" s="18" t="str">
        <f>_xlfn.XLOOKUP(A554,'Year end 2024'!A:A,'Year end 2024'!I:I,"")</f>
        <v/>
      </c>
      <c r="H554" s="19">
        <f>_xlfn.XLOOKUP(A554,'Current Month'!A:A,'Current Month'!E:E,0,0)</f>
        <v>1819570.62</v>
      </c>
      <c r="I554" s="32">
        <f>_xlfn.XLOOKUP(A554,'Prior Month'!A:A,'Prior Month'!E:E,0,0)</f>
        <v>1501905.61</v>
      </c>
      <c r="J554" s="32">
        <f>_xlfn.XLOOKUP(A554,'Year end 2024'!A:A,'Year end 2024'!E:E,0,0)</f>
        <v>1488013.7</v>
      </c>
      <c r="K554" s="14">
        <f t="shared" si="16"/>
        <v>317665.01</v>
      </c>
      <c r="L554" s="14">
        <f t="shared" si="17"/>
        <v>331556.92000000016</v>
      </c>
    </row>
    <row r="555" spans="1:12" ht="35.15" customHeight="1" x14ac:dyDescent="0.4">
      <c r="A555" s="11" t="s">
        <v>1173</v>
      </c>
      <c r="B555" s="11" t="s">
        <v>1174</v>
      </c>
      <c r="C555" s="11" t="s">
        <v>57</v>
      </c>
      <c r="D555" s="11" t="s">
        <v>56</v>
      </c>
      <c r="E555" s="18" t="str">
        <f>_xlfn.XLOOKUP(A555,'Current Month'!A:A,'Current Month'!I:I,"")</f>
        <v/>
      </c>
      <c r="F555" s="21" t="str">
        <f>_xlfn.XLOOKUP(A555,'Prior Month'!A:A,'Prior Month'!I:I,"")</f>
        <v/>
      </c>
      <c r="G555" s="18" t="str">
        <f>_xlfn.XLOOKUP(A555,'Year end 2024'!A:A,'Year end 2024'!I:I,"")</f>
        <v/>
      </c>
      <c r="H555" s="19">
        <f>_xlfn.XLOOKUP(A555,'Current Month'!A:A,'Current Month'!E:E,0,0)</f>
        <v>421929.5</v>
      </c>
      <c r="I555" s="32">
        <f>_xlfn.XLOOKUP(A555,'Prior Month'!A:A,'Prior Month'!E:E,0,0)</f>
        <v>78077.63</v>
      </c>
      <c r="J555" s="32">
        <f>_xlfn.XLOOKUP(A555,'Year end 2024'!A:A,'Year end 2024'!E:E,0,0)</f>
        <v>931799.62</v>
      </c>
      <c r="K555" s="14">
        <f t="shared" si="16"/>
        <v>343851.87</v>
      </c>
      <c r="L555" s="14">
        <f t="shared" si="17"/>
        <v>-509870.12</v>
      </c>
    </row>
    <row r="556" spans="1:12" ht="35.15" customHeight="1" x14ac:dyDescent="0.4">
      <c r="A556" s="11" t="s">
        <v>1175</v>
      </c>
      <c r="B556" s="11" t="s">
        <v>1176</v>
      </c>
      <c r="C556" s="11" t="s">
        <v>57</v>
      </c>
      <c r="D556" s="11" t="s">
        <v>56</v>
      </c>
      <c r="E556" s="18" t="str">
        <f>_xlfn.XLOOKUP(A556,'Current Month'!A:A,'Current Month'!I:I,"")</f>
        <v/>
      </c>
      <c r="F556" s="21" t="str">
        <f>_xlfn.XLOOKUP(A556,'Prior Month'!A:A,'Prior Month'!I:I,"")</f>
        <v/>
      </c>
      <c r="G556" s="18" t="str">
        <f>_xlfn.XLOOKUP(A556,'Year end 2024'!A:A,'Year end 2024'!I:I,"")</f>
        <v/>
      </c>
      <c r="H556" s="19">
        <f>_xlfn.XLOOKUP(A556,'Current Month'!A:A,'Current Month'!E:E,0,0)</f>
        <v>373641.49</v>
      </c>
      <c r="I556" s="32">
        <f>_xlfn.XLOOKUP(A556,'Prior Month'!A:A,'Prior Month'!E:E,0,0)</f>
        <v>489672.04</v>
      </c>
      <c r="J556" s="32">
        <f>_xlfn.XLOOKUP(A556,'Year end 2024'!A:A,'Year end 2024'!E:E,0,0)</f>
        <v>1041663.05</v>
      </c>
      <c r="K556" s="14">
        <f t="shared" si="16"/>
        <v>-116030.54999999999</v>
      </c>
      <c r="L556" s="14">
        <f t="shared" si="17"/>
        <v>-668021.56000000006</v>
      </c>
    </row>
    <row r="557" spans="1:12" ht="35.15" customHeight="1" x14ac:dyDescent="0.4">
      <c r="A557" s="11" t="s">
        <v>1177</v>
      </c>
      <c r="B557" s="11" t="s">
        <v>1178</v>
      </c>
      <c r="C557" s="11" t="s">
        <v>465</v>
      </c>
      <c r="D557" s="11" t="s">
        <v>464</v>
      </c>
      <c r="E557" s="18">
        <f>_xlfn.XLOOKUP(A557,'Current Month'!A:A,'Current Month'!I:I,"")</f>
        <v>8.454126557935264E-2</v>
      </c>
      <c r="F557" s="21">
        <f>_xlfn.XLOOKUP(A557,'Prior Month'!A:A,'Prior Month'!I:I,"")</f>
        <v>8.353293354583205E-2</v>
      </c>
      <c r="G557" s="18">
        <f>_xlfn.XLOOKUP(A557,'Year end 2024'!A:A,'Year end 2024'!I:I,"")</f>
        <v>6.0412894968292073E-2</v>
      </c>
      <c r="H557" s="19">
        <f>_xlfn.XLOOKUP(A557,'Current Month'!A:A,'Current Month'!E:E,0,0)</f>
        <v>195598.32</v>
      </c>
      <c r="I557" s="32">
        <f>_xlfn.XLOOKUP(A557,'Prior Month'!A:A,'Prior Month'!E:E,0,0)</f>
        <v>194647.71</v>
      </c>
      <c r="J557" s="32">
        <f>_xlfn.XLOOKUP(A557,'Year end 2024'!A:A,'Year end 2024'!E:E,0,0)</f>
        <v>177093.32</v>
      </c>
      <c r="K557" s="14">
        <f t="shared" si="16"/>
        <v>950.61000000001513</v>
      </c>
      <c r="L557" s="14">
        <f t="shared" si="17"/>
        <v>18505</v>
      </c>
    </row>
    <row r="558" spans="1:12" ht="35.15" customHeight="1" x14ac:dyDescent="0.4">
      <c r="A558" s="11" t="s">
        <v>1179</v>
      </c>
      <c r="B558" s="11" t="s">
        <v>1180</v>
      </c>
      <c r="C558" s="11" t="s">
        <v>19</v>
      </c>
      <c r="D558" s="11" t="s">
        <v>18</v>
      </c>
      <c r="E558" s="18" t="e">
        <f>_xlfn.XLOOKUP(A558,'Current Month'!A:A,'Current Month'!I:I,"")</f>
        <v>#DIV/0!</v>
      </c>
      <c r="F558" s="21" t="e">
        <f>_xlfn.XLOOKUP(A558,'Prior Month'!A:A,'Prior Month'!I:I,"")</f>
        <v>#DIV/0!</v>
      </c>
      <c r="G558" s="18" t="e">
        <f>_xlfn.XLOOKUP(A558,'Year end 2024'!A:A,'Year end 2024'!I:I,"")</f>
        <v>#DIV/0!</v>
      </c>
      <c r="H558" s="19">
        <f>_xlfn.XLOOKUP(A558,'Current Month'!A:A,'Current Month'!E:E,0,0)</f>
        <v>154365.99</v>
      </c>
      <c r="I558" s="32">
        <f>_xlfn.XLOOKUP(A558,'Prior Month'!A:A,'Prior Month'!E:E,0,0)</f>
        <v>646116.48</v>
      </c>
      <c r="J558" s="32">
        <f>_xlfn.XLOOKUP(A558,'Year end 2024'!A:A,'Year end 2024'!E:E,0,0)</f>
        <v>283774.40999999997</v>
      </c>
      <c r="K558" s="14">
        <f t="shared" si="16"/>
        <v>-491750.49</v>
      </c>
      <c r="L558" s="14">
        <f t="shared" si="17"/>
        <v>-129408.41999999998</v>
      </c>
    </row>
    <row r="559" spans="1:12" ht="35.15" customHeight="1" x14ac:dyDescent="0.4">
      <c r="A559" s="11" t="s">
        <v>1181</v>
      </c>
      <c r="B559" s="11" t="s">
        <v>1182</v>
      </c>
      <c r="C559" s="11" t="s">
        <v>77</v>
      </c>
      <c r="D559" s="11" t="s">
        <v>76</v>
      </c>
      <c r="E559" s="18" t="str">
        <f>_xlfn.XLOOKUP(A559,'Current Month'!A:A,'Current Month'!I:I,"")</f>
        <v/>
      </c>
      <c r="F559" s="21" t="str">
        <f>_xlfn.XLOOKUP(A559,'Prior Month'!A:A,'Prior Month'!I:I,"")</f>
        <v/>
      </c>
      <c r="G559" s="18" t="str">
        <f>_xlfn.XLOOKUP(A559,'Year end 2024'!A:A,'Year end 2024'!I:I,"")</f>
        <v/>
      </c>
      <c r="H559" s="19">
        <f>_xlfn.XLOOKUP(A559,'Current Month'!A:A,'Current Month'!E:E,0,0)</f>
        <v>295679.96999999997</v>
      </c>
      <c r="I559" s="32">
        <f>_xlfn.XLOOKUP(A559,'Prior Month'!A:A,'Prior Month'!E:E,0,0)</f>
        <v>305444.43</v>
      </c>
      <c r="J559" s="32">
        <f>_xlfn.XLOOKUP(A559,'Year end 2024'!A:A,'Year end 2024'!E:E,0,0)</f>
        <v>402247.98</v>
      </c>
      <c r="K559" s="14">
        <f t="shared" si="16"/>
        <v>-9764.460000000021</v>
      </c>
      <c r="L559" s="14">
        <f t="shared" si="17"/>
        <v>-106568.01000000001</v>
      </c>
    </row>
    <row r="560" spans="1:12" ht="35.15" customHeight="1" x14ac:dyDescent="0.4">
      <c r="A560" s="11" t="s">
        <v>1183</v>
      </c>
      <c r="B560" s="11" t="s">
        <v>1184</v>
      </c>
      <c r="C560" s="11" t="s">
        <v>109</v>
      </c>
      <c r="D560" s="11" t="s">
        <v>108</v>
      </c>
      <c r="E560" s="18" t="str">
        <f>_xlfn.XLOOKUP(A560,'Current Month'!A:A,'Current Month'!I:I,"")</f>
        <v/>
      </c>
      <c r="F560" s="21" t="str">
        <f>_xlfn.XLOOKUP(A560,'Prior Month'!A:A,'Prior Month'!I:I,"")</f>
        <v/>
      </c>
      <c r="G560" s="18" t="str">
        <f>_xlfn.XLOOKUP(A560,'Year end 2024'!A:A,'Year end 2024'!I:I,"")</f>
        <v/>
      </c>
      <c r="H560" s="19">
        <f>_xlfn.XLOOKUP(A560,'Current Month'!A:A,'Current Month'!E:E,0,0)</f>
        <v>1055385.03</v>
      </c>
      <c r="I560" s="32">
        <f>_xlfn.XLOOKUP(A560,'Prior Month'!A:A,'Prior Month'!E:E,0,0)</f>
        <v>1075250.1299999999</v>
      </c>
      <c r="J560" s="32">
        <f>_xlfn.XLOOKUP(A560,'Year end 2024'!A:A,'Year end 2024'!E:E,0,0)</f>
        <v>1132158.47</v>
      </c>
      <c r="K560" s="14">
        <f t="shared" si="16"/>
        <v>-19865.09999999986</v>
      </c>
      <c r="L560" s="14">
        <f t="shared" si="17"/>
        <v>-76773.439999999944</v>
      </c>
    </row>
    <row r="561" spans="1:12" ht="35.15" customHeight="1" x14ac:dyDescent="0.4">
      <c r="A561" s="11" t="s">
        <v>1185</v>
      </c>
      <c r="B561" s="11" t="s">
        <v>1186</v>
      </c>
      <c r="C561" s="11" t="s">
        <v>457</v>
      </c>
      <c r="D561" s="11" t="s">
        <v>456</v>
      </c>
      <c r="E561" s="18">
        <f>_xlfn.XLOOKUP(A561,'Current Month'!A:A,'Current Month'!I:I,"")</f>
        <v>2.7030518480357602</v>
      </c>
      <c r="F561" s="21">
        <f>_xlfn.XLOOKUP(A561,'Prior Month'!A:A,'Prior Month'!I:I,"")</f>
        <v>2.1236805746852614</v>
      </c>
      <c r="G561" s="18">
        <f>_xlfn.XLOOKUP(A561,'Year end 2024'!A:A,'Year end 2024'!I:I,"")</f>
        <v>1.8370486302291111</v>
      </c>
      <c r="H561" s="19">
        <f>_xlfn.XLOOKUP(A561,'Current Month'!A:A,'Current Month'!E:E,0,0)</f>
        <v>1257154.4099999999</v>
      </c>
      <c r="I561" s="32">
        <f>_xlfn.XLOOKUP(A561,'Prior Month'!A:A,'Prior Month'!E:E,0,0)</f>
        <v>992194.82</v>
      </c>
      <c r="J561" s="32">
        <f>_xlfn.XLOOKUP(A561,'Year end 2024'!A:A,'Year end 2024'!E:E,0,0)</f>
        <v>887231</v>
      </c>
      <c r="K561" s="14">
        <f t="shared" si="16"/>
        <v>264959.58999999997</v>
      </c>
      <c r="L561" s="14">
        <f t="shared" si="17"/>
        <v>369923.40999999992</v>
      </c>
    </row>
    <row r="562" spans="1:12" ht="35.15" customHeight="1" x14ac:dyDescent="0.4">
      <c r="A562" s="11" t="s">
        <v>1187</v>
      </c>
      <c r="B562" s="11" t="s">
        <v>1188</v>
      </c>
      <c r="C562" s="11" t="s">
        <v>67</v>
      </c>
      <c r="D562" s="11" t="s">
        <v>66</v>
      </c>
      <c r="E562" s="18" t="str">
        <f>_xlfn.XLOOKUP(A562,'Current Month'!A:A,'Current Month'!I:I,"")</f>
        <v/>
      </c>
      <c r="F562" s="21" t="str">
        <f>_xlfn.XLOOKUP(A562,'Prior Month'!A:A,'Prior Month'!I:I,"")</f>
        <v/>
      </c>
      <c r="G562" s="18" t="str">
        <f>_xlfn.XLOOKUP(A562,'Year end 2024'!A:A,'Year end 2024'!I:I,"")</f>
        <v/>
      </c>
      <c r="H562" s="19">
        <f>_xlfn.XLOOKUP(A562,'Current Month'!A:A,'Current Month'!E:E,0,0)</f>
        <v>70298.11</v>
      </c>
      <c r="I562" s="32">
        <f>_xlfn.XLOOKUP(A562,'Prior Month'!A:A,'Prior Month'!E:E,0,0)</f>
        <v>50780.37</v>
      </c>
      <c r="J562" s="32">
        <f>_xlfn.XLOOKUP(A562,'Year end 2024'!A:A,'Year end 2024'!E:E,0,0)</f>
        <v>219959.61</v>
      </c>
      <c r="K562" s="14">
        <f t="shared" si="16"/>
        <v>19517.739999999998</v>
      </c>
      <c r="L562" s="14">
        <f t="shared" si="17"/>
        <v>-149661.5</v>
      </c>
    </row>
    <row r="563" spans="1:12" ht="35.15" customHeight="1" x14ac:dyDescent="0.4">
      <c r="A563" s="11" t="s">
        <v>1189</v>
      </c>
      <c r="B563" s="11" t="s">
        <v>1190</v>
      </c>
      <c r="C563" s="11" t="s">
        <v>15</v>
      </c>
      <c r="D563" s="11" t="s">
        <v>14</v>
      </c>
      <c r="E563" s="18">
        <f>_xlfn.XLOOKUP(A563,'Current Month'!A:A,'Current Month'!I:I,"")</f>
        <v>7.4030689745284109E-2</v>
      </c>
      <c r="F563" s="21">
        <f>_xlfn.XLOOKUP(A563,'Prior Month'!A:A,'Prior Month'!I:I,"")</f>
        <v>9.0437176970658964E-2</v>
      </c>
      <c r="G563" s="18">
        <f>_xlfn.XLOOKUP(A563,'Year end 2024'!A:A,'Year end 2024'!I:I,"")</f>
        <v>0.13256923598742193</v>
      </c>
      <c r="H563" s="19">
        <f>_xlfn.XLOOKUP(A563,'Current Month'!A:A,'Current Month'!E:E,0,0)</f>
        <v>222383.38</v>
      </c>
      <c r="I563" s="32">
        <f>_xlfn.XLOOKUP(A563,'Prior Month'!A:A,'Prior Month'!E:E,0,0)</f>
        <v>255166.98</v>
      </c>
      <c r="J563" s="32">
        <f>_xlfn.XLOOKUP(A563,'Year end 2024'!A:A,'Year end 2024'!E:E,0,0)</f>
        <v>445818.42</v>
      </c>
      <c r="K563" s="14">
        <f t="shared" si="16"/>
        <v>-32783.600000000006</v>
      </c>
      <c r="L563" s="14">
        <f t="shared" si="17"/>
        <v>-223435.03999999998</v>
      </c>
    </row>
    <row r="564" spans="1:12" ht="35.15" customHeight="1" x14ac:dyDescent="0.4">
      <c r="A564" s="11" t="s">
        <v>1191</v>
      </c>
      <c r="B564" s="11" t="s">
        <v>1192</v>
      </c>
      <c r="C564" s="11" t="s">
        <v>57</v>
      </c>
      <c r="D564" s="11" t="s">
        <v>56</v>
      </c>
      <c r="E564" s="18" t="str">
        <f>_xlfn.XLOOKUP(A564,'Current Month'!A:A,'Current Month'!I:I,"")</f>
        <v/>
      </c>
      <c r="F564" s="21" t="str">
        <f>_xlfn.XLOOKUP(A564,'Prior Month'!A:A,'Prior Month'!I:I,"")</f>
        <v/>
      </c>
      <c r="G564" s="18" t="str">
        <f>_xlfn.XLOOKUP(A564,'Year end 2024'!A:A,'Year end 2024'!I:I,"")</f>
        <v/>
      </c>
      <c r="H564" s="19">
        <f>_xlfn.XLOOKUP(A564,'Current Month'!A:A,'Current Month'!E:E,0,0)</f>
        <v>424559.91</v>
      </c>
      <c r="I564" s="32">
        <f>_xlfn.XLOOKUP(A564,'Prior Month'!A:A,'Prior Month'!E:E,0,0)</f>
        <v>450207.26</v>
      </c>
      <c r="J564" s="32">
        <f>_xlfn.XLOOKUP(A564,'Year end 2024'!A:A,'Year end 2024'!E:E,0,0)</f>
        <v>638357.79</v>
      </c>
      <c r="K564" s="14">
        <f t="shared" si="16"/>
        <v>-25647.350000000035</v>
      </c>
      <c r="L564" s="14">
        <f t="shared" si="17"/>
        <v>-213797.88000000006</v>
      </c>
    </row>
    <row r="565" spans="1:12" ht="35.15" customHeight="1" x14ac:dyDescent="0.4">
      <c r="A565" s="11" t="s">
        <v>1193</v>
      </c>
      <c r="B565" s="11" t="s">
        <v>1194</v>
      </c>
      <c r="C565" s="11" t="s">
        <v>109</v>
      </c>
      <c r="D565" s="11" t="s">
        <v>108</v>
      </c>
      <c r="E565" s="18" t="str">
        <f>_xlfn.XLOOKUP(A565,'Current Month'!A:A,'Current Month'!I:I,"")</f>
        <v/>
      </c>
      <c r="F565" s="21" t="str">
        <f>_xlfn.XLOOKUP(A565,'Prior Month'!A:A,'Prior Month'!I:I,"")</f>
        <v/>
      </c>
      <c r="G565" s="18" t="str">
        <f>_xlfn.XLOOKUP(A565,'Year end 2024'!A:A,'Year end 2024'!I:I,"")</f>
        <v/>
      </c>
      <c r="H565" s="19">
        <f>_xlfn.XLOOKUP(A565,'Current Month'!A:A,'Current Month'!E:E,0,0)</f>
        <v>80017.39</v>
      </c>
      <c r="I565" s="32">
        <f>_xlfn.XLOOKUP(A565,'Prior Month'!A:A,'Prior Month'!E:E,0,0)</f>
        <v>98861.1</v>
      </c>
      <c r="J565" s="32">
        <f>_xlfn.XLOOKUP(A565,'Year end 2024'!A:A,'Year end 2024'!E:E,0,0)</f>
        <v>268419.49</v>
      </c>
      <c r="K565" s="14">
        <f t="shared" si="16"/>
        <v>-18843.710000000006</v>
      </c>
      <c r="L565" s="14">
        <f t="shared" si="17"/>
        <v>-188402.09999999998</v>
      </c>
    </row>
    <row r="566" spans="1:12" ht="35.15" customHeight="1" x14ac:dyDescent="0.4">
      <c r="A566" s="11" t="s">
        <v>1195</v>
      </c>
      <c r="B566" s="11" t="s">
        <v>1196</v>
      </c>
      <c r="C566" s="11" t="s">
        <v>19</v>
      </c>
      <c r="D566" s="11" t="s">
        <v>18</v>
      </c>
      <c r="E566" s="18">
        <f>_xlfn.XLOOKUP(A566,'Current Month'!A:A,'Current Month'!I:I,"")</f>
        <v>0.24934632000000001</v>
      </c>
      <c r="F566" s="21">
        <f>_xlfn.XLOOKUP(A566,'Prior Month'!A:A,'Prior Month'!I:I,"")</f>
        <v>0.23355232000000001</v>
      </c>
      <c r="G566" s="18">
        <f>_xlfn.XLOOKUP(A566,'Year end 2024'!A:A,'Year end 2024'!I:I,"")</f>
        <v>0.43696576000000004</v>
      </c>
      <c r="H566" s="19">
        <f>_xlfn.XLOOKUP(A566,'Current Month'!A:A,'Current Month'!E:E,0,0)</f>
        <v>62336.58</v>
      </c>
      <c r="I566" s="32">
        <f>_xlfn.XLOOKUP(A566,'Prior Month'!A:A,'Prior Month'!E:E,0,0)</f>
        <v>58388.08</v>
      </c>
      <c r="J566" s="32">
        <f>_xlfn.XLOOKUP(A566,'Year end 2024'!A:A,'Year end 2024'!E:E,0,0)</f>
        <v>109241.44</v>
      </c>
      <c r="K566" s="14">
        <f t="shared" si="16"/>
        <v>3948.5</v>
      </c>
      <c r="L566" s="14">
        <f t="shared" si="17"/>
        <v>-46904.86</v>
      </c>
    </row>
    <row r="567" spans="1:12" ht="35.15" customHeight="1" x14ac:dyDescent="0.4">
      <c r="A567" s="11" t="s">
        <v>1197</v>
      </c>
      <c r="B567" s="11" t="s">
        <v>1198</v>
      </c>
      <c r="C567" s="11" t="s">
        <v>385</v>
      </c>
      <c r="D567" s="11" t="s">
        <v>384</v>
      </c>
      <c r="E567" s="18" t="str">
        <f>_xlfn.XLOOKUP(A567,'Current Month'!A:A,'Current Month'!I:I,"")</f>
        <v/>
      </c>
      <c r="F567" s="21" t="str">
        <f>_xlfn.XLOOKUP(A567,'Prior Month'!A:A,'Prior Month'!I:I,"")</f>
        <v/>
      </c>
      <c r="G567" s="18">
        <f>_xlfn.XLOOKUP(A567,'Year end 2024'!A:A,'Year end 2024'!I:I,"")</f>
        <v>0.19639658862876255</v>
      </c>
      <c r="H567" s="19">
        <f>_xlfn.XLOOKUP(A567,'Current Month'!A:A,'Current Month'!E:E,0,0)</f>
        <v>30425.68</v>
      </c>
      <c r="I567" s="32">
        <f>_xlfn.XLOOKUP(A567,'Prior Month'!A:A,'Prior Month'!E:E,0,0)</f>
        <v>28826.39</v>
      </c>
      <c r="J567" s="32">
        <f>_xlfn.XLOOKUP(A567,'Year end 2024'!A:A,'Year end 2024'!E:E,0,0)</f>
        <v>29361.29</v>
      </c>
      <c r="K567" s="14">
        <f t="shared" si="16"/>
        <v>1599.2900000000009</v>
      </c>
      <c r="L567" s="14">
        <f t="shared" si="17"/>
        <v>1064.3899999999994</v>
      </c>
    </row>
    <row r="568" spans="1:12" ht="35.15" customHeight="1" x14ac:dyDescent="0.4">
      <c r="A568" s="11" t="s">
        <v>1199</v>
      </c>
      <c r="B568" s="11" t="s">
        <v>1200</v>
      </c>
      <c r="C568" s="11" t="s">
        <v>33</v>
      </c>
      <c r="D568" s="11" t="s">
        <v>32</v>
      </c>
      <c r="E568" s="18" t="str">
        <f>_xlfn.XLOOKUP(A568,'Current Month'!A:A,'Current Month'!I:I,"")</f>
        <v/>
      </c>
      <c r="F568" s="21" t="str">
        <f>_xlfn.XLOOKUP(A568,'Prior Month'!A:A,'Prior Month'!I:I,"")</f>
        <v/>
      </c>
      <c r="G568" s="18" t="str">
        <f>_xlfn.XLOOKUP(A568,'Year end 2024'!A:A,'Year end 2024'!I:I,"")</f>
        <v/>
      </c>
      <c r="H568" s="19">
        <f>_xlfn.XLOOKUP(A568,'Current Month'!A:A,'Current Month'!E:E,0,0)</f>
        <v>22625.43</v>
      </c>
      <c r="I568" s="32">
        <f>_xlfn.XLOOKUP(A568,'Prior Month'!A:A,'Prior Month'!E:E,0,0)</f>
        <v>9840.6</v>
      </c>
      <c r="J568" s="32">
        <f>_xlfn.XLOOKUP(A568,'Year end 2024'!A:A,'Year end 2024'!E:E,0,0)</f>
        <v>54192.2</v>
      </c>
      <c r="K568" s="14">
        <f t="shared" si="16"/>
        <v>12784.83</v>
      </c>
      <c r="L568" s="14">
        <f t="shared" si="17"/>
        <v>-31566.769999999997</v>
      </c>
    </row>
    <row r="569" spans="1:12" ht="35.15" customHeight="1" x14ac:dyDescent="0.4">
      <c r="A569" s="11" t="s">
        <v>1201</v>
      </c>
      <c r="B569" s="11" t="s">
        <v>1202</v>
      </c>
      <c r="C569" s="11" t="s">
        <v>457</v>
      </c>
      <c r="D569" s="11" t="s">
        <v>456</v>
      </c>
      <c r="E569" s="18">
        <f>_xlfn.XLOOKUP(A569,'Current Month'!A:A,'Current Month'!I:I,"")</f>
        <v>1.4001307975155048</v>
      </c>
      <c r="F569" s="21">
        <f>_xlfn.XLOOKUP(A569,'Prior Month'!A:A,'Prior Month'!I:I,"")</f>
        <v>1.3012325559123292</v>
      </c>
      <c r="G569" s="18">
        <f>_xlfn.XLOOKUP(A569,'Year end 2024'!A:A,'Year end 2024'!I:I,"")</f>
        <v>0.68403342723315941</v>
      </c>
      <c r="H569" s="19">
        <f>_xlfn.XLOOKUP(A569,'Current Month'!A:A,'Current Month'!E:E,0,0)</f>
        <v>8039515.3499999996</v>
      </c>
      <c r="I569" s="32">
        <f>_xlfn.XLOOKUP(A569,'Prior Month'!A:A,'Prior Month'!E:E,0,0)</f>
        <v>7517459.5899999999</v>
      </c>
      <c r="J569" s="32">
        <f>_xlfn.XLOOKUP(A569,'Year end 2024'!A:A,'Year end 2024'!E:E,0,0)</f>
        <v>4428462.95</v>
      </c>
      <c r="K569" s="14">
        <f t="shared" si="16"/>
        <v>522055.75999999978</v>
      </c>
      <c r="L569" s="14">
        <f t="shared" si="17"/>
        <v>3611052.3999999994</v>
      </c>
    </row>
    <row r="570" spans="1:12" ht="35.15" customHeight="1" x14ac:dyDescent="0.4">
      <c r="A570" s="11" t="s">
        <v>1203</v>
      </c>
      <c r="B570" s="11" t="s">
        <v>1204</v>
      </c>
      <c r="C570" s="11" t="s">
        <v>385</v>
      </c>
      <c r="D570" s="11" t="s">
        <v>384</v>
      </c>
      <c r="E570" s="18" t="str">
        <f>_xlfn.XLOOKUP(A570,'Current Month'!A:A,'Current Month'!I:I,"")</f>
        <v/>
      </c>
      <c r="F570" s="21" t="str">
        <f>_xlfn.XLOOKUP(A570,'Prior Month'!A:A,'Prior Month'!I:I,"")</f>
        <v/>
      </c>
      <c r="G570" s="18" t="str">
        <f>_xlfn.XLOOKUP(A570,'Year end 2024'!A:A,'Year end 2024'!I:I,"")</f>
        <v/>
      </c>
      <c r="H570" s="19">
        <f>_xlfn.XLOOKUP(A570,'Current Month'!A:A,'Current Month'!E:E,0,0)</f>
        <v>198379.18</v>
      </c>
      <c r="I570" s="32">
        <f>_xlfn.XLOOKUP(A570,'Prior Month'!A:A,'Prior Month'!E:E,0,0)</f>
        <v>131411.25</v>
      </c>
      <c r="J570" s="32">
        <f>_xlfn.XLOOKUP(A570,'Year end 2024'!A:A,'Year end 2024'!E:E,0,0)</f>
        <v>202900.83</v>
      </c>
      <c r="K570" s="14">
        <f t="shared" si="16"/>
        <v>66967.929999999993</v>
      </c>
      <c r="L570" s="14">
        <f t="shared" si="17"/>
        <v>-4521.6499999999942</v>
      </c>
    </row>
    <row r="571" spans="1:12" ht="35.15" customHeight="1" x14ac:dyDescent="0.4">
      <c r="A571" s="11" t="s">
        <v>1205</v>
      </c>
      <c r="B571" s="11" t="s">
        <v>1206</v>
      </c>
      <c r="C571" s="11" t="s">
        <v>101</v>
      </c>
      <c r="D571" s="11" t="s">
        <v>100</v>
      </c>
      <c r="E571" s="18">
        <f>_xlfn.XLOOKUP(A571,'Current Month'!A:A,'Current Month'!I:I,"")</f>
        <v>0</v>
      </c>
      <c r="F571" s="21">
        <f>_xlfn.XLOOKUP(A571,'Prior Month'!A:A,'Prior Month'!I:I,"")</f>
        <v>0.11092055938002623</v>
      </c>
      <c r="G571" s="18">
        <f>_xlfn.XLOOKUP(A571,'Year end 2024'!A:A,'Year end 2024'!I:I,"")</f>
        <v>0.10213300466412441</v>
      </c>
      <c r="H571" s="19">
        <f>_xlfn.XLOOKUP(A571,'Current Month'!A:A,'Current Month'!E:E,0,0)</f>
        <v>0</v>
      </c>
      <c r="I571" s="32">
        <f>_xlfn.XLOOKUP(A571,'Prior Month'!A:A,'Prior Month'!E:E,0,0)</f>
        <v>128738.99</v>
      </c>
      <c r="J571" s="32">
        <f>_xlfn.XLOOKUP(A571,'Year end 2024'!A:A,'Year end 2024'!E:E,0,0)</f>
        <v>124231.72</v>
      </c>
      <c r="K571" s="14">
        <f t="shared" si="16"/>
        <v>-128738.99</v>
      </c>
      <c r="L571" s="14">
        <f t="shared" si="17"/>
        <v>-124231.72</v>
      </c>
    </row>
    <row r="572" spans="1:12" ht="35.15" customHeight="1" x14ac:dyDescent="0.4">
      <c r="A572" s="11" t="s">
        <v>1207</v>
      </c>
      <c r="B572" s="11" t="s">
        <v>1208</v>
      </c>
      <c r="C572" s="11" t="s">
        <v>259</v>
      </c>
      <c r="D572" s="11" t="s">
        <v>258</v>
      </c>
      <c r="E572" s="18">
        <f>_xlfn.XLOOKUP(A572,'Current Month'!A:A,'Current Month'!I:I,"")</f>
        <v>0.43112788000000002</v>
      </c>
      <c r="F572" s="21">
        <f>_xlfn.XLOOKUP(A572,'Prior Month'!A:A,'Prior Month'!I:I,"")</f>
        <v>0.42977446000000002</v>
      </c>
      <c r="G572" s="18">
        <f>_xlfn.XLOOKUP(A572,'Year end 2024'!A:A,'Year end 2024'!I:I,"")</f>
        <v>0.41681270000000004</v>
      </c>
      <c r="H572" s="19">
        <f>_xlfn.XLOOKUP(A572,'Current Month'!A:A,'Current Month'!E:E,0,0)</f>
        <v>215563.94</v>
      </c>
      <c r="I572" s="32">
        <f>_xlfn.XLOOKUP(A572,'Prior Month'!A:A,'Prior Month'!E:E,0,0)</f>
        <v>214887.23</v>
      </c>
      <c r="J572" s="32">
        <f>_xlfn.XLOOKUP(A572,'Year end 2024'!A:A,'Year end 2024'!E:E,0,0)</f>
        <v>208406.35</v>
      </c>
      <c r="K572" s="14">
        <f t="shared" ref="K572:K633" si="18">IFERROR(SUM(H572-I572),H572)</f>
        <v>676.70999999999185</v>
      </c>
      <c r="L572" s="14">
        <f t="shared" ref="L572:L633" si="19">IFERROR(SUM(H572-J572),H572)</f>
        <v>7157.5899999999965</v>
      </c>
    </row>
    <row r="573" spans="1:12" ht="35.15" customHeight="1" x14ac:dyDescent="0.4">
      <c r="A573" s="11" t="s">
        <v>1209</v>
      </c>
      <c r="B573" s="11" t="s">
        <v>1210</v>
      </c>
      <c r="C573" s="11" t="s">
        <v>29</v>
      </c>
      <c r="D573" s="11" t="s">
        <v>28</v>
      </c>
      <c r="E573" s="18" t="str">
        <f>_xlfn.XLOOKUP(A573,'Current Month'!A:A,'Current Month'!I:I,"")</f>
        <v/>
      </c>
      <c r="F573" s="21" t="str">
        <f>_xlfn.XLOOKUP(A573,'Prior Month'!A:A,'Prior Month'!I:I,"")</f>
        <v/>
      </c>
      <c r="G573" s="18" t="str">
        <f>_xlfn.XLOOKUP(A573,'Year end 2024'!A:A,'Year end 2024'!I:I,"")</f>
        <v/>
      </c>
      <c r="H573" s="19">
        <f>_xlfn.XLOOKUP(A573,'Current Month'!A:A,'Current Month'!E:E,0,0)</f>
        <v>318833.65000000002</v>
      </c>
      <c r="I573" s="32">
        <f>_xlfn.XLOOKUP(A573,'Prior Month'!A:A,'Prior Month'!E:E,0,0)</f>
        <v>375236.05</v>
      </c>
      <c r="J573" s="32">
        <f>_xlfn.XLOOKUP(A573,'Year end 2024'!A:A,'Year end 2024'!E:E,0,0)</f>
        <v>304746.05</v>
      </c>
      <c r="K573" s="14">
        <f t="shared" si="18"/>
        <v>-56402.399999999965</v>
      </c>
      <c r="L573" s="14">
        <f t="shared" si="19"/>
        <v>14087.600000000035</v>
      </c>
    </row>
    <row r="574" spans="1:12" ht="35.15" customHeight="1" x14ac:dyDescent="0.4">
      <c r="A574" s="11" t="s">
        <v>1211</v>
      </c>
      <c r="B574" s="11" t="s">
        <v>1212</v>
      </c>
      <c r="C574" s="11" t="s">
        <v>33</v>
      </c>
      <c r="D574" s="11" t="s">
        <v>32</v>
      </c>
      <c r="E574" s="18" t="str">
        <f>_xlfn.XLOOKUP(A574,'Current Month'!A:A,'Current Month'!I:I,"")</f>
        <v/>
      </c>
      <c r="F574" s="21" t="str">
        <f>_xlfn.XLOOKUP(A574,'Prior Month'!A:A,'Prior Month'!I:I,"")</f>
        <v/>
      </c>
      <c r="G574" s="18" t="str">
        <f>_xlfn.XLOOKUP(A574,'Year end 2024'!A:A,'Year end 2024'!I:I,"")</f>
        <v/>
      </c>
      <c r="H574" s="19">
        <f>_xlfn.XLOOKUP(A574,'Current Month'!A:A,'Current Month'!E:E,0,0)</f>
        <v>60242.97</v>
      </c>
      <c r="I574" s="32">
        <f>_xlfn.XLOOKUP(A574,'Prior Month'!A:A,'Prior Month'!E:E,0,0)</f>
        <v>60742.97</v>
      </c>
      <c r="J574" s="32">
        <f>_xlfn.XLOOKUP(A574,'Year end 2024'!A:A,'Year end 2024'!E:E,0,0)</f>
        <v>65242.97</v>
      </c>
      <c r="K574" s="14">
        <f t="shared" si="18"/>
        <v>-500</v>
      </c>
      <c r="L574" s="14">
        <f t="shared" si="19"/>
        <v>-5000</v>
      </c>
    </row>
    <row r="575" spans="1:12" ht="35.15" customHeight="1" x14ac:dyDescent="0.4">
      <c r="A575" s="11" t="s">
        <v>1213</v>
      </c>
      <c r="B575" s="11" t="s">
        <v>1214</v>
      </c>
      <c r="C575" s="11" t="s">
        <v>465</v>
      </c>
      <c r="D575" s="11" t="s">
        <v>464</v>
      </c>
      <c r="E575" s="18">
        <f>_xlfn.XLOOKUP(A575,'Current Month'!A:A,'Current Month'!I:I,"")</f>
        <v>0.1286536736318262</v>
      </c>
      <c r="F575" s="21">
        <f>_xlfn.XLOOKUP(A575,'Prior Month'!A:A,'Prior Month'!I:I,"")</f>
        <v>0.13800706109146171</v>
      </c>
      <c r="G575" s="18">
        <f>_xlfn.XLOOKUP(A575,'Year end 2024'!A:A,'Year end 2024'!I:I,"")</f>
        <v>0.11448638420214635</v>
      </c>
      <c r="H575" s="19">
        <f>_xlfn.XLOOKUP(A575,'Current Month'!A:A,'Current Month'!E:E,0,0)</f>
        <v>96242.75</v>
      </c>
      <c r="I575" s="32">
        <f>_xlfn.XLOOKUP(A575,'Prior Month'!A:A,'Prior Month'!E:E,0,0)</f>
        <v>104391.09</v>
      </c>
      <c r="J575" s="32">
        <f>_xlfn.XLOOKUP(A575,'Year end 2024'!A:A,'Year end 2024'!E:E,0,0)</f>
        <v>109634.07</v>
      </c>
      <c r="K575" s="14">
        <f t="shared" si="18"/>
        <v>-8148.3399999999965</v>
      </c>
      <c r="L575" s="14">
        <f t="shared" si="19"/>
        <v>-13391.320000000007</v>
      </c>
    </row>
    <row r="576" spans="1:12" ht="35.15" customHeight="1" x14ac:dyDescent="0.4">
      <c r="A576" s="11" t="s">
        <v>1215</v>
      </c>
      <c r="B576" s="11" t="s">
        <v>1216</v>
      </c>
      <c r="C576" s="11" t="s">
        <v>19</v>
      </c>
      <c r="D576" s="11" t="s">
        <v>18</v>
      </c>
      <c r="E576" s="18">
        <f>_xlfn.XLOOKUP(A576,'Current Month'!A:A,'Current Month'!I:I,"")</f>
        <v>6.1128599999999995</v>
      </c>
      <c r="F576" s="21">
        <f>_xlfn.XLOOKUP(A576,'Prior Month'!A:A,'Prior Month'!I:I,"")</f>
        <v>2.3322600000000002</v>
      </c>
      <c r="G576" s="18">
        <f>_xlfn.XLOOKUP(A576,'Year end 2024'!A:A,'Year end 2024'!I:I,"")</f>
        <v>16.610099999999999</v>
      </c>
      <c r="H576" s="19">
        <f>_xlfn.XLOOKUP(A576,'Current Month'!A:A,'Current Month'!E:E,0,0)</f>
        <v>3056.43</v>
      </c>
      <c r="I576" s="32">
        <f>_xlfn.XLOOKUP(A576,'Prior Month'!A:A,'Prior Month'!E:E,0,0)</f>
        <v>1166.1300000000001</v>
      </c>
      <c r="J576" s="32">
        <f>_xlfn.XLOOKUP(A576,'Year end 2024'!A:A,'Year end 2024'!E:E,0,0)</f>
        <v>8305.0499999999993</v>
      </c>
      <c r="K576" s="14">
        <f t="shared" si="18"/>
        <v>1890.2999999999997</v>
      </c>
      <c r="L576" s="14">
        <f t="shared" si="19"/>
        <v>-5248.619999999999</v>
      </c>
    </row>
    <row r="577" spans="1:12" ht="35.15" customHeight="1" x14ac:dyDescent="0.4">
      <c r="A577" s="11" t="s">
        <v>1217</v>
      </c>
      <c r="B577" s="11" t="s">
        <v>1218</v>
      </c>
      <c r="C577" s="11" t="s">
        <v>57</v>
      </c>
      <c r="D577" s="11" t="s">
        <v>56</v>
      </c>
      <c r="E577" s="18" t="str">
        <f>_xlfn.XLOOKUP(A577,'Current Month'!A:A,'Current Month'!I:I,"")</f>
        <v/>
      </c>
      <c r="F577" s="21" t="str">
        <f>_xlfn.XLOOKUP(A577,'Prior Month'!A:A,'Prior Month'!I:I,"")</f>
        <v/>
      </c>
      <c r="G577" s="18" t="str">
        <f>_xlfn.XLOOKUP(A577,'Year end 2024'!A:A,'Year end 2024'!I:I,"")</f>
        <v/>
      </c>
      <c r="H577" s="19">
        <f>_xlfn.XLOOKUP(A577,'Current Month'!A:A,'Current Month'!E:E,0,0)</f>
        <v>263454.84999999998</v>
      </c>
      <c r="I577" s="32">
        <f>_xlfn.XLOOKUP(A577,'Prior Month'!A:A,'Prior Month'!E:E,0,0)</f>
        <v>270708.44</v>
      </c>
      <c r="J577" s="32">
        <f>_xlfn.XLOOKUP(A577,'Year end 2024'!A:A,'Year end 2024'!E:E,0,0)</f>
        <v>222241.71</v>
      </c>
      <c r="K577" s="14">
        <f t="shared" si="18"/>
        <v>-7253.5900000000256</v>
      </c>
      <c r="L577" s="14">
        <f t="shared" si="19"/>
        <v>41213.139999999985</v>
      </c>
    </row>
    <row r="578" spans="1:12" ht="35.15" customHeight="1" x14ac:dyDescent="0.4">
      <c r="A578" s="11" t="s">
        <v>1219</v>
      </c>
      <c r="B578" s="11" t="s">
        <v>1220</v>
      </c>
      <c r="C578" s="11" t="s">
        <v>29</v>
      </c>
      <c r="D578" s="11" t="s">
        <v>28</v>
      </c>
      <c r="E578" s="18" t="str">
        <f>_xlfn.XLOOKUP(A578,'Current Month'!A:A,'Current Month'!I:I,"")</f>
        <v/>
      </c>
      <c r="F578" s="21" t="str">
        <f>_xlfn.XLOOKUP(A578,'Prior Month'!A:A,'Prior Month'!I:I,"")</f>
        <v/>
      </c>
      <c r="G578" s="18" t="str">
        <f>_xlfn.XLOOKUP(A578,'Year end 2024'!A:A,'Year end 2024'!I:I,"")</f>
        <v/>
      </c>
      <c r="H578" s="19">
        <f>_xlfn.XLOOKUP(A578,'Current Month'!A:A,'Current Month'!E:E,0,0)</f>
        <v>1201982.03</v>
      </c>
      <c r="I578" s="32">
        <f>_xlfn.XLOOKUP(A578,'Prior Month'!A:A,'Prior Month'!E:E,0,0)</f>
        <v>1204455.1499999999</v>
      </c>
      <c r="J578" s="32">
        <f>_xlfn.XLOOKUP(A578,'Year end 2024'!A:A,'Year end 2024'!E:E,0,0)</f>
        <v>1286965.1100000001</v>
      </c>
      <c r="K578" s="14">
        <f t="shared" si="18"/>
        <v>-2473.1199999998789</v>
      </c>
      <c r="L578" s="14">
        <f t="shared" si="19"/>
        <v>-84983.080000000075</v>
      </c>
    </row>
    <row r="579" spans="1:12" ht="35.15" customHeight="1" x14ac:dyDescent="0.4">
      <c r="A579" s="11" t="s">
        <v>1221</v>
      </c>
      <c r="B579" s="11" t="s">
        <v>1222</v>
      </c>
      <c r="C579" s="11" t="s">
        <v>29</v>
      </c>
      <c r="D579" s="11" t="s">
        <v>28</v>
      </c>
      <c r="E579" s="18" t="str">
        <f>_xlfn.XLOOKUP(A579,'Current Month'!A:A,'Current Month'!I:I,"")</f>
        <v/>
      </c>
      <c r="F579" s="21" t="str">
        <f>_xlfn.XLOOKUP(A579,'Prior Month'!A:A,'Prior Month'!I:I,"")</f>
        <v/>
      </c>
      <c r="G579" s="18" t="str">
        <f>_xlfn.XLOOKUP(A579,'Year end 2024'!A:A,'Year end 2024'!I:I,"")</f>
        <v/>
      </c>
      <c r="H579" s="19">
        <f>_xlfn.XLOOKUP(A579,'Current Month'!A:A,'Current Month'!E:E,0,0)</f>
        <v>65843.41</v>
      </c>
      <c r="I579" s="32">
        <f>_xlfn.XLOOKUP(A579,'Prior Month'!A:A,'Prior Month'!E:E,0,0)</f>
        <v>82170.210000000006</v>
      </c>
      <c r="J579" s="32">
        <f>_xlfn.XLOOKUP(A579,'Year end 2024'!A:A,'Year end 2024'!E:E,0,0)</f>
        <v>68884.009999999995</v>
      </c>
      <c r="K579" s="14">
        <f t="shared" si="18"/>
        <v>-16326.800000000003</v>
      </c>
      <c r="L579" s="14">
        <f t="shared" si="19"/>
        <v>-3040.5999999999913</v>
      </c>
    </row>
    <row r="580" spans="1:12" ht="35.15" customHeight="1" x14ac:dyDescent="0.4">
      <c r="A580" s="11" t="s">
        <v>1223</v>
      </c>
      <c r="B580" s="11" t="s">
        <v>1224</v>
      </c>
      <c r="C580" s="11" t="s">
        <v>57</v>
      </c>
      <c r="D580" s="11" t="s">
        <v>56</v>
      </c>
      <c r="E580" s="18" t="str">
        <f>_xlfn.XLOOKUP(A580,'Current Month'!A:A,'Current Month'!I:I,"")</f>
        <v/>
      </c>
      <c r="F580" s="21" t="str">
        <f>_xlfn.XLOOKUP(A580,'Prior Month'!A:A,'Prior Month'!I:I,"")</f>
        <v/>
      </c>
      <c r="G580" s="18" t="str">
        <f>_xlfn.XLOOKUP(A580,'Year end 2024'!A:A,'Year end 2024'!I:I,"")</f>
        <v/>
      </c>
      <c r="H580" s="19">
        <f>_xlfn.XLOOKUP(A580,'Current Month'!A:A,'Current Month'!E:E,0,0)</f>
        <v>50970.35</v>
      </c>
      <c r="I580" s="32">
        <f>_xlfn.XLOOKUP(A580,'Prior Month'!A:A,'Prior Month'!E:E,0,0)</f>
        <v>55682.89</v>
      </c>
      <c r="J580" s="32">
        <f>_xlfn.XLOOKUP(A580,'Year end 2024'!A:A,'Year end 2024'!E:E,0,0)</f>
        <v>59386.33</v>
      </c>
      <c r="K580" s="14">
        <f t="shared" si="18"/>
        <v>-4712.5400000000009</v>
      </c>
      <c r="L580" s="14">
        <f t="shared" si="19"/>
        <v>-8415.9800000000032</v>
      </c>
    </row>
    <row r="581" spans="1:12" ht="35.15" customHeight="1" x14ac:dyDescent="0.4">
      <c r="A581" s="11" t="s">
        <v>1225</v>
      </c>
      <c r="B581" s="11" t="s">
        <v>1226</v>
      </c>
      <c r="C581" s="11" t="s">
        <v>33</v>
      </c>
      <c r="D581" s="11" t="s">
        <v>32</v>
      </c>
      <c r="E581" s="18" t="str">
        <f>_xlfn.XLOOKUP(A581,'Current Month'!A:A,'Current Month'!I:I,"")</f>
        <v/>
      </c>
      <c r="F581" s="21" t="str">
        <f>_xlfn.XLOOKUP(A581,'Prior Month'!A:A,'Prior Month'!I:I,"")</f>
        <v/>
      </c>
      <c r="G581" s="18" t="str">
        <f>_xlfn.XLOOKUP(A581,'Year end 2024'!A:A,'Year end 2024'!I:I,"")</f>
        <v/>
      </c>
      <c r="H581" s="19">
        <f>_xlfn.XLOOKUP(A581,'Current Month'!A:A,'Current Month'!E:E,0,0)</f>
        <v>80737.53</v>
      </c>
      <c r="I581" s="32">
        <f>_xlfn.XLOOKUP(A581,'Prior Month'!A:A,'Prior Month'!E:E,0,0)</f>
        <v>206508.21</v>
      </c>
      <c r="J581" s="32">
        <f>_xlfn.XLOOKUP(A581,'Year end 2024'!A:A,'Year end 2024'!E:E,0,0)</f>
        <v>257971.91</v>
      </c>
      <c r="K581" s="14">
        <f t="shared" si="18"/>
        <v>-125770.68</v>
      </c>
      <c r="L581" s="14">
        <f t="shared" si="19"/>
        <v>-177234.38</v>
      </c>
    </row>
    <row r="582" spans="1:12" ht="35.15" customHeight="1" x14ac:dyDescent="0.4">
      <c r="A582" s="11" t="s">
        <v>1227</v>
      </c>
      <c r="B582" s="11" t="s">
        <v>1228</v>
      </c>
      <c r="C582" s="11" t="s">
        <v>51</v>
      </c>
      <c r="D582" s="11" t="s">
        <v>50</v>
      </c>
      <c r="E582" s="18" t="str">
        <f>_xlfn.XLOOKUP(A582,'Current Month'!A:A,'Current Month'!I:I,"")</f>
        <v/>
      </c>
      <c r="F582" s="21" t="str">
        <f>_xlfn.XLOOKUP(A582,'Prior Month'!A:A,'Prior Month'!I:I,"")</f>
        <v/>
      </c>
      <c r="G582" s="18" t="str">
        <f>_xlfn.XLOOKUP(A582,'Year end 2024'!A:A,'Year end 2024'!I:I,"")</f>
        <v/>
      </c>
      <c r="H582" s="19">
        <f>_xlfn.XLOOKUP(A582,'Current Month'!A:A,'Current Month'!E:E,0,0)</f>
        <v>96801.41</v>
      </c>
      <c r="I582" s="32">
        <f>_xlfn.XLOOKUP(A582,'Prior Month'!A:A,'Prior Month'!E:E,0,0)</f>
        <v>106097.05</v>
      </c>
      <c r="J582" s="32">
        <f>_xlfn.XLOOKUP(A582,'Year end 2024'!A:A,'Year end 2024'!E:E,0,0)</f>
        <v>65981.240000000005</v>
      </c>
      <c r="K582" s="14">
        <f t="shared" si="18"/>
        <v>-9295.64</v>
      </c>
      <c r="L582" s="14">
        <f t="shared" si="19"/>
        <v>30820.17</v>
      </c>
    </row>
    <row r="583" spans="1:12" ht="35.15" customHeight="1" x14ac:dyDescent="0.4">
      <c r="A583" s="11" t="s">
        <v>1229</v>
      </c>
      <c r="B583" s="11" t="s">
        <v>1230</v>
      </c>
      <c r="C583" s="11" t="s">
        <v>29</v>
      </c>
      <c r="D583" s="11" t="s">
        <v>28</v>
      </c>
      <c r="E583" s="18" t="str">
        <f>_xlfn.XLOOKUP(A583,'Current Month'!A:A,'Current Month'!I:I,"")</f>
        <v/>
      </c>
      <c r="F583" s="21" t="str">
        <f>_xlfn.XLOOKUP(A583,'Prior Month'!A:A,'Prior Month'!I:I,"")</f>
        <v/>
      </c>
      <c r="G583" s="18" t="str">
        <f>_xlfn.XLOOKUP(A583,'Year end 2024'!A:A,'Year end 2024'!I:I,"")</f>
        <v/>
      </c>
      <c r="H583" s="19">
        <f>_xlfn.XLOOKUP(A583,'Current Month'!A:A,'Current Month'!E:E,0,0)</f>
        <v>15561.86</v>
      </c>
      <c r="I583" s="32">
        <f>_xlfn.XLOOKUP(A583,'Prior Month'!A:A,'Prior Month'!E:E,0,0)</f>
        <v>16123.17</v>
      </c>
      <c r="J583" s="32">
        <f>_xlfn.XLOOKUP(A583,'Year end 2024'!A:A,'Year end 2024'!E:E,0,0)</f>
        <v>14483.28</v>
      </c>
      <c r="K583" s="14">
        <f t="shared" si="18"/>
        <v>-561.30999999999949</v>
      </c>
      <c r="L583" s="14">
        <f t="shared" si="19"/>
        <v>1078.58</v>
      </c>
    </row>
    <row r="584" spans="1:12" ht="35.15" customHeight="1" x14ac:dyDescent="0.4">
      <c r="A584" s="11" t="s">
        <v>1231</v>
      </c>
      <c r="B584" s="11" t="s">
        <v>1232</v>
      </c>
      <c r="C584" s="11" t="s">
        <v>29</v>
      </c>
      <c r="D584" s="11" t="s">
        <v>28</v>
      </c>
      <c r="E584" s="18" t="str">
        <f>_xlfn.XLOOKUP(A584,'Current Month'!A:A,'Current Month'!I:I,"")</f>
        <v/>
      </c>
      <c r="F584" s="21" t="str">
        <f>_xlfn.XLOOKUP(A584,'Prior Month'!A:A,'Prior Month'!I:I,"")</f>
        <v/>
      </c>
      <c r="G584" s="18" t="str">
        <f>_xlfn.XLOOKUP(A584,'Year end 2024'!A:A,'Year end 2024'!I:I,"")</f>
        <v/>
      </c>
      <c r="H584" s="19">
        <f>_xlfn.XLOOKUP(A584,'Current Month'!A:A,'Current Month'!E:E,0,0)</f>
        <v>7994.79</v>
      </c>
      <c r="I584" s="32">
        <f>_xlfn.XLOOKUP(A584,'Prior Month'!A:A,'Prior Month'!E:E,0,0)</f>
        <v>7734.75</v>
      </c>
      <c r="J584" s="32">
        <f>_xlfn.XLOOKUP(A584,'Year end 2024'!A:A,'Year end 2024'!E:E,0,0)</f>
        <v>1961.45</v>
      </c>
      <c r="K584" s="14">
        <f t="shared" si="18"/>
        <v>260.03999999999996</v>
      </c>
      <c r="L584" s="14">
        <f t="shared" si="19"/>
        <v>6033.34</v>
      </c>
    </row>
    <row r="585" spans="1:12" ht="35.15" customHeight="1" x14ac:dyDescent="0.4">
      <c r="A585" s="11" t="s">
        <v>1233</v>
      </c>
      <c r="B585" s="11" t="s">
        <v>1234</v>
      </c>
      <c r="C585" s="11" t="s">
        <v>51</v>
      </c>
      <c r="D585" s="11" t="s">
        <v>50</v>
      </c>
      <c r="E585" s="18" t="str">
        <f>_xlfn.XLOOKUP(A585,'Current Month'!A:A,'Current Month'!I:I,"")</f>
        <v/>
      </c>
      <c r="F585" s="21" t="str">
        <f>_xlfn.XLOOKUP(A585,'Prior Month'!A:A,'Prior Month'!I:I,"")</f>
        <v/>
      </c>
      <c r="G585" s="18" t="str">
        <f>_xlfn.XLOOKUP(A585,'Year end 2024'!A:A,'Year end 2024'!I:I,"")</f>
        <v/>
      </c>
      <c r="H585" s="19">
        <f>_xlfn.XLOOKUP(A585,'Current Month'!A:A,'Current Month'!E:E,0,0)</f>
        <v>808725.82</v>
      </c>
      <c r="I585" s="32">
        <f>_xlfn.XLOOKUP(A585,'Prior Month'!A:A,'Prior Month'!E:E,0,0)</f>
        <v>852745.76</v>
      </c>
      <c r="J585" s="32">
        <f>_xlfn.XLOOKUP(A585,'Year end 2024'!A:A,'Year end 2024'!E:E,0,0)</f>
        <v>843884.11</v>
      </c>
      <c r="K585" s="14">
        <f t="shared" si="18"/>
        <v>-44019.940000000061</v>
      </c>
      <c r="L585" s="14">
        <f t="shared" si="19"/>
        <v>-35158.290000000037</v>
      </c>
    </row>
    <row r="586" spans="1:12" ht="35.15" customHeight="1" x14ac:dyDescent="0.4">
      <c r="A586" s="11" t="s">
        <v>40</v>
      </c>
      <c r="B586" s="11" t="s">
        <v>1235</v>
      </c>
      <c r="C586" s="11" t="s">
        <v>465</v>
      </c>
      <c r="D586" s="11" t="s">
        <v>464</v>
      </c>
      <c r="E586" s="18">
        <f>_xlfn.XLOOKUP(A586,'Current Month'!A:A,'Current Month'!I:I,"")</f>
        <v>1.3074864865498623E-2</v>
      </c>
      <c r="F586" s="21">
        <f>_xlfn.XLOOKUP(A586,'Prior Month'!A:A,'Prior Month'!I:I,"")</f>
        <v>6.2986976479194661E-3</v>
      </c>
      <c r="G586" s="18">
        <f>_xlfn.XLOOKUP(A586,'Year end 2024'!A:A,'Year end 2024'!I:I,"")</f>
        <v>0.1267544845789238</v>
      </c>
      <c r="H586" s="19">
        <f>_xlfn.XLOOKUP(A586,'Current Month'!A:A,'Current Month'!E:E,0,0)</f>
        <v>160919.25</v>
      </c>
      <c r="I586" s="32">
        <f>_xlfn.XLOOKUP(A586,'Prior Month'!A:A,'Prior Month'!E:E,0,0)</f>
        <v>77720.33</v>
      </c>
      <c r="J586" s="32">
        <f>_xlfn.XLOOKUP(A586,'Year end 2024'!A:A,'Year end 2024'!E:E,0,0)</f>
        <v>1003663.04</v>
      </c>
      <c r="K586" s="14">
        <f t="shared" si="18"/>
        <v>83198.92</v>
      </c>
      <c r="L586" s="14">
        <f t="shared" si="19"/>
        <v>-842743.79</v>
      </c>
    </row>
    <row r="587" spans="1:12" ht="35.15" customHeight="1" x14ac:dyDescent="0.4">
      <c r="A587" s="11" t="s">
        <v>1236</v>
      </c>
      <c r="B587" s="11" t="s">
        <v>1237</v>
      </c>
      <c r="C587" s="11" t="s">
        <v>19</v>
      </c>
      <c r="D587" s="11" t="s">
        <v>18</v>
      </c>
      <c r="E587" s="18" t="str">
        <f>_xlfn.XLOOKUP(A587,'Current Month'!A:A,'Current Month'!I:I,"")</f>
        <v/>
      </c>
      <c r="F587" s="21" t="str">
        <f>_xlfn.XLOOKUP(A587,'Prior Month'!A:A,'Prior Month'!I:I,"")</f>
        <v/>
      </c>
      <c r="G587" s="18" t="str">
        <f>_xlfn.XLOOKUP(A587,'Year end 2024'!A:A,'Year end 2024'!I:I,"")</f>
        <v/>
      </c>
      <c r="H587" s="19">
        <f>_xlfn.XLOOKUP(A587,'Current Month'!A:A,'Current Month'!E:E,0,0)</f>
        <v>120226.02</v>
      </c>
      <c r="I587" s="32">
        <f>_xlfn.XLOOKUP(A587,'Prior Month'!A:A,'Prior Month'!E:E,0,0)</f>
        <v>117657.77</v>
      </c>
      <c r="J587" s="32">
        <f>_xlfn.XLOOKUP(A587,'Year end 2024'!A:A,'Year end 2024'!E:E,0,0)</f>
        <v>122328.01</v>
      </c>
      <c r="K587" s="14">
        <f t="shared" si="18"/>
        <v>2568.25</v>
      </c>
      <c r="L587" s="14">
        <f t="shared" si="19"/>
        <v>-2101.9899999999907</v>
      </c>
    </row>
    <row r="588" spans="1:12" ht="35.15" customHeight="1" x14ac:dyDescent="0.4">
      <c r="A588" s="11" t="s">
        <v>1238</v>
      </c>
      <c r="B588" s="11" t="s">
        <v>1239</v>
      </c>
      <c r="C588" s="11" t="s">
        <v>33</v>
      </c>
      <c r="D588" s="11" t="s">
        <v>32</v>
      </c>
      <c r="E588" s="18" t="e">
        <f>_xlfn.XLOOKUP(A588,'Current Month'!A:A,'Current Month'!I:I,"")</f>
        <v>#DIV/0!</v>
      </c>
      <c r="F588" s="21" t="e">
        <f>_xlfn.XLOOKUP(A588,'Prior Month'!A:A,'Prior Month'!I:I,"")</f>
        <v>#DIV/0!</v>
      </c>
      <c r="G588" s="18" t="e">
        <f>_xlfn.XLOOKUP(A588,'Year end 2024'!A:A,'Year end 2024'!I:I,"")</f>
        <v>#DIV/0!</v>
      </c>
      <c r="H588" s="19">
        <f>_xlfn.XLOOKUP(A588,'Current Month'!A:A,'Current Month'!E:E,0,0)</f>
        <v>0</v>
      </c>
      <c r="I588" s="32">
        <f>_xlfn.XLOOKUP(A588,'Prior Month'!A:A,'Prior Month'!E:E,0,0)</f>
        <v>0</v>
      </c>
      <c r="J588" s="32">
        <f>_xlfn.XLOOKUP(A588,'Year end 2024'!A:A,'Year end 2024'!E:E,0,0)</f>
        <v>0</v>
      </c>
      <c r="K588" s="14">
        <f t="shared" si="18"/>
        <v>0</v>
      </c>
      <c r="L588" s="14">
        <f t="shared" si="19"/>
        <v>0</v>
      </c>
    </row>
    <row r="589" spans="1:12" ht="35.15" customHeight="1" x14ac:dyDescent="0.4">
      <c r="A589" s="11" t="s">
        <v>1240</v>
      </c>
      <c r="B589" s="11" t="s">
        <v>1241</v>
      </c>
      <c r="C589" s="11" t="s">
        <v>57</v>
      </c>
      <c r="D589" s="11" t="s">
        <v>56</v>
      </c>
      <c r="E589" s="18" t="str">
        <f>_xlfn.XLOOKUP(A589,'Current Month'!A:A,'Current Month'!I:I,"")</f>
        <v/>
      </c>
      <c r="F589" s="21" t="str">
        <f>_xlfn.XLOOKUP(A589,'Prior Month'!A:A,'Prior Month'!I:I,"")</f>
        <v/>
      </c>
      <c r="G589" s="18" t="str">
        <f>_xlfn.XLOOKUP(A589,'Year end 2024'!A:A,'Year end 2024'!I:I,"")</f>
        <v/>
      </c>
      <c r="H589" s="19">
        <f>_xlfn.XLOOKUP(A589,'Current Month'!A:A,'Current Month'!E:E,0,0)</f>
        <v>78224.149999999994</v>
      </c>
      <c r="I589" s="32">
        <f>_xlfn.XLOOKUP(A589,'Prior Month'!A:A,'Prior Month'!E:E,0,0)</f>
        <v>87719.31</v>
      </c>
      <c r="J589" s="32">
        <f>_xlfn.XLOOKUP(A589,'Year end 2024'!A:A,'Year end 2024'!E:E,0,0)</f>
        <v>46559.1</v>
      </c>
      <c r="K589" s="14">
        <f t="shared" si="18"/>
        <v>-9495.1600000000035</v>
      </c>
      <c r="L589" s="14">
        <f t="shared" si="19"/>
        <v>31665.049999999996</v>
      </c>
    </row>
    <row r="590" spans="1:12" ht="35.15" customHeight="1" x14ac:dyDescent="0.4">
      <c r="A590" s="11" t="s">
        <v>1242</v>
      </c>
      <c r="B590" s="11" t="s">
        <v>1243</v>
      </c>
      <c r="C590" s="11" t="s">
        <v>101</v>
      </c>
      <c r="D590" s="11" t="s">
        <v>100</v>
      </c>
      <c r="E590" s="18">
        <f>_xlfn.XLOOKUP(A590,'Current Month'!A:A,'Current Month'!I:I,"")</f>
        <v>9.8621730195545682E-2</v>
      </c>
      <c r="F590" s="21">
        <f>_xlfn.XLOOKUP(A590,'Prior Month'!A:A,'Prior Month'!I:I,"")</f>
        <v>0.10454212537539212</v>
      </c>
      <c r="G590" s="18">
        <f>_xlfn.XLOOKUP(A590,'Year end 2024'!A:A,'Year end 2024'!I:I,"")</f>
        <v>7.9162608017630504E-2</v>
      </c>
      <c r="H590" s="19">
        <f>_xlfn.XLOOKUP(A590,'Current Month'!A:A,'Current Month'!E:E,0,0)</f>
        <v>81552.72</v>
      </c>
      <c r="I590" s="32">
        <f>_xlfn.XLOOKUP(A590,'Prior Month'!A:A,'Prior Month'!E:E,0,0)</f>
        <v>86673.41</v>
      </c>
      <c r="J590" s="32">
        <f>_xlfn.XLOOKUP(A590,'Year end 2024'!A:A,'Year end 2024'!E:E,0,0)</f>
        <v>66832.75</v>
      </c>
      <c r="K590" s="14">
        <f t="shared" si="18"/>
        <v>-5120.6900000000023</v>
      </c>
      <c r="L590" s="14">
        <f t="shared" si="19"/>
        <v>14719.970000000001</v>
      </c>
    </row>
    <row r="591" spans="1:12" ht="35.15" customHeight="1" x14ac:dyDescent="0.4">
      <c r="A591" s="11" t="s">
        <v>540</v>
      </c>
      <c r="B591" s="11" t="s">
        <v>1244</v>
      </c>
      <c r="C591" s="11" t="s">
        <v>213</v>
      </c>
      <c r="D591" s="11" t="s">
        <v>212</v>
      </c>
      <c r="E591" s="18">
        <f>_xlfn.XLOOKUP(A591,'Current Month'!A:A,'Current Month'!I:I,"")</f>
        <v>5.2486216641703845E-2</v>
      </c>
      <c r="F591" s="21">
        <f>_xlfn.XLOOKUP(A591,'Prior Month'!A:A,'Prior Month'!I:I,"")</f>
        <v>4.8183840342546427E-2</v>
      </c>
      <c r="G591" s="18">
        <f>_xlfn.XLOOKUP(A591,'Year end 2024'!A:A,'Year end 2024'!I:I,"")</f>
        <v>6.0259562087418048E-2</v>
      </c>
      <c r="H591" s="19">
        <f>_xlfn.XLOOKUP(A591,'Current Month'!A:A,'Current Month'!E:E,0,0)</f>
        <v>31216.93</v>
      </c>
      <c r="I591" s="32">
        <f>_xlfn.XLOOKUP(A591,'Prior Month'!A:A,'Prior Month'!E:E,0,0)</f>
        <v>28658.03</v>
      </c>
      <c r="J591" s="32">
        <f>_xlfn.XLOOKUP(A591,'Year end 2024'!A:A,'Year end 2024'!E:E,0,0)</f>
        <v>33262.239999999998</v>
      </c>
      <c r="K591" s="14">
        <f t="shared" si="18"/>
        <v>2558.9000000000015</v>
      </c>
      <c r="L591" s="14">
        <f t="shared" si="19"/>
        <v>-2045.3099999999977</v>
      </c>
    </row>
    <row r="592" spans="1:12" ht="35.15" customHeight="1" x14ac:dyDescent="0.4">
      <c r="A592" s="11" t="s">
        <v>1245</v>
      </c>
      <c r="B592" s="11" t="s">
        <v>1246</v>
      </c>
      <c r="C592" s="11" t="s">
        <v>19</v>
      </c>
      <c r="D592" s="11" t="s">
        <v>18</v>
      </c>
      <c r="E592" s="18" t="str">
        <f>_xlfn.XLOOKUP(A592,'Current Month'!A:A,'Current Month'!I:I,"")</f>
        <v/>
      </c>
      <c r="F592" s="21" t="str">
        <f>_xlfn.XLOOKUP(A592,'Prior Month'!A:A,'Prior Month'!I:I,"")</f>
        <v/>
      </c>
      <c r="G592" s="18" t="str">
        <f>_xlfn.XLOOKUP(A592,'Year end 2024'!A:A,'Year end 2024'!I:I,"")</f>
        <v/>
      </c>
      <c r="H592" s="19">
        <f>_xlfn.XLOOKUP(A592,'Current Month'!A:A,'Current Month'!E:E,0,0)</f>
        <v>26091.4</v>
      </c>
      <c r="I592" s="32">
        <f>_xlfn.XLOOKUP(A592,'Prior Month'!A:A,'Prior Month'!E:E,0,0)</f>
        <v>28107.5</v>
      </c>
      <c r="J592" s="32">
        <f>_xlfn.XLOOKUP(A592,'Year end 2024'!A:A,'Year end 2024'!E:E,0,0)</f>
        <v>23620.32</v>
      </c>
      <c r="K592" s="14">
        <f t="shared" si="18"/>
        <v>-2016.0999999999985</v>
      </c>
      <c r="L592" s="14">
        <f t="shared" si="19"/>
        <v>2471.0800000000017</v>
      </c>
    </row>
    <row r="593" spans="1:12" ht="35.15" customHeight="1" x14ac:dyDescent="0.4">
      <c r="A593" s="11" t="s">
        <v>1247</v>
      </c>
      <c r="B593" s="11" t="s">
        <v>1248</v>
      </c>
      <c r="C593" s="11" t="s">
        <v>19</v>
      </c>
      <c r="D593" s="11" t="s">
        <v>18</v>
      </c>
      <c r="E593" s="18" t="str">
        <f>_xlfn.XLOOKUP(A593,'Current Month'!A:A,'Current Month'!I:I,"")</f>
        <v/>
      </c>
      <c r="F593" s="21" t="str">
        <f>_xlfn.XLOOKUP(A593,'Prior Month'!A:A,'Prior Month'!I:I,"")</f>
        <v/>
      </c>
      <c r="G593" s="18" t="str">
        <f>_xlfn.XLOOKUP(A593,'Year end 2024'!A:A,'Year end 2024'!I:I,"")</f>
        <v/>
      </c>
      <c r="H593" s="19">
        <f>_xlfn.XLOOKUP(A593,'Current Month'!A:A,'Current Month'!E:E,0,0)</f>
        <v>664.73</v>
      </c>
      <c r="I593" s="32">
        <f>_xlfn.XLOOKUP(A593,'Prior Month'!A:A,'Prior Month'!E:E,0,0)</f>
        <v>660.73</v>
      </c>
      <c r="J593" s="32">
        <f>_xlfn.XLOOKUP(A593,'Year end 2024'!A:A,'Year end 2024'!E:E,0,0)</f>
        <v>644.73</v>
      </c>
      <c r="K593" s="14">
        <f t="shared" si="18"/>
        <v>4</v>
      </c>
      <c r="L593" s="14">
        <f t="shared" si="19"/>
        <v>20</v>
      </c>
    </row>
    <row r="594" spans="1:12" ht="35.15" customHeight="1" x14ac:dyDescent="0.4">
      <c r="A594" s="11" t="s">
        <v>1249</v>
      </c>
      <c r="B594" s="11" t="s">
        <v>1250</v>
      </c>
      <c r="C594" s="11" t="s">
        <v>51</v>
      </c>
      <c r="D594" s="11" t="s">
        <v>50</v>
      </c>
      <c r="E594" s="18">
        <f>_xlfn.XLOOKUP(A594,'Current Month'!A:A,'Current Month'!I:I,"")</f>
        <v>0</v>
      </c>
      <c r="F594" s="21">
        <f>_xlfn.XLOOKUP(A594,'Prior Month'!A:A,'Prior Month'!I:I,"")</f>
        <v>0</v>
      </c>
      <c r="G594" s="18">
        <f>_xlfn.XLOOKUP(A594,'Year end 2024'!A:A,'Year end 2024'!I:I,"")</f>
        <v>0</v>
      </c>
      <c r="H594" s="19">
        <f>_xlfn.XLOOKUP(A594,'Current Month'!A:A,'Current Month'!E:E,0,0)</f>
        <v>0</v>
      </c>
      <c r="I594" s="32">
        <f>_xlfn.XLOOKUP(A594,'Prior Month'!A:A,'Prior Month'!E:E,0,0)</f>
        <v>0</v>
      </c>
      <c r="J594" s="32">
        <f>_xlfn.XLOOKUP(A594,'Year end 2024'!A:A,'Year end 2024'!E:E,0,0)</f>
        <v>0</v>
      </c>
      <c r="K594" s="14">
        <f t="shared" si="18"/>
        <v>0</v>
      </c>
      <c r="L594" s="14">
        <f t="shared" si="19"/>
        <v>0</v>
      </c>
    </row>
    <row r="595" spans="1:12" ht="35.15" customHeight="1" x14ac:dyDescent="0.4">
      <c r="A595" s="11" t="s">
        <v>1251</v>
      </c>
      <c r="B595" s="11" t="s">
        <v>1252</v>
      </c>
      <c r="C595" s="11" t="s">
        <v>29</v>
      </c>
      <c r="D595" s="11" t="s">
        <v>28</v>
      </c>
      <c r="E595" s="18" t="str">
        <f>_xlfn.XLOOKUP(A595,'Current Month'!A:A,'Current Month'!I:I,"")</f>
        <v/>
      </c>
      <c r="F595" s="21" t="str">
        <f>_xlfn.XLOOKUP(A595,'Prior Month'!A:A,'Prior Month'!I:I,"")</f>
        <v/>
      </c>
      <c r="G595" s="18" t="str">
        <f>_xlfn.XLOOKUP(A595,'Year end 2024'!A:A,'Year end 2024'!I:I,"")</f>
        <v/>
      </c>
      <c r="H595" s="19">
        <f>_xlfn.XLOOKUP(A595,'Current Month'!A:A,'Current Month'!E:E,0,0)</f>
        <v>31724.94</v>
      </c>
      <c r="I595" s="32">
        <f>_xlfn.XLOOKUP(A595,'Prior Month'!A:A,'Prior Month'!E:E,0,0)</f>
        <v>31717.119999999999</v>
      </c>
      <c r="J595" s="32">
        <f>_xlfn.XLOOKUP(A595,'Year end 2024'!A:A,'Year end 2024'!E:E,0,0)</f>
        <v>31626.58</v>
      </c>
      <c r="K595" s="14">
        <f t="shared" si="18"/>
        <v>7.819999999999709</v>
      </c>
      <c r="L595" s="14">
        <f t="shared" si="19"/>
        <v>98.359999999996944</v>
      </c>
    </row>
    <row r="596" spans="1:12" ht="35.15" customHeight="1" x14ac:dyDescent="0.4">
      <c r="A596" s="11" t="s">
        <v>108</v>
      </c>
      <c r="B596" s="11" t="s">
        <v>1253</v>
      </c>
      <c r="C596" s="11" t="s">
        <v>51</v>
      </c>
      <c r="D596" s="11" t="s">
        <v>50</v>
      </c>
      <c r="E596" s="18" t="e">
        <f>_xlfn.XLOOKUP(A596,'Current Month'!A:A,'Current Month'!I:I,"")</f>
        <v>#DIV/0!</v>
      </c>
      <c r="F596" s="21" t="e">
        <f>_xlfn.XLOOKUP(A596,'Prior Month'!A:A,'Prior Month'!I:I,"")</f>
        <v>#DIV/0!</v>
      </c>
      <c r="G596" s="18" t="e">
        <f>_xlfn.XLOOKUP(A596,'Year end 2024'!A:A,'Year end 2024'!I:I,"")</f>
        <v>#DIV/0!</v>
      </c>
      <c r="H596" s="19">
        <f>_xlfn.XLOOKUP(A596,'Current Month'!A:A,'Current Month'!E:E,0,0)</f>
        <v>0</v>
      </c>
      <c r="I596" s="32">
        <f>_xlfn.XLOOKUP(A596,'Prior Month'!A:A,'Prior Month'!E:E,0,0)</f>
        <v>0</v>
      </c>
      <c r="J596" s="32">
        <f>_xlfn.XLOOKUP(A596,'Year end 2024'!A:A,'Year end 2024'!E:E,0,0)</f>
        <v>0</v>
      </c>
      <c r="K596" s="14">
        <f t="shared" si="18"/>
        <v>0</v>
      </c>
      <c r="L596" s="14">
        <f t="shared" si="19"/>
        <v>0</v>
      </c>
    </row>
    <row r="597" spans="1:12" ht="35.15" customHeight="1" x14ac:dyDescent="0.4">
      <c r="A597" s="11" t="s">
        <v>1254</v>
      </c>
      <c r="B597" s="11" t="s">
        <v>1255</v>
      </c>
      <c r="C597" s="11" t="s">
        <v>253</v>
      </c>
      <c r="D597" s="11" t="s">
        <v>252</v>
      </c>
      <c r="E597" s="18">
        <f>_xlfn.XLOOKUP(A597,'Current Month'!A:A,'Current Month'!I:I,"")</f>
        <v>1.8177232088812442E-2</v>
      </c>
      <c r="F597" s="21">
        <f>_xlfn.XLOOKUP(A597,'Prior Month'!A:A,'Prior Month'!I:I,"")</f>
        <v>3.8837879202191304E-2</v>
      </c>
      <c r="G597" s="18">
        <f>_xlfn.XLOOKUP(A597,'Year end 2024'!A:A,'Year end 2024'!I:I,"")</f>
        <v>1.2320132510655071E-2</v>
      </c>
      <c r="H597" s="19">
        <f>_xlfn.XLOOKUP(A597,'Current Month'!A:A,'Current Month'!E:E,0,0)</f>
        <v>25141.19</v>
      </c>
      <c r="I597" s="32">
        <f>_xlfn.XLOOKUP(A597,'Prior Month'!A:A,'Prior Month'!E:E,0,0)</f>
        <v>54032.9</v>
      </c>
      <c r="J597" s="32">
        <f>_xlfn.XLOOKUP(A597,'Year end 2024'!A:A,'Year end 2024'!E:E,0,0)</f>
        <v>17987.099999999999</v>
      </c>
      <c r="K597" s="14">
        <f t="shared" si="18"/>
        <v>-28891.710000000003</v>
      </c>
      <c r="L597" s="14">
        <f t="shared" si="19"/>
        <v>7154.09</v>
      </c>
    </row>
    <row r="598" spans="1:12" ht="35.15" customHeight="1" x14ac:dyDescent="0.4">
      <c r="A598" s="11" t="s">
        <v>1256</v>
      </c>
      <c r="B598" s="11" t="s">
        <v>1257</v>
      </c>
      <c r="C598" s="11" t="s">
        <v>57</v>
      </c>
      <c r="D598" s="11" t="s">
        <v>56</v>
      </c>
      <c r="E598" s="18" t="str">
        <f>_xlfn.XLOOKUP(A598,'Current Month'!A:A,'Current Month'!I:I,"")</f>
        <v/>
      </c>
      <c r="F598" s="21">
        <f>_xlfn.XLOOKUP(A598,'Prior Month'!A:A,'Prior Month'!I:I,"")</f>
        <v>20.126297459350663</v>
      </c>
      <c r="G598" s="18">
        <f>_xlfn.XLOOKUP(A598,'Year end 2024'!A:A,'Year end 2024'!I:I,"")</f>
        <v>1.3355557677995566</v>
      </c>
      <c r="H598" s="19">
        <f>_xlfn.XLOOKUP(A598,'Current Month'!A:A,'Current Month'!E:E,0,0)</f>
        <v>109955.92</v>
      </c>
      <c r="I598" s="32">
        <f>_xlfn.XLOOKUP(A598,'Prior Month'!A:A,'Prior Month'!E:E,0,0)</f>
        <v>152794.01999999999</v>
      </c>
      <c r="J598" s="32">
        <f>_xlfn.XLOOKUP(A598,'Year end 2024'!A:A,'Year end 2024'!E:E,0,0)</f>
        <v>100261.28</v>
      </c>
      <c r="K598" s="14">
        <f t="shared" si="18"/>
        <v>-42838.099999999991</v>
      </c>
      <c r="L598" s="14">
        <f t="shared" si="19"/>
        <v>9694.64</v>
      </c>
    </row>
    <row r="599" spans="1:12" ht="35.15" customHeight="1" x14ac:dyDescent="0.4">
      <c r="A599" s="11" t="s">
        <v>1258</v>
      </c>
      <c r="B599" s="11" t="s">
        <v>1259</v>
      </c>
      <c r="C599" s="11" t="s">
        <v>41</v>
      </c>
      <c r="D599" s="11" t="s">
        <v>40</v>
      </c>
      <c r="E599" s="18">
        <f>_xlfn.XLOOKUP(A599,'Current Month'!A:A,'Current Month'!I:I,"")</f>
        <v>0.37288146936347411</v>
      </c>
      <c r="F599" s="21">
        <f>_xlfn.XLOOKUP(A599,'Prior Month'!A:A,'Prior Month'!I:I,"")</f>
        <v>0.20278141738525773</v>
      </c>
      <c r="G599" s="18">
        <f>_xlfn.XLOOKUP(A599,'Year end 2024'!A:A,'Year end 2024'!I:I,"")</f>
        <v>0.12634868014259953</v>
      </c>
      <c r="H599" s="19">
        <f>_xlfn.XLOOKUP(A599,'Current Month'!A:A,'Current Month'!E:E,0,0)</f>
        <v>215623.93</v>
      </c>
      <c r="I599" s="32">
        <f>_xlfn.XLOOKUP(A599,'Prior Month'!A:A,'Prior Month'!E:E,0,0)</f>
        <v>87325.82</v>
      </c>
      <c r="J599" s="32">
        <f>_xlfn.XLOOKUP(A599,'Year end 2024'!A:A,'Year end 2024'!E:E,0,0)</f>
        <v>56837.25</v>
      </c>
      <c r="K599" s="14">
        <f t="shared" si="18"/>
        <v>128298.10999999999</v>
      </c>
      <c r="L599" s="14">
        <f t="shared" si="19"/>
        <v>158786.68</v>
      </c>
    </row>
    <row r="600" spans="1:12" ht="35.15" customHeight="1" x14ac:dyDescent="0.4">
      <c r="A600" s="11" t="s">
        <v>1260</v>
      </c>
      <c r="B600" s="11" t="s">
        <v>1261</v>
      </c>
      <c r="C600" s="11" t="s">
        <v>51</v>
      </c>
      <c r="D600" s="11" t="s">
        <v>50</v>
      </c>
      <c r="E600" s="18">
        <f>_xlfn.XLOOKUP(A600,'Current Month'!A:A,'Current Month'!I:I,"")</f>
        <v>462.72300000000001</v>
      </c>
      <c r="F600" s="21">
        <f>_xlfn.XLOOKUP(A600,'Prior Month'!A:A,'Prior Month'!I:I,"")</f>
        <v>485.9008</v>
      </c>
      <c r="G600" s="18">
        <f>_xlfn.XLOOKUP(A600,'Year end 2024'!A:A,'Year end 2024'!I:I,"")</f>
        <v>198.55692999999999</v>
      </c>
      <c r="H600" s="19">
        <f>_xlfn.XLOOKUP(A600,'Current Month'!A:A,'Current Month'!E:E,0,0)</f>
        <v>925446</v>
      </c>
      <c r="I600" s="32">
        <f>_xlfn.XLOOKUP(A600,'Prior Month'!A:A,'Prior Month'!E:E,0,0)</f>
        <v>971801.59999999998</v>
      </c>
      <c r="J600" s="32">
        <f>_xlfn.XLOOKUP(A600,'Year end 2024'!A:A,'Year end 2024'!E:E,0,0)</f>
        <v>397113.86</v>
      </c>
      <c r="K600" s="14">
        <f t="shared" si="18"/>
        <v>-46355.599999999977</v>
      </c>
      <c r="L600" s="14">
        <f t="shared" si="19"/>
        <v>528332.14</v>
      </c>
    </row>
    <row r="601" spans="1:12" ht="35.15" customHeight="1" x14ac:dyDescent="0.4">
      <c r="A601" s="11" t="s">
        <v>1262</v>
      </c>
      <c r="B601" s="11" t="s">
        <v>1263</v>
      </c>
      <c r="C601" s="11" t="s">
        <v>213</v>
      </c>
      <c r="D601" s="11" t="s">
        <v>212</v>
      </c>
      <c r="E601" s="18">
        <f>_xlfn.XLOOKUP(A601,'Current Month'!A:A,'Current Month'!I:I,"")</f>
        <v>1.4874077312703223E-3</v>
      </c>
      <c r="F601" s="21">
        <f>_xlfn.XLOOKUP(A601,'Prior Month'!A:A,'Prior Month'!I:I,"")</f>
        <v>3.7887719244271659E-2</v>
      </c>
      <c r="G601" s="18">
        <f>_xlfn.XLOOKUP(A601,'Year end 2024'!A:A,'Year end 2024'!I:I,"")</f>
        <v>3.1868204755871239E-3</v>
      </c>
      <c r="H601" s="19">
        <f>_xlfn.XLOOKUP(A601,'Current Month'!A:A,'Current Month'!E:E,0,0)</f>
        <v>519.01</v>
      </c>
      <c r="I601" s="32">
        <f>_xlfn.XLOOKUP(A601,'Prior Month'!A:A,'Prior Month'!E:E,0,0)</f>
        <v>13251.09</v>
      </c>
      <c r="J601" s="32">
        <f>_xlfn.XLOOKUP(A601,'Year end 2024'!A:A,'Year end 2024'!E:E,0,0)</f>
        <v>1488</v>
      </c>
      <c r="K601" s="14">
        <f t="shared" si="18"/>
        <v>-12732.08</v>
      </c>
      <c r="L601" s="14">
        <f t="shared" si="19"/>
        <v>-968.99</v>
      </c>
    </row>
    <row r="602" spans="1:12" ht="35.15" customHeight="1" x14ac:dyDescent="0.4">
      <c r="A602" s="11" t="s">
        <v>1264</v>
      </c>
      <c r="B602" s="11" t="s">
        <v>1265</v>
      </c>
      <c r="C602" s="11" t="s">
        <v>213</v>
      </c>
      <c r="D602" s="11" t="s">
        <v>212</v>
      </c>
      <c r="E602" s="18">
        <f>_xlfn.XLOOKUP(A602,'Current Month'!A:A,'Current Month'!I:I,"")</f>
        <v>4.9984441626706481E-3</v>
      </c>
      <c r="F602" s="21">
        <f>_xlfn.XLOOKUP(A602,'Prior Month'!A:A,'Prior Month'!I:I,"")</f>
        <v>3.4053306903876149E-3</v>
      </c>
      <c r="G602" s="18">
        <f>_xlfn.XLOOKUP(A602,'Year end 2024'!A:A,'Year end 2024'!I:I,"")</f>
        <v>9.6089066249230922E-4</v>
      </c>
      <c r="H602" s="19">
        <f>_xlfn.XLOOKUP(A602,'Current Month'!A:A,'Current Month'!E:E,0,0)</f>
        <v>394.52</v>
      </c>
      <c r="I602" s="32">
        <f>_xlfn.XLOOKUP(A602,'Prior Month'!A:A,'Prior Month'!E:E,0,0)</f>
        <v>271.47000000000003</v>
      </c>
      <c r="J602" s="32">
        <f>_xlfn.XLOOKUP(A602,'Year end 2024'!A:A,'Year end 2024'!E:E,0,0)</f>
        <v>84.82</v>
      </c>
      <c r="K602" s="14">
        <f t="shared" si="18"/>
        <v>123.04999999999995</v>
      </c>
      <c r="L602" s="14">
        <f t="shared" si="19"/>
        <v>309.7</v>
      </c>
    </row>
    <row r="603" spans="1:12" ht="35.15" customHeight="1" x14ac:dyDescent="0.4">
      <c r="A603" s="11" t="s">
        <v>1266</v>
      </c>
      <c r="B603" s="11" t="s">
        <v>1267</v>
      </c>
      <c r="C603" s="11" t="s">
        <v>15</v>
      </c>
      <c r="D603" s="11" t="s">
        <v>14</v>
      </c>
      <c r="E603" s="18" t="str">
        <f>_xlfn.XLOOKUP(A603,'Current Month'!A:A,'Current Month'!I:I,"")</f>
        <v/>
      </c>
      <c r="F603" s="21" t="str">
        <f>_xlfn.XLOOKUP(A603,'Prior Month'!A:A,'Prior Month'!I:I,"")</f>
        <v/>
      </c>
      <c r="G603" s="18">
        <f>_xlfn.XLOOKUP(A603,'Year end 2024'!A:A,'Year end 2024'!I:I,"")</f>
        <v>0.11351334333333334</v>
      </c>
      <c r="H603" s="19">
        <f>_xlfn.XLOOKUP(A603,'Current Month'!A:A,'Current Month'!E:E,0,0)</f>
        <v>922954.83</v>
      </c>
      <c r="I603" s="32">
        <f>_xlfn.XLOOKUP(A603,'Prior Month'!A:A,'Prior Month'!E:E,0,0)</f>
        <v>461200.57</v>
      </c>
      <c r="J603" s="32">
        <f>_xlfn.XLOOKUP(A603,'Year end 2024'!A:A,'Year end 2024'!E:E,0,0)</f>
        <v>340540.03</v>
      </c>
      <c r="K603" s="14">
        <f t="shared" si="18"/>
        <v>461754.25999999995</v>
      </c>
      <c r="L603" s="14">
        <f t="shared" si="19"/>
        <v>582414.79999999993</v>
      </c>
    </row>
    <row r="604" spans="1:12" ht="35.15" customHeight="1" x14ac:dyDescent="0.4">
      <c r="A604" s="11" t="s">
        <v>66</v>
      </c>
      <c r="B604" s="11" t="s">
        <v>1268</v>
      </c>
      <c r="C604" s="11" t="s">
        <v>101</v>
      </c>
      <c r="D604" s="11" t="s">
        <v>100</v>
      </c>
      <c r="E604" s="18">
        <f>_xlfn.XLOOKUP(A604,'Current Month'!A:A,'Current Month'!I:I,"")</f>
        <v>4.386893995874741E-2</v>
      </c>
      <c r="F604" s="21">
        <f>_xlfn.XLOOKUP(A604,'Prior Month'!A:A,'Prior Month'!I:I,"")</f>
        <v>6.0851245559415283E-2</v>
      </c>
      <c r="G604" s="18">
        <f>_xlfn.XLOOKUP(A604,'Year end 2024'!A:A,'Year end 2024'!I:I,"")</f>
        <v>3.3546595760833138E-2</v>
      </c>
      <c r="H604" s="19">
        <f>_xlfn.XLOOKUP(A604,'Current Month'!A:A,'Current Month'!E:E,0,0)</f>
        <v>42757.04</v>
      </c>
      <c r="I604" s="32">
        <f>_xlfn.XLOOKUP(A604,'Prior Month'!A:A,'Prior Month'!E:E,0,0)</f>
        <v>59418.59</v>
      </c>
      <c r="J604" s="32">
        <f>_xlfn.XLOOKUP(A604,'Year end 2024'!A:A,'Year end 2024'!E:E,0,0)</f>
        <v>33066.81</v>
      </c>
      <c r="K604" s="14">
        <f t="shared" si="18"/>
        <v>-16661.549999999996</v>
      </c>
      <c r="L604" s="14">
        <f t="shared" si="19"/>
        <v>9690.2300000000032</v>
      </c>
    </row>
    <row r="605" spans="1:12" ht="35.15" customHeight="1" x14ac:dyDescent="0.4">
      <c r="A605" s="11" t="s">
        <v>184</v>
      </c>
      <c r="B605" s="11" t="s">
        <v>1269</v>
      </c>
      <c r="C605" s="11" t="s">
        <v>259</v>
      </c>
      <c r="D605" s="11" t="s">
        <v>258</v>
      </c>
      <c r="E605" s="18">
        <f>_xlfn.XLOOKUP(A605,'Current Month'!A:A,'Current Month'!I:I,"")</f>
        <v>0.25446142507956204</v>
      </c>
      <c r="F605" s="21">
        <f>_xlfn.XLOOKUP(A605,'Prior Month'!A:A,'Prior Month'!I:I,"")</f>
        <v>0.30481262895711569</v>
      </c>
      <c r="G605" s="18" t="str">
        <f>_xlfn.XLOOKUP(A605,'Year end 2024'!A:A,'Year end 2024'!I:I,"")</f>
        <v/>
      </c>
      <c r="H605" s="19">
        <f>_xlfn.XLOOKUP(A605,'Current Month'!A:A,'Current Month'!E:E,0,0)</f>
        <v>213724.95</v>
      </c>
      <c r="I605" s="32">
        <f>_xlfn.XLOOKUP(A605,'Prior Month'!A:A,'Prior Month'!E:E,0,0)</f>
        <v>256015.48</v>
      </c>
      <c r="J605" s="32">
        <f>_xlfn.XLOOKUP(A605,'Year end 2024'!A:A,'Year end 2024'!E:E,0,0)</f>
        <v>44878.080000000002</v>
      </c>
      <c r="K605" s="14">
        <f t="shared" si="18"/>
        <v>-42290.53</v>
      </c>
      <c r="L605" s="14">
        <f t="shared" si="19"/>
        <v>168846.87</v>
      </c>
    </row>
    <row r="606" spans="1:12" ht="35.15" customHeight="1" x14ac:dyDescent="0.4">
      <c r="A606" s="11" t="s">
        <v>1270</v>
      </c>
      <c r="B606" s="11" t="s">
        <v>1271</v>
      </c>
      <c r="C606" s="11" t="s">
        <v>67</v>
      </c>
      <c r="D606" s="11" t="s">
        <v>66</v>
      </c>
      <c r="E606" s="18" t="str">
        <f>_xlfn.XLOOKUP(A606,'Current Month'!A:A,'Current Month'!I:I,"")</f>
        <v/>
      </c>
      <c r="F606" s="21" t="str">
        <f>_xlfn.XLOOKUP(A606,'Prior Month'!A:A,'Prior Month'!I:I,"")</f>
        <v/>
      </c>
      <c r="G606" s="18" t="str">
        <f>_xlfn.XLOOKUP(A606,'Year end 2024'!A:A,'Year end 2024'!I:I,"")</f>
        <v/>
      </c>
      <c r="H606" s="19">
        <f>_xlfn.XLOOKUP(A606,'Current Month'!A:A,'Current Month'!E:E,0,0)</f>
        <v>89023.14</v>
      </c>
      <c r="I606" s="32">
        <f>_xlfn.XLOOKUP(A606,'Prior Month'!A:A,'Prior Month'!E:E,0,0)</f>
        <v>80395.91</v>
      </c>
      <c r="J606" s="32">
        <f>_xlfn.XLOOKUP(A606,'Year end 2024'!A:A,'Year end 2024'!E:E,0,0)</f>
        <v>59998.14</v>
      </c>
      <c r="K606" s="14">
        <f t="shared" si="18"/>
        <v>8627.2299999999959</v>
      </c>
      <c r="L606" s="14">
        <f t="shared" si="19"/>
        <v>29025</v>
      </c>
    </row>
    <row r="607" spans="1:12" ht="35.15" customHeight="1" x14ac:dyDescent="0.4">
      <c r="A607" s="11" t="s">
        <v>1272</v>
      </c>
      <c r="B607" s="11" t="s">
        <v>1273</v>
      </c>
      <c r="C607" s="11" t="s">
        <v>101</v>
      </c>
      <c r="D607" s="11" t="s">
        <v>100</v>
      </c>
      <c r="E607" s="18">
        <f>_xlfn.XLOOKUP(A607,'Current Month'!A:A,'Current Month'!I:I,"")</f>
        <v>0.12069153254520743</v>
      </c>
      <c r="F607" s="21">
        <f>_xlfn.XLOOKUP(A607,'Prior Month'!A:A,'Prior Month'!I:I,"")</f>
        <v>0.21599116763194268</v>
      </c>
      <c r="G607" s="18">
        <f>_xlfn.XLOOKUP(A607,'Year end 2024'!A:A,'Year end 2024'!I:I,"")</f>
        <v>0.11485983819440949</v>
      </c>
      <c r="H607" s="19">
        <f>_xlfn.XLOOKUP(A607,'Current Month'!A:A,'Current Month'!E:E,0,0)</f>
        <v>177499.9</v>
      </c>
      <c r="I607" s="32">
        <f>_xlfn.XLOOKUP(A607,'Prior Month'!A:A,'Prior Month'!E:E,0,0)</f>
        <v>318528.7</v>
      </c>
      <c r="J607" s="32">
        <f>_xlfn.XLOOKUP(A607,'Year end 2024'!A:A,'Year end 2024'!E:E,0,0)</f>
        <v>172400.79</v>
      </c>
      <c r="K607" s="14">
        <f t="shared" si="18"/>
        <v>-141028.80000000002</v>
      </c>
      <c r="L607" s="14">
        <f t="shared" si="19"/>
        <v>5099.109999999986</v>
      </c>
    </row>
    <row r="608" spans="1:12" ht="35.15" customHeight="1" x14ac:dyDescent="0.4">
      <c r="A608" s="11" t="s">
        <v>619</v>
      </c>
      <c r="B608" s="11" t="s">
        <v>1274</v>
      </c>
      <c r="C608" s="11" t="s">
        <v>259</v>
      </c>
      <c r="D608" s="11" t="s">
        <v>258</v>
      </c>
      <c r="E608" s="18" t="str">
        <f>_xlfn.XLOOKUP(A608,'Current Month'!A:A,'Current Month'!I:I,"")</f>
        <v/>
      </c>
      <c r="F608" s="21" t="str">
        <f>_xlfn.XLOOKUP(A608,'Prior Month'!A:A,'Prior Month'!I:I,"")</f>
        <v/>
      </c>
      <c r="G608" s="18" t="str">
        <f>_xlfn.XLOOKUP(A608,'Year end 2024'!A:A,'Year end 2024'!I:I,"")</f>
        <v/>
      </c>
      <c r="H608" s="19">
        <f>_xlfn.XLOOKUP(A608,'Current Month'!A:A,'Current Month'!E:E,0,0)</f>
        <v>2762421.44</v>
      </c>
      <c r="I608" s="32">
        <f>_xlfn.XLOOKUP(A608,'Prior Month'!A:A,'Prior Month'!E:E,0,0)</f>
        <v>2798576.21</v>
      </c>
      <c r="J608" s="32">
        <f>_xlfn.XLOOKUP(A608,'Year end 2024'!A:A,'Year end 2024'!E:E,0,0)</f>
        <v>3095676.62</v>
      </c>
      <c r="K608" s="14">
        <f t="shared" si="18"/>
        <v>-36154.770000000019</v>
      </c>
      <c r="L608" s="14">
        <f t="shared" si="19"/>
        <v>-333255.18000000017</v>
      </c>
    </row>
    <row r="609" spans="1:12" ht="35.15" customHeight="1" x14ac:dyDescent="0.4">
      <c r="A609" s="11" t="s">
        <v>1275</v>
      </c>
      <c r="B609" s="11" t="s">
        <v>1276</v>
      </c>
      <c r="C609" s="11" t="s">
        <v>67</v>
      </c>
      <c r="D609" s="11" t="s">
        <v>66</v>
      </c>
      <c r="E609" s="18">
        <f>_xlfn.XLOOKUP(A609,'Current Month'!A:A,'Current Month'!I:I,"")</f>
        <v>0.17314287079074955</v>
      </c>
      <c r="F609" s="21">
        <f>_xlfn.XLOOKUP(A609,'Prior Month'!A:A,'Prior Month'!I:I,"")</f>
        <v>0.18476798293052665</v>
      </c>
      <c r="G609" s="18">
        <f>_xlfn.XLOOKUP(A609,'Year end 2024'!A:A,'Year end 2024'!I:I,"")</f>
        <v>0.12872797384322171</v>
      </c>
      <c r="H609" s="19">
        <f>_xlfn.XLOOKUP(A609,'Current Month'!A:A,'Current Month'!E:E,0,0)</f>
        <v>7974.32</v>
      </c>
      <c r="I609" s="32">
        <f>_xlfn.XLOOKUP(A609,'Prior Month'!A:A,'Prior Month'!E:E,0,0)</f>
        <v>8763.49</v>
      </c>
      <c r="J609" s="32">
        <f>_xlfn.XLOOKUP(A609,'Year end 2024'!A:A,'Year end 2024'!E:E,0,0)</f>
        <v>10209.74</v>
      </c>
      <c r="K609" s="14">
        <f t="shared" si="18"/>
        <v>-789.17000000000007</v>
      </c>
      <c r="L609" s="14">
        <f t="shared" si="19"/>
        <v>-2235.42</v>
      </c>
    </row>
    <row r="610" spans="1:12" ht="35.15" customHeight="1" x14ac:dyDescent="0.4">
      <c r="A610" s="11" t="s">
        <v>1277</v>
      </c>
      <c r="B610" s="11" t="s">
        <v>1278</v>
      </c>
      <c r="C610" s="11" t="s">
        <v>19</v>
      </c>
      <c r="D610" s="11" t="s">
        <v>18</v>
      </c>
      <c r="E610" s="18">
        <f>_xlfn.XLOOKUP(A610,'Current Month'!A:A,'Current Month'!I:I,"")</f>
        <v>3.6274377484575213E-4</v>
      </c>
      <c r="F610" s="21">
        <f>_xlfn.XLOOKUP(A610,'Prior Month'!A:A,'Prior Month'!I:I,"")</f>
        <v>2.0698172878019018E-4</v>
      </c>
      <c r="G610" s="18">
        <f>_xlfn.XLOOKUP(A610,'Year end 2024'!A:A,'Year end 2024'!I:I,"")</f>
        <v>5.5685695226011028E-4</v>
      </c>
      <c r="H610" s="19">
        <f>_xlfn.XLOOKUP(A610,'Current Month'!A:A,'Current Month'!E:E,0,0)</f>
        <v>155.24</v>
      </c>
      <c r="I610" s="32">
        <f>_xlfn.XLOOKUP(A610,'Prior Month'!A:A,'Prior Month'!E:E,0,0)</f>
        <v>88.58</v>
      </c>
      <c r="J610" s="32">
        <f>_xlfn.XLOOKUP(A610,'Year end 2024'!A:A,'Year end 2024'!E:E,0,0)</f>
        <v>238.64</v>
      </c>
      <c r="K610" s="14">
        <f t="shared" si="18"/>
        <v>66.660000000000011</v>
      </c>
      <c r="L610" s="14">
        <f t="shared" si="19"/>
        <v>-83.399999999999977</v>
      </c>
    </row>
    <row r="611" spans="1:12" ht="35.15" customHeight="1" x14ac:dyDescent="0.4">
      <c r="A611" s="11" t="s">
        <v>1279</v>
      </c>
      <c r="B611" s="11" t="s">
        <v>1280</v>
      </c>
      <c r="C611" s="11" t="s">
        <v>51</v>
      </c>
      <c r="D611" s="11" t="s">
        <v>50</v>
      </c>
      <c r="E611" s="18">
        <f>_xlfn.XLOOKUP(A611,'Current Month'!A:A,'Current Month'!I:I,"")</f>
        <v>0</v>
      </c>
      <c r="F611" s="21">
        <f>_xlfn.XLOOKUP(A611,'Prior Month'!A:A,'Prior Month'!I:I,"")</f>
        <v>0</v>
      </c>
      <c r="G611" s="18">
        <f>_xlfn.XLOOKUP(A611,'Year end 2024'!A:A,'Year end 2024'!I:I,"")</f>
        <v>0</v>
      </c>
      <c r="H611" s="19">
        <f>_xlfn.XLOOKUP(A611,'Current Month'!A:A,'Current Month'!E:E,0,0)</f>
        <v>0</v>
      </c>
      <c r="I611" s="32">
        <f>_xlfn.XLOOKUP(A611,'Prior Month'!A:A,'Prior Month'!E:E,0,0)</f>
        <v>0</v>
      </c>
      <c r="J611" s="32">
        <f>_xlfn.XLOOKUP(A611,'Year end 2024'!A:A,'Year end 2024'!E:E,0,0)</f>
        <v>0</v>
      </c>
      <c r="K611" s="14">
        <f t="shared" si="18"/>
        <v>0</v>
      </c>
      <c r="L611" s="14">
        <f t="shared" si="19"/>
        <v>0</v>
      </c>
    </row>
    <row r="612" spans="1:12" ht="35.15" customHeight="1" x14ac:dyDescent="0.4">
      <c r="A612" s="11" t="s">
        <v>1281</v>
      </c>
      <c r="B612" s="11" t="s">
        <v>1282</v>
      </c>
      <c r="C612" s="11" t="s">
        <v>19</v>
      </c>
      <c r="D612" s="11" t="s">
        <v>18</v>
      </c>
      <c r="E612" s="18" t="str">
        <f>_xlfn.XLOOKUP(A612,'Current Month'!A:A,'Current Month'!I:I,"")</f>
        <v/>
      </c>
      <c r="F612" s="21" t="str">
        <f>_xlfn.XLOOKUP(A612,'Prior Month'!A:A,'Prior Month'!I:I,"")</f>
        <v/>
      </c>
      <c r="G612" s="18" t="str">
        <f>_xlfn.XLOOKUP(A612,'Year end 2024'!A:A,'Year end 2024'!I:I,"")</f>
        <v/>
      </c>
      <c r="H612" s="19">
        <f>_xlfn.XLOOKUP(A612,'Current Month'!A:A,'Current Month'!E:E,0,0)</f>
        <v>57584.24</v>
      </c>
      <c r="I612" s="32">
        <f>_xlfn.XLOOKUP(A612,'Prior Month'!A:A,'Prior Month'!E:E,0,0)</f>
        <v>31618.76</v>
      </c>
      <c r="J612" s="32">
        <f>_xlfn.XLOOKUP(A612,'Year end 2024'!A:A,'Year end 2024'!E:E,0,0)</f>
        <v>46247.75</v>
      </c>
      <c r="K612" s="14">
        <f t="shared" si="18"/>
        <v>25965.48</v>
      </c>
      <c r="L612" s="14">
        <f t="shared" si="19"/>
        <v>11336.489999999998</v>
      </c>
    </row>
    <row r="613" spans="1:12" ht="35.15" customHeight="1" x14ac:dyDescent="0.4">
      <c r="A613" s="11" t="s">
        <v>1283</v>
      </c>
      <c r="B613" s="11" t="s">
        <v>1284</v>
      </c>
      <c r="C613" s="11" t="s">
        <v>213</v>
      </c>
      <c r="D613" s="11" t="s">
        <v>212</v>
      </c>
      <c r="E613" s="18">
        <f>_xlfn.XLOOKUP(A613,'Current Month'!A:A,'Current Month'!I:I,"")</f>
        <v>1.6304436389618594E-4</v>
      </c>
      <c r="F613" s="21">
        <f>_xlfn.XLOOKUP(A613,'Prior Month'!A:A,'Prior Month'!I:I,"")</f>
        <v>1.0267039879280797E-4</v>
      </c>
      <c r="G613" s="18">
        <f>_xlfn.XLOOKUP(A613,'Year end 2024'!A:A,'Year end 2024'!I:I,"")</f>
        <v>5.3378175842448338E-3</v>
      </c>
      <c r="H613" s="19">
        <f>_xlfn.XLOOKUP(A613,'Current Month'!A:A,'Current Month'!E:E,0,0)</f>
        <v>782.92</v>
      </c>
      <c r="I613" s="32">
        <f>_xlfn.XLOOKUP(A613,'Prior Month'!A:A,'Prior Month'!E:E,0,0)</f>
        <v>494.68</v>
      </c>
      <c r="J613" s="32">
        <f>_xlfn.XLOOKUP(A613,'Year end 2024'!A:A,'Year end 2024'!E:E,0,0)</f>
        <v>24440.98</v>
      </c>
      <c r="K613" s="14">
        <f t="shared" si="18"/>
        <v>288.23999999999995</v>
      </c>
      <c r="L613" s="14">
        <f t="shared" si="19"/>
        <v>-23658.06</v>
      </c>
    </row>
    <row r="614" spans="1:12" ht="35.15" customHeight="1" x14ac:dyDescent="0.4">
      <c r="A614" s="11" t="s">
        <v>1285</v>
      </c>
      <c r="B614" s="11" t="s">
        <v>1286</v>
      </c>
      <c r="C614" s="11" t="s">
        <v>15</v>
      </c>
      <c r="D614" s="11" t="s">
        <v>14</v>
      </c>
      <c r="E614" s="18">
        <f>_xlfn.XLOOKUP(A614,'Current Month'!A:A,'Current Month'!I:I,"")</f>
        <v>2.0358506728842006E-2</v>
      </c>
      <c r="F614" s="21">
        <f>_xlfn.XLOOKUP(A614,'Prior Month'!A:A,'Prior Month'!I:I,"")</f>
        <v>1.6737225237781244E-2</v>
      </c>
      <c r="G614" s="18">
        <f>_xlfn.XLOOKUP(A614,'Year end 2024'!A:A,'Year end 2024'!I:I,"")</f>
        <v>1.9107514312325848E-2</v>
      </c>
      <c r="H614" s="19">
        <f>_xlfn.XLOOKUP(A614,'Current Month'!A:A,'Current Month'!E:E,0,0)</f>
        <v>56321.26</v>
      </c>
      <c r="I614" s="32">
        <f>_xlfn.XLOOKUP(A614,'Prior Month'!A:A,'Prior Month'!E:E,0,0)</f>
        <v>46414.48</v>
      </c>
      <c r="J614" s="32">
        <f>_xlfn.XLOOKUP(A614,'Year end 2024'!A:A,'Year end 2024'!E:E,0,0)</f>
        <v>53892.19</v>
      </c>
      <c r="K614" s="14">
        <f t="shared" si="18"/>
        <v>9906.7799999999988</v>
      </c>
      <c r="L614" s="14">
        <f t="shared" si="19"/>
        <v>2429.0699999999997</v>
      </c>
    </row>
    <row r="615" spans="1:12" ht="35.15" customHeight="1" x14ac:dyDescent="0.4">
      <c r="A615" s="11" t="s">
        <v>1287</v>
      </c>
      <c r="B615" s="11" t="s">
        <v>1288</v>
      </c>
      <c r="C615" s="11" t="s">
        <v>77</v>
      </c>
      <c r="D615" s="11" t="s">
        <v>76</v>
      </c>
      <c r="E615" s="18" t="str">
        <f>_xlfn.XLOOKUP(A615,'Current Month'!A:A,'Current Month'!I:I,"")</f>
        <v/>
      </c>
      <c r="F615" s="21" t="str">
        <f>_xlfn.XLOOKUP(A615,'Prior Month'!A:A,'Prior Month'!I:I,"")</f>
        <v/>
      </c>
      <c r="G615" s="18">
        <f>_xlfn.XLOOKUP(A615,'Year end 2024'!A:A,'Year end 2024'!I:I,"")</f>
        <v>0.25951455041554866</v>
      </c>
      <c r="H615" s="19">
        <f>_xlfn.XLOOKUP(A615,'Current Month'!A:A,'Current Month'!E:E,0,0)</f>
        <v>3151.45</v>
      </c>
      <c r="I615" s="32">
        <f>_xlfn.XLOOKUP(A615,'Prior Month'!A:A,'Prior Month'!E:E,0,0)</f>
        <v>4248.45</v>
      </c>
      <c r="J615" s="32">
        <f>_xlfn.XLOOKUP(A615,'Year end 2024'!A:A,'Year end 2024'!E:E,0,0)</f>
        <v>14413.08</v>
      </c>
      <c r="K615" s="14">
        <f t="shared" si="18"/>
        <v>-1097</v>
      </c>
      <c r="L615" s="14">
        <f t="shared" si="19"/>
        <v>-11261.630000000001</v>
      </c>
    </row>
    <row r="616" spans="1:12" ht="35.15" customHeight="1" x14ac:dyDescent="0.4">
      <c r="A616" s="11" t="s">
        <v>1289</v>
      </c>
      <c r="B616" s="11" t="s">
        <v>1290</v>
      </c>
      <c r="C616" s="11" t="s">
        <v>15</v>
      </c>
      <c r="D616" s="11" t="s">
        <v>14</v>
      </c>
      <c r="E616" s="18">
        <f>_xlfn.XLOOKUP(A616,'Current Month'!A:A,'Current Month'!I:I,"")</f>
        <v>0.16987659732457822</v>
      </c>
      <c r="F616" s="21">
        <f>_xlfn.XLOOKUP(A616,'Prior Month'!A:A,'Prior Month'!I:I,"")</f>
        <v>0.10165447966730537</v>
      </c>
      <c r="G616" s="18">
        <f>_xlfn.XLOOKUP(A616,'Year end 2024'!A:A,'Year end 2024'!I:I,"")</f>
        <v>0.12779040334629371</v>
      </c>
      <c r="H616" s="19">
        <f>_xlfn.XLOOKUP(A616,'Current Month'!A:A,'Current Month'!E:E,0,0)</f>
        <v>479203.92</v>
      </c>
      <c r="I616" s="32">
        <f>_xlfn.XLOOKUP(A616,'Prior Month'!A:A,'Prior Month'!E:E,0,0)</f>
        <v>288963.46000000002</v>
      </c>
      <c r="J616" s="32">
        <f>_xlfn.XLOOKUP(A616,'Year end 2024'!A:A,'Year end 2024'!E:E,0,0)</f>
        <v>384043.9</v>
      </c>
      <c r="K616" s="14">
        <f t="shared" si="18"/>
        <v>190240.45999999996</v>
      </c>
      <c r="L616" s="14">
        <f t="shared" si="19"/>
        <v>95160.01999999996</v>
      </c>
    </row>
    <row r="617" spans="1:12" ht="35.15" customHeight="1" x14ac:dyDescent="0.4">
      <c r="A617" s="11" t="s">
        <v>1291</v>
      </c>
      <c r="B617" s="11" t="s">
        <v>1292</v>
      </c>
      <c r="C617" s="11" t="s">
        <v>19</v>
      </c>
      <c r="D617" s="11" t="s">
        <v>18</v>
      </c>
      <c r="E617" s="18">
        <f>_xlfn.XLOOKUP(A617,'Current Month'!A:A,'Current Month'!I:I,"")</f>
        <v>0</v>
      </c>
      <c r="F617" s="21">
        <f>_xlfn.XLOOKUP(A617,'Prior Month'!A:A,'Prior Month'!I:I,"")</f>
        <v>0</v>
      </c>
      <c r="G617" s="18">
        <f>_xlfn.XLOOKUP(A617,'Year end 2024'!A:A,'Year end 2024'!I:I,"")</f>
        <v>0</v>
      </c>
      <c r="H617" s="19">
        <f>_xlfn.XLOOKUP(A617,'Current Month'!A:A,'Current Month'!E:E,0,0)</f>
        <v>0</v>
      </c>
      <c r="I617" s="32">
        <f>_xlfn.XLOOKUP(A617,'Prior Month'!A:A,'Prior Month'!E:E,0,0)</f>
        <v>0</v>
      </c>
      <c r="J617" s="32">
        <f>_xlfn.XLOOKUP(A617,'Year end 2024'!A:A,'Year end 2024'!E:E,0,0)</f>
        <v>0</v>
      </c>
      <c r="K617" s="14">
        <f t="shared" si="18"/>
        <v>0</v>
      </c>
      <c r="L617" s="14">
        <f t="shared" si="19"/>
        <v>0</v>
      </c>
    </row>
    <row r="618" spans="1:12" ht="35.15" customHeight="1" x14ac:dyDescent="0.4">
      <c r="A618" s="11" t="s">
        <v>1293</v>
      </c>
      <c r="B618" s="11" t="s">
        <v>1294</v>
      </c>
      <c r="C618" s="11" t="s">
        <v>253</v>
      </c>
      <c r="D618" s="11" t="s">
        <v>252</v>
      </c>
      <c r="E618" s="18">
        <f>_xlfn.XLOOKUP(A618,'Current Month'!A:A,'Current Month'!I:I,"")</f>
        <v>7.0995383543080035E-2</v>
      </c>
      <c r="F618" s="21">
        <f>_xlfn.XLOOKUP(A618,'Prior Month'!A:A,'Prior Month'!I:I,"")</f>
        <v>0.11654552211761841</v>
      </c>
      <c r="G618" s="18">
        <f>_xlfn.XLOOKUP(A618,'Year end 2024'!A:A,'Year end 2024'!I:I,"")</f>
        <v>3.8198205618773191E-2</v>
      </c>
      <c r="H618" s="19">
        <f>_xlfn.XLOOKUP(A618,'Current Month'!A:A,'Current Month'!E:E,0,0)</f>
        <v>133348.46</v>
      </c>
      <c r="I618" s="32">
        <f>_xlfn.XLOOKUP(A618,'Prior Month'!A:A,'Prior Month'!E:E,0,0)</f>
        <v>220107.14</v>
      </c>
      <c r="J618" s="32">
        <f>_xlfn.XLOOKUP(A618,'Year end 2024'!A:A,'Year end 2024'!E:E,0,0)</f>
        <v>75386.94</v>
      </c>
      <c r="K618" s="14">
        <f t="shared" si="18"/>
        <v>-86758.680000000022</v>
      </c>
      <c r="L618" s="14">
        <f t="shared" si="19"/>
        <v>57961.51999999999</v>
      </c>
    </row>
    <row r="619" spans="1:12" ht="35.15" customHeight="1" x14ac:dyDescent="0.4">
      <c r="A619" s="11" t="s">
        <v>1295</v>
      </c>
      <c r="B619" s="11" t="s">
        <v>1296</v>
      </c>
      <c r="C619" s="11" t="s">
        <v>19</v>
      </c>
      <c r="D619" s="11" t="s">
        <v>18</v>
      </c>
      <c r="E619" s="18">
        <f>_xlfn.XLOOKUP(A619,'Current Month'!A:A,'Current Month'!I:I,"")</f>
        <v>0</v>
      </c>
      <c r="F619" s="21">
        <f>_xlfn.XLOOKUP(A619,'Prior Month'!A:A,'Prior Month'!I:I,"")</f>
        <v>0</v>
      </c>
      <c r="G619" s="18">
        <f>_xlfn.XLOOKUP(A619,'Year end 2024'!A:A,'Year end 2024'!I:I,"")</f>
        <v>0</v>
      </c>
      <c r="H619" s="19">
        <f>_xlfn.XLOOKUP(A619,'Current Month'!A:A,'Current Month'!E:E,0,0)</f>
        <v>0</v>
      </c>
      <c r="I619" s="32">
        <f>_xlfn.XLOOKUP(A619,'Prior Month'!A:A,'Prior Month'!E:E,0,0)</f>
        <v>0</v>
      </c>
      <c r="J619" s="32">
        <f>_xlfn.XLOOKUP(A619,'Year end 2024'!A:A,'Year end 2024'!E:E,0,0)</f>
        <v>0</v>
      </c>
      <c r="K619" s="14">
        <f t="shared" si="18"/>
        <v>0</v>
      </c>
      <c r="L619" s="14">
        <f t="shared" si="19"/>
        <v>0</v>
      </c>
    </row>
    <row r="620" spans="1:12" ht="35.15" customHeight="1" x14ac:dyDescent="0.4">
      <c r="A620" s="11" t="s">
        <v>1297</v>
      </c>
      <c r="B620" s="11" t="s">
        <v>1298</v>
      </c>
      <c r="C620" s="11" t="s">
        <v>51</v>
      </c>
      <c r="D620" s="11" t="s">
        <v>50</v>
      </c>
      <c r="E620" s="18" t="str">
        <f>_xlfn.XLOOKUP(A620,'Current Month'!A:A,'Current Month'!I:I,"")</f>
        <v/>
      </c>
      <c r="F620" s="21" t="str">
        <f>_xlfn.XLOOKUP(A620,'Prior Month'!A:A,'Prior Month'!I:I,"")</f>
        <v/>
      </c>
      <c r="G620" s="18" t="str">
        <f>_xlfn.XLOOKUP(A620,'Year end 2024'!A:A,'Year end 2024'!I:I,"")</f>
        <v/>
      </c>
      <c r="H620" s="19">
        <f>_xlfn.XLOOKUP(A620,'Current Month'!A:A,'Current Month'!E:E,0,0)</f>
        <v>364931.75</v>
      </c>
      <c r="I620" s="32">
        <f>_xlfn.XLOOKUP(A620,'Prior Month'!A:A,'Prior Month'!E:E,0,0)</f>
        <v>205531.92</v>
      </c>
      <c r="J620" s="32">
        <f>_xlfn.XLOOKUP(A620,'Year end 2024'!A:A,'Year end 2024'!E:E,0,0)</f>
        <v>226266.47</v>
      </c>
      <c r="K620" s="14">
        <f t="shared" si="18"/>
        <v>159399.82999999999</v>
      </c>
      <c r="L620" s="14">
        <f t="shared" si="19"/>
        <v>138665.28</v>
      </c>
    </row>
    <row r="621" spans="1:12" ht="35.15" customHeight="1" x14ac:dyDescent="0.4">
      <c r="A621" s="11" t="s">
        <v>1299</v>
      </c>
      <c r="B621" s="11" t="s">
        <v>1300</v>
      </c>
      <c r="C621" s="11" t="s">
        <v>15</v>
      </c>
      <c r="D621" s="11" t="s">
        <v>14</v>
      </c>
      <c r="E621" s="18">
        <f>_xlfn.XLOOKUP(A621,'Current Month'!A:A,'Current Month'!I:I,"")</f>
        <v>0.56269792507648697</v>
      </c>
      <c r="F621" s="21">
        <f>_xlfn.XLOOKUP(A621,'Prior Month'!A:A,'Prior Month'!I:I,"")</f>
        <v>0.42803583941231244</v>
      </c>
      <c r="G621" s="18">
        <f>_xlfn.XLOOKUP(A621,'Year end 2024'!A:A,'Year end 2024'!I:I,"")</f>
        <v>0.16376154171626484</v>
      </c>
      <c r="H621" s="19">
        <f>_xlfn.XLOOKUP(A621,'Current Month'!A:A,'Current Month'!E:E,0,0)</f>
        <v>1287905.74</v>
      </c>
      <c r="I621" s="32">
        <f>_xlfn.XLOOKUP(A621,'Prior Month'!A:A,'Prior Month'!E:E,0,0)</f>
        <v>1000199.53</v>
      </c>
      <c r="J621" s="32">
        <f>_xlfn.XLOOKUP(A621,'Year end 2024'!A:A,'Year end 2024'!E:E,0,0)</f>
        <v>442439.1</v>
      </c>
      <c r="K621" s="14">
        <f t="shared" si="18"/>
        <v>287706.20999999996</v>
      </c>
      <c r="L621" s="14">
        <f t="shared" si="19"/>
        <v>845466.64</v>
      </c>
    </row>
    <row r="622" spans="1:12" ht="35.15" customHeight="1" x14ac:dyDescent="0.4">
      <c r="A622" s="11" t="s">
        <v>1301</v>
      </c>
      <c r="B622" s="11" t="s">
        <v>1302</v>
      </c>
      <c r="C622" s="11" t="s">
        <v>465</v>
      </c>
      <c r="D622" s="11" t="s">
        <v>464</v>
      </c>
      <c r="E622" s="18">
        <f>_xlfn.XLOOKUP(A622,'Current Month'!A:A,'Current Month'!I:I,"")</f>
        <v>0.48747959039748801</v>
      </c>
      <c r="F622" s="21">
        <f>_xlfn.XLOOKUP(A622,'Prior Month'!A:A,'Prior Month'!I:I,"")</f>
        <v>0.54290949771661901</v>
      </c>
      <c r="G622" s="18">
        <f>_xlfn.XLOOKUP(A622,'Year end 2024'!A:A,'Year end 2024'!I:I,"")</f>
        <v>0.55266479874213836</v>
      </c>
      <c r="H622" s="19">
        <f>_xlfn.XLOOKUP(A622,'Current Month'!A:A,'Current Month'!E:E,0,0)</f>
        <v>3679542.41</v>
      </c>
      <c r="I622" s="32">
        <f>_xlfn.XLOOKUP(A622,'Prior Month'!A:A,'Prior Month'!E:E,0,0)</f>
        <v>4104648.88</v>
      </c>
      <c r="J622" s="32">
        <f>_xlfn.XLOOKUP(A622,'Year end 2024'!A:A,'Year end 2024'!E:E,0,0)</f>
        <v>4393685.1500000004</v>
      </c>
      <c r="K622" s="14">
        <f t="shared" si="18"/>
        <v>-425106.46999999974</v>
      </c>
      <c r="L622" s="14">
        <f t="shared" si="19"/>
        <v>-714142.74000000022</v>
      </c>
    </row>
    <row r="623" spans="1:12" ht="35.15" customHeight="1" x14ac:dyDescent="0.4">
      <c r="A623" s="11" t="s">
        <v>1303</v>
      </c>
      <c r="B623" s="11" t="s">
        <v>1304</v>
      </c>
      <c r="C623" s="11" t="s">
        <v>213</v>
      </c>
      <c r="D623" s="11" t="s">
        <v>212</v>
      </c>
      <c r="E623" s="18" t="e">
        <f>_xlfn.XLOOKUP(A623,'Current Month'!A:A,'Current Month'!I:I,"")</f>
        <v>#DIV/0!</v>
      </c>
      <c r="F623" s="21" t="e">
        <f>_xlfn.XLOOKUP(A623,'Prior Month'!A:A,'Prior Month'!I:I,"")</f>
        <v>#DIV/0!</v>
      </c>
      <c r="G623" s="18">
        <f>_xlfn.XLOOKUP(A623,'Year end 2024'!A:A,'Year end 2024'!I:I,"")</f>
        <v>-1.4015446863707942E-3</v>
      </c>
      <c r="H623" s="19">
        <f>_xlfn.XLOOKUP(A623,'Current Month'!A:A,'Current Month'!E:E,0,0)</f>
        <v>0</v>
      </c>
      <c r="I623" s="32">
        <f>_xlfn.XLOOKUP(A623,'Prior Month'!A:A,'Prior Month'!E:E,0,0)</f>
        <v>0</v>
      </c>
      <c r="J623" s="32">
        <f>_xlfn.XLOOKUP(A623,'Year end 2024'!A:A,'Year end 2024'!E:E,0,0)</f>
        <v>-12224.04</v>
      </c>
      <c r="K623" s="14">
        <f t="shared" si="18"/>
        <v>0</v>
      </c>
      <c r="L623" s="14">
        <f t="shared" si="19"/>
        <v>12224.04</v>
      </c>
    </row>
    <row r="624" spans="1:12" ht="35.15" customHeight="1" x14ac:dyDescent="0.4">
      <c r="A624" s="11" t="s">
        <v>1305</v>
      </c>
      <c r="B624" s="11" t="s">
        <v>1306</v>
      </c>
      <c r="C624" s="11" t="s">
        <v>457</v>
      </c>
      <c r="D624" s="11" t="s">
        <v>456</v>
      </c>
      <c r="E624" s="18">
        <f>_xlfn.XLOOKUP(A624,'Current Month'!A:A,'Current Month'!I:I,"")</f>
        <v>0.76509886404825111</v>
      </c>
      <c r="F624" s="21">
        <f>_xlfn.XLOOKUP(A624,'Prior Month'!A:A,'Prior Month'!I:I,"")</f>
        <v>1.7745016578545536</v>
      </c>
      <c r="G624" s="18">
        <f>_xlfn.XLOOKUP(A624,'Year end 2024'!A:A,'Year end 2024'!I:I,"")</f>
        <v>0.91596569843573161</v>
      </c>
      <c r="H624" s="19">
        <f>_xlfn.XLOOKUP(A624,'Current Month'!A:A,'Current Month'!E:E,0,0)</f>
        <v>58364.84</v>
      </c>
      <c r="I624" s="32">
        <f>_xlfn.XLOOKUP(A624,'Prior Month'!A:A,'Prior Month'!E:E,0,0)</f>
        <v>137257.65</v>
      </c>
      <c r="J624" s="32">
        <f>_xlfn.XLOOKUP(A624,'Year end 2024'!A:A,'Year end 2024'!E:E,0,0)</f>
        <v>305261.69</v>
      </c>
      <c r="K624" s="14">
        <f t="shared" si="18"/>
        <v>-78892.81</v>
      </c>
      <c r="L624" s="14">
        <f t="shared" si="19"/>
        <v>-246896.85</v>
      </c>
    </row>
    <row r="625" spans="1:12" ht="35.15" customHeight="1" x14ac:dyDescent="0.4">
      <c r="A625" s="11" t="s">
        <v>1307</v>
      </c>
      <c r="B625" s="11" t="s">
        <v>1308</v>
      </c>
      <c r="C625" s="11" t="s">
        <v>385</v>
      </c>
      <c r="D625" s="11" t="s">
        <v>384</v>
      </c>
      <c r="E625" s="18" t="str">
        <f>_xlfn.XLOOKUP(A625,'Current Month'!A:A,'Current Month'!I:I,"")</f>
        <v/>
      </c>
      <c r="F625" s="21" t="str">
        <f>_xlfn.XLOOKUP(A625,'Prior Month'!A:A,'Prior Month'!I:I,"")</f>
        <v/>
      </c>
      <c r="G625" s="18">
        <f>_xlfn.XLOOKUP(A625,'Year end 2024'!A:A,'Year end 2024'!I:I,"")</f>
        <v>1.2432E-4</v>
      </c>
      <c r="H625" s="19">
        <f>_xlfn.XLOOKUP(A625,'Current Month'!A:A,'Current Month'!E:E,0,0)</f>
        <v>1.1599999999999999</v>
      </c>
      <c r="I625" s="32">
        <f>_xlfn.XLOOKUP(A625,'Prior Month'!A:A,'Prior Month'!E:E,0,0)</f>
        <v>4.1500000000000004</v>
      </c>
      <c r="J625" s="32">
        <f>_xlfn.XLOOKUP(A625,'Year end 2024'!A:A,'Year end 2024'!E:E,0,0)</f>
        <v>31.08</v>
      </c>
      <c r="K625" s="14">
        <f t="shared" si="18"/>
        <v>-2.99</v>
      </c>
      <c r="L625" s="14">
        <f t="shared" si="19"/>
        <v>-29.919999999999998</v>
      </c>
    </row>
    <row r="626" spans="1:12" ht="35.15" customHeight="1" x14ac:dyDescent="0.4">
      <c r="A626" s="11" t="s">
        <v>1309</v>
      </c>
      <c r="B626" s="11" t="s">
        <v>1310</v>
      </c>
      <c r="C626" s="11" t="s">
        <v>385</v>
      </c>
      <c r="D626" s="11" t="s">
        <v>384</v>
      </c>
      <c r="E626" s="18" t="str">
        <f>_xlfn.XLOOKUP(A626,'Current Month'!A:A,'Current Month'!I:I,"")</f>
        <v/>
      </c>
      <c r="F626" s="21" t="str">
        <f>_xlfn.XLOOKUP(A626,'Prior Month'!A:A,'Prior Month'!I:I,"")</f>
        <v/>
      </c>
      <c r="G626" s="18" t="str">
        <f>_xlfn.XLOOKUP(A626,'Year end 2024'!A:A,'Year end 2024'!I:I,"")</f>
        <v/>
      </c>
      <c r="H626" s="19">
        <f>_xlfn.XLOOKUP(A626,'Current Month'!A:A,'Current Month'!E:E,0,0)</f>
        <v>27180.25</v>
      </c>
      <c r="I626" s="32">
        <f>_xlfn.XLOOKUP(A626,'Prior Month'!A:A,'Prior Month'!E:E,0,0)</f>
        <v>35525.19</v>
      </c>
      <c r="J626" s="32">
        <f>_xlfn.XLOOKUP(A626,'Year end 2024'!A:A,'Year end 2024'!E:E,0,0)</f>
        <v>43044.93</v>
      </c>
      <c r="K626" s="14">
        <f t="shared" si="18"/>
        <v>-8344.9400000000023</v>
      </c>
      <c r="L626" s="14">
        <f t="shared" si="19"/>
        <v>-15864.68</v>
      </c>
    </row>
    <row r="627" spans="1:12" ht="35.15" customHeight="1" x14ac:dyDescent="0.4">
      <c r="A627" s="11" t="s">
        <v>1311</v>
      </c>
      <c r="B627" s="11" t="s">
        <v>1312</v>
      </c>
      <c r="C627" s="11" t="s">
        <v>253</v>
      </c>
      <c r="D627" s="11" t="s">
        <v>252</v>
      </c>
      <c r="E627" s="18">
        <f>_xlfn.XLOOKUP(A627,'Current Month'!A:A,'Current Month'!I:I,"")</f>
        <v>0.10439604090913851</v>
      </c>
      <c r="F627" s="21">
        <f>_xlfn.XLOOKUP(A627,'Prior Month'!A:A,'Prior Month'!I:I,"")</f>
        <v>0.14435829948572565</v>
      </c>
      <c r="G627" s="18">
        <f>_xlfn.XLOOKUP(A627,'Year end 2024'!A:A,'Year end 2024'!I:I,"")</f>
        <v>0.14523240303445209</v>
      </c>
      <c r="H627" s="19">
        <f>_xlfn.XLOOKUP(A627,'Current Month'!A:A,'Current Month'!E:E,0,0)</f>
        <v>78370.490000000005</v>
      </c>
      <c r="I627" s="32">
        <f>_xlfn.XLOOKUP(A627,'Prior Month'!A:A,'Prior Month'!E:E,0,0)</f>
        <v>108886.62</v>
      </c>
      <c r="J627" s="32">
        <f>_xlfn.XLOOKUP(A627,'Year end 2024'!A:A,'Year end 2024'!E:E,0,0)</f>
        <v>115721.78</v>
      </c>
      <c r="K627" s="14">
        <f t="shared" si="18"/>
        <v>-30516.12999999999</v>
      </c>
      <c r="L627" s="14">
        <f t="shared" si="19"/>
        <v>-37351.289999999994</v>
      </c>
    </row>
    <row r="628" spans="1:12" ht="35.15" customHeight="1" x14ac:dyDescent="0.4">
      <c r="A628" s="11" t="s">
        <v>1313</v>
      </c>
      <c r="B628" s="11" t="s">
        <v>1314</v>
      </c>
      <c r="C628" s="11" t="s">
        <v>77</v>
      </c>
      <c r="D628" s="11" t="s">
        <v>76</v>
      </c>
      <c r="E628" s="18" t="str">
        <f>_xlfn.XLOOKUP(A628,'Current Month'!A:A,'Current Month'!I:I,"")</f>
        <v/>
      </c>
      <c r="F628" s="21" t="str">
        <f>_xlfn.XLOOKUP(A628,'Prior Month'!A:A,'Prior Month'!I:I,"")</f>
        <v/>
      </c>
      <c r="G628" s="18" t="str">
        <f>_xlfn.XLOOKUP(A628,'Year end 2024'!A:A,'Year end 2024'!I:I,"")</f>
        <v/>
      </c>
      <c r="H628" s="19">
        <f>_xlfn.XLOOKUP(A628,'Current Month'!A:A,'Current Month'!E:E,0,0)</f>
        <v>141144.59</v>
      </c>
      <c r="I628" s="32">
        <f>_xlfn.XLOOKUP(A628,'Prior Month'!A:A,'Prior Month'!E:E,0,0)</f>
        <v>122342.85</v>
      </c>
      <c r="J628" s="32">
        <f>_xlfn.XLOOKUP(A628,'Year end 2024'!A:A,'Year end 2024'!E:E,0,0)</f>
        <v>130561.26</v>
      </c>
      <c r="K628" s="14">
        <f t="shared" si="18"/>
        <v>18801.739999999991</v>
      </c>
      <c r="L628" s="14">
        <f t="shared" si="19"/>
        <v>10583.330000000002</v>
      </c>
    </row>
    <row r="629" spans="1:12" ht="35.15" customHeight="1" x14ac:dyDescent="0.4">
      <c r="A629" s="11" t="s">
        <v>1315</v>
      </c>
      <c r="B629" s="11" t="s">
        <v>1316</v>
      </c>
      <c r="C629" s="11" t="s">
        <v>465</v>
      </c>
      <c r="D629" s="11" t="s">
        <v>464</v>
      </c>
      <c r="E629" s="18">
        <f>_xlfn.XLOOKUP(A629,'Current Month'!A:A,'Current Month'!I:I,"")</f>
        <v>4.1396169684564305E-2</v>
      </c>
      <c r="F629" s="21">
        <f>_xlfn.XLOOKUP(A629,'Prior Month'!A:A,'Prior Month'!I:I,"")</f>
        <v>4.4267410501651235E-3</v>
      </c>
      <c r="G629" s="18">
        <f>_xlfn.XLOOKUP(A629,'Year end 2024'!A:A,'Year end 2024'!I:I,"")</f>
        <v>6.7819283628565725E-3</v>
      </c>
      <c r="H629" s="19">
        <f>_xlfn.XLOOKUP(A629,'Current Month'!A:A,'Current Month'!E:E,0,0)</f>
        <v>55869.83</v>
      </c>
      <c r="I629" s="32">
        <f>_xlfn.XLOOKUP(A629,'Prior Month'!A:A,'Prior Month'!E:E,0,0)</f>
        <v>5990.63</v>
      </c>
      <c r="J629" s="32">
        <f>_xlfn.XLOOKUP(A629,'Year end 2024'!A:A,'Year end 2024'!E:E,0,0)</f>
        <v>9373.9</v>
      </c>
      <c r="K629" s="14">
        <f t="shared" si="18"/>
        <v>49879.200000000004</v>
      </c>
      <c r="L629" s="14">
        <f t="shared" si="19"/>
        <v>46495.93</v>
      </c>
    </row>
    <row r="630" spans="1:12" ht="35.15" customHeight="1" x14ac:dyDescent="0.4">
      <c r="A630" s="11" t="s">
        <v>1317</v>
      </c>
      <c r="B630" s="11" t="s">
        <v>1318</v>
      </c>
      <c r="C630" s="11" t="s">
        <v>259</v>
      </c>
      <c r="D630" s="11" t="s">
        <v>258</v>
      </c>
      <c r="E630" s="18">
        <f>_xlfn.XLOOKUP(A630,'Current Month'!A:A,'Current Month'!I:I,"")</f>
        <v>0</v>
      </c>
      <c r="F630" s="21">
        <f>_xlfn.XLOOKUP(A630,'Prior Month'!A:A,'Prior Month'!I:I,"")</f>
        <v>0</v>
      </c>
      <c r="G630" s="18">
        <f>_xlfn.XLOOKUP(A630,'Year end 2024'!A:A,'Year end 2024'!I:I,"")</f>
        <v>0</v>
      </c>
      <c r="H630" s="19">
        <f>_xlfn.XLOOKUP(A630,'Current Month'!A:A,'Current Month'!E:E,0,0)</f>
        <v>0</v>
      </c>
      <c r="I630" s="32">
        <f>_xlfn.XLOOKUP(A630,'Prior Month'!A:A,'Prior Month'!E:E,0,0)</f>
        <v>0</v>
      </c>
      <c r="J630" s="32">
        <f>_xlfn.XLOOKUP(A630,'Year end 2024'!A:A,'Year end 2024'!E:E,0,0)</f>
        <v>0</v>
      </c>
      <c r="K630" s="14">
        <f t="shared" si="18"/>
        <v>0</v>
      </c>
      <c r="L630" s="14">
        <f t="shared" si="19"/>
        <v>0</v>
      </c>
    </row>
    <row r="631" spans="1:12" ht="35.15" customHeight="1" x14ac:dyDescent="0.4">
      <c r="A631" s="11" t="s">
        <v>1319</v>
      </c>
      <c r="B631" s="11" t="s">
        <v>1320</v>
      </c>
      <c r="C631" s="11" t="s">
        <v>57</v>
      </c>
      <c r="D631" s="11" t="s">
        <v>56</v>
      </c>
      <c r="E631" s="18">
        <f>_xlfn.XLOOKUP(A631,'Current Month'!A:A,'Current Month'!I:I,"")</f>
        <v>120.34678</v>
      </c>
      <c r="F631" s="21">
        <f>_xlfn.XLOOKUP(A631,'Prior Month'!A:A,'Prior Month'!I:I,"")</f>
        <v>121.929565</v>
      </c>
      <c r="G631" s="18">
        <f>_xlfn.XLOOKUP(A631,'Year end 2024'!A:A,'Year end 2024'!I:I,"")</f>
        <v>152.99214499999999</v>
      </c>
      <c r="H631" s="19">
        <f>_xlfn.XLOOKUP(A631,'Current Month'!A:A,'Current Month'!E:E,0,0)</f>
        <v>240693.56</v>
      </c>
      <c r="I631" s="32">
        <f>_xlfn.XLOOKUP(A631,'Prior Month'!A:A,'Prior Month'!E:E,0,0)</f>
        <v>243859.13</v>
      </c>
      <c r="J631" s="32">
        <f>_xlfn.XLOOKUP(A631,'Year end 2024'!A:A,'Year end 2024'!E:E,0,0)</f>
        <v>305984.28999999998</v>
      </c>
      <c r="K631" s="14">
        <f t="shared" si="18"/>
        <v>-3165.570000000007</v>
      </c>
      <c r="L631" s="14">
        <f t="shared" si="19"/>
        <v>-65290.729999999981</v>
      </c>
    </row>
    <row r="632" spans="1:12" ht="35.15" customHeight="1" x14ac:dyDescent="0.4">
      <c r="A632" s="11" t="s">
        <v>1321</v>
      </c>
      <c r="B632" s="11" t="s">
        <v>1322</v>
      </c>
      <c r="C632" s="11" t="s">
        <v>213</v>
      </c>
      <c r="D632" s="11" t="s">
        <v>212</v>
      </c>
      <c r="E632" s="18">
        <f>_xlfn.XLOOKUP(A632,'Current Month'!A:A,'Current Month'!I:I,"")</f>
        <v>8.9816211638110308E-2</v>
      </c>
      <c r="F632" s="21">
        <f>_xlfn.XLOOKUP(A632,'Prior Month'!A:A,'Prior Month'!I:I,"")</f>
        <v>6.9808921615113609E-2</v>
      </c>
      <c r="G632" s="18">
        <f>_xlfn.XLOOKUP(A632,'Year end 2024'!A:A,'Year end 2024'!I:I,"")</f>
        <v>4.7109379613528124E-2</v>
      </c>
      <c r="H632" s="19">
        <f>_xlfn.XLOOKUP(A632,'Current Month'!A:A,'Current Month'!E:E,0,0)</f>
        <v>191486.41</v>
      </c>
      <c r="I632" s="32">
        <f>_xlfn.XLOOKUP(A632,'Prior Month'!A:A,'Prior Month'!E:E,0,0)</f>
        <v>149809.21</v>
      </c>
      <c r="J632" s="32">
        <f>_xlfn.XLOOKUP(A632,'Year end 2024'!A:A,'Year end 2024'!E:E,0,0)</f>
        <v>105198.67</v>
      </c>
      <c r="K632" s="14">
        <f t="shared" si="18"/>
        <v>41677.200000000012</v>
      </c>
      <c r="L632" s="14">
        <f t="shared" si="19"/>
        <v>86287.74</v>
      </c>
    </row>
    <row r="633" spans="1:12" ht="35.15" customHeight="1" x14ac:dyDescent="0.4">
      <c r="A633" s="11" t="s">
        <v>1323</v>
      </c>
      <c r="B633" s="11" t="s">
        <v>1324</v>
      </c>
      <c r="C633" s="11" t="s">
        <v>253</v>
      </c>
      <c r="D633" s="11" t="s">
        <v>252</v>
      </c>
      <c r="E633" s="18">
        <f>_xlfn.XLOOKUP(A633,'Current Month'!A:A,'Current Month'!I:I,"")</f>
        <v>202.59303333333332</v>
      </c>
      <c r="F633" s="21">
        <f>_xlfn.XLOOKUP(A633,'Prior Month'!A:A,'Prior Month'!I:I,"")</f>
        <v>201.59671333333333</v>
      </c>
      <c r="G633" s="18">
        <f>_xlfn.XLOOKUP(A633,'Year end 2024'!A:A,'Year end 2024'!I:I,"")</f>
        <v>3.3470487159552365</v>
      </c>
      <c r="H633" s="19">
        <f>_xlfn.XLOOKUP(A633,'Current Month'!A:A,'Current Month'!E:E,0,0)</f>
        <v>607779.1</v>
      </c>
      <c r="I633" s="32">
        <f>_xlfn.XLOOKUP(A633,'Prior Month'!A:A,'Prior Month'!E:E,0,0)</f>
        <v>604790.14</v>
      </c>
      <c r="J633" s="32">
        <f>_xlfn.XLOOKUP(A633,'Year end 2024'!A:A,'Year end 2024'!E:E,0,0)</f>
        <v>907174.98</v>
      </c>
      <c r="K633" s="14">
        <f t="shared" si="18"/>
        <v>2988.9599999999627</v>
      </c>
      <c r="L633" s="14">
        <f t="shared" si="19"/>
        <v>-299395.88</v>
      </c>
    </row>
    <row r="634" spans="1:12" ht="35.15" customHeight="1" x14ac:dyDescent="0.4">
      <c r="A634" s="11" t="s">
        <v>1325</v>
      </c>
      <c r="B634" s="11" t="s">
        <v>1326</v>
      </c>
      <c r="C634" s="11" t="s">
        <v>457</v>
      </c>
      <c r="D634" s="11" t="s">
        <v>456</v>
      </c>
      <c r="E634" s="18">
        <f>_xlfn.XLOOKUP(A634,'Current Month'!A:A,'Current Month'!I:I,"")</f>
        <v>0.28488055318413463</v>
      </c>
      <c r="F634" s="21">
        <f>_xlfn.XLOOKUP(A634,'Prior Month'!A:A,'Prior Month'!I:I,"")</f>
        <v>0.11091556945233488</v>
      </c>
      <c r="G634" s="18">
        <f>_xlfn.XLOOKUP(A634,'Year end 2024'!A:A,'Year end 2024'!I:I,"")</f>
        <v>6.2917401623839159E-2</v>
      </c>
      <c r="H634" s="19">
        <f>_xlfn.XLOOKUP(A634,'Current Month'!A:A,'Current Month'!E:E,0,0)</f>
        <v>340647.4</v>
      </c>
      <c r="I634" s="32">
        <f>_xlfn.XLOOKUP(A634,'Prior Month'!A:A,'Prior Month'!E:E,0,0)</f>
        <v>134761.28</v>
      </c>
      <c r="J634" s="32">
        <f>_xlfn.XLOOKUP(A634,'Year end 2024'!A:A,'Year end 2024'!E:E,0,0)</f>
        <v>85790.95</v>
      </c>
      <c r="K634" s="14">
        <f t="shared" ref="K634:K696" si="20">IFERROR(SUM(H634-I634),H634)</f>
        <v>205886.12000000002</v>
      </c>
      <c r="L634" s="14">
        <f t="shared" ref="L634:L696" si="21">IFERROR(SUM(H634-J634),H634)</f>
        <v>254856.45</v>
      </c>
    </row>
    <row r="635" spans="1:12" ht="35.15" customHeight="1" x14ac:dyDescent="0.4">
      <c r="A635" s="11" t="s">
        <v>1327</v>
      </c>
      <c r="B635" s="11" t="s">
        <v>1328</v>
      </c>
      <c r="C635" s="11" t="s">
        <v>465</v>
      </c>
      <c r="D635" s="11" t="s">
        <v>464</v>
      </c>
      <c r="E635" s="18">
        <f>_xlfn.XLOOKUP(A635,'Current Month'!A:A,'Current Month'!I:I,"")</f>
        <v>7.6900588732420255E-2</v>
      </c>
      <c r="F635" s="21">
        <f>_xlfn.XLOOKUP(A635,'Prior Month'!A:A,'Prior Month'!I:I,"")</f>
        <v>0.17715563275090185</v>
      </c>
      <c r="G635" s="18">
        <f>_xlfn.XLOOKUP(A635,'Year end 2024'!A:A,'Year end 2024'!I:I,"")</f>
        <v>0.11640573663576712</v>
      </c>
      <c r="H635" s="19">
        <f>_xlfn.XLOOKUP(A635,'Current Month'!A:A,'Current Month'!E:E,0,0)</f>
        <v>117308.02</v>
      </c>
      <c r="I635" s="32">
        <f>_xlfn.XLOOKUP(A635,'Prior Month'!A:A,'Prior Month'!E:E,0,0)</f>
        <v>281393.55</v>
      </c>
      <c r="J635" s="32">
        <f>_xlfn.XLOOKUP(A635,'Year end 2024'!A:A,'Year end 2024'!E:E,0,0)</f>
        <v>248926.29</v>
      </c>
      <c r="K635" s="14">
        <f t="shared" si="20"/>
        <v>-164085.52999999997</v>
      </c>
      <c r="L635" s="14">
        <f t="shared" si="21"/>
        <v>-131618.27000000002</v>
      </c>
    </row>
    <row r="636" spans="1:12" ht="35.15" customHeight="1" x14ac:dyDescent="0.4">
      <c r="A636" s="11" t="s">
        <v>1329</v>
      </c>
      <c r="B636" s="11" t="s">
        <v>1330</v>
      </c>
      <c r="C636" s="11" t="s">
        <v>465</v>
      </c>
      <c r="D636" s="11" t="s">
        <v>464</v>
      </c>
      <c r="E636" s="18">
        <f>_xlfn.XLOOKUP(A636,'Current Month'!A:A,'Current Month'!I:I,"")</f>
        <v>0.33931263433937608</v>
      </c>
      <c r="F636" s="21">
        <f>_xlfn.XLOOKUP(A636,'Prior Month'!A:A,'Prior Month'!I:I,"")</f>
        <v>0.33662420440263524</v>
      </c>
      <c r="G636" s="18">
        <f>_xlfn.XLOOKUP(A636,'Year end 2024'!A:A,'Year end 2024'!I:I,"")</f>
        <v>0.12298281507482392</v>
      </c>
      <c r="H636" s="19">
        <f>_xlfn.XLOOKUP(A636,'Current Month'!A:A,'Current Month'!E:E,0,0)</f>
        <v>466236.58</v>
      </c>
      <c r="I636" s="32">
        <f>_xlfn.XLOOKUP(A636,'Prior Month'!A:A,'Prior Month'!E:E,0,0)</f>
        <v>465002.86</v>
      </c>
      <c r="J636" s="32">
        <f>_xlfn.XLOOKUP(A636,'Year end 2024'!A:A,'Year end 2024'!E:E,0,0)</f>
        <v>456993.75</v>
      </c>
      <c r="K636" s="14">
        <f t="shared" si="20"/>
        <v>1233.7200000000303</v>
      </c>
      <c r="L636" s="14">
        <f t="shared" si="21"/>
        <v>9242.8300000000163</v>
      </c>
    </row>
    <row r="637" spans="1:12" ht="35.15" customHeight="1" x14ac:dyDescent="0.4">
      <c r="A637" s="11" t="s">
        <v>1331</v>
      </c>
      <c r="B637" s="11" t="s">
        <v>1332</v>
      </c>
      <c r="C637" s="11" t="s">
        <v>57</v>
      </c>
      <c r="D637" s="11" t="s">
        <v>56</v>
      </c>
      <c r="E637" s="18">
        <f>_xlfn.XLOOKUP(A637,'Current Month'!A:A,'Current Month'!I:I,"")</f>
        <v>0</v>
      </c>
      <c r="F637" s="21">
        <f>_xlfn.XLOOKUP(A637,'Prior Month'!A:A,'Prior Month'!I:I,"")</f>
        <v>0</v>
      </c>
      <c r="G637" s="18">
        <f>_xlfn.XLOOKUP(A637,'Year end 2024'!A:A,'Year end 2024'!I:I,"")</f>
        <v>0</v>
      </c>
      <c r="H637" s="19">
        <f>_xlfn.XLOOKUP(A637,'Current Month'!A:A,'Current Month'!E:E,0,0)</f>
        <v>0</v>
      </c>
      <c r="I637" s="32">
        <f>_xlfn.XLOOKUP(A637,'Prior Month'!A:A,'Prior Month'!E:E,0,0)</f>
        <v>0</v>
      </c>
      <c r="J637" s="32">
        <f>_xlfn.XLOOKUP(A637,'Year end 2024'!A:A,'Year end 2024'!E:E,0,0)</f>
        <v>0</v>
      </c>
      <c r="K637" s="14">
        <f t="shared" si="20"/>
        <v>0</v>
      </c>
      <c r="L637" s="14">
        <f t="shared" si="21"/>
        <v>0</v>
      </c>
    </row>
    <row r="638" spans="1:12" ht="35.15" customHeight="1" x14ac:dyDescent="0.4">
      <c r="A638" s="11" t="s">
        <v>1333</v>
      </c>
      <c r="B638" s="11" t="s">
        <v>1334</v>
      </c>
      <c r="C638" s="11" t="s">
        <v>101</v>
      </c>
      <c r="D638" s="11" t="s">
        <v>100</v>
      </c>
      <c r="E638" s="18">
        <f>_xlfn.XLOOKUP(A638,'Current Month'!A:A,'Current Month'!I:I,"")</f>
        <v>1.5071071093278619E-2</v>
      </c>
      <c r="F638" s="21">
        <f>_xlfn.XLOOKUP(A638,'Prior Month'!A:A,'Prior Month'!I:I,"")</f>
        <v>1.5015092747060086E-2</v>
      </c>
      <c r="G638" s="18">
        <f>_xlfn.XLOOKUP(A638,'Year end 2024'!A:A,'Year end 2024'!I:I,"")</f>
        <v>1.4501965099142094E-2</v>
      </c>
      <c r="H638" s="19">
        <f>_xlfn.XLOOKUP(A638,'Current Month'!A:A,'Current Month'!E:E,0,0)</f>
        <v>74888.86</v>
      </c>
      <c r="I638" s="32">
        <f>_xlfn.XLOOKUP(A638,'Prior Month'!A:A,'Prior Month'!E:E,0,0)</f>
        <v>74858.600000000006</v>
      </c>
      <c r="J638" s="32">
        <f>_xlfn.XLOOKUP(A638,'Year end 2024'!A:A,'Year end 2024'!E:E,0,0)</f>
        <v>74587.740000000005</v>
      </c>
      <c r="K638" s="14">
        <f t="shared" si="20"/>
        <v>30.259999999994761</v>
      </c>
      <c r="L638" s="14">
        <f t="shared" si="21"/>
        <v>301.11999999999534</v>
      </c>
    </row>
    <row r="639" spans="1:12" ht="35.15" customHeight="1" x14ac:dyDescent="0.4">
      <c r="A639" s="11" t="s">
        <v>1335</v>
      </c>
      <c r="B639" s="11" t="s">
        <v>1336</v>
      </c>
      <c r="C639" s="11" t="s">
        <v>213</v>
      </c>
      <c r="D639" s="11" t="s">
        <v>212</v>
      </c>
      <c r="E639" s="18">
        <f>_xlfn.XLOOKUP(A639,'Current Month'!A:A,'Current Month'!I:I,"")</f>
        <v>2.6584836803970478E-4</v>
      </c>
      <c r="F639" s="21">
        <f>_xlfn.XLOOKUP(A639,'Prior Month'!A:A,'Prior Month'!I:I,"")</f>
        <v>2.6703554090331502E-4</v>
      </c>
      <c r="G639" s="18">
        <f>_xlfn.XLOOKUP(A639,'Year end 2024'!A:A,'Year end 2024'!I:I,"")</f>
        <v>3.4303609828889868E-4</v>
      </c>
      <c r="H639" s="19">
        <f>_xlfn.XLOOKUP(A639,'Current Month'!A:A,'Current Month'!E:E,0,0)</f>
        <v>2239.34</v>
      </c>
      <c r="I639" s="32">
        <f>_xlfn.XLOOKUP(A639,'Prior Month'!A:A,'Prior Month'!E:E,0,0)</f>
        <v>2249.34</v>
      </c>
      <c r="J639" s="32">
        <f>_xlfn.XLOOKUP(A639,'Year end 2024'!A:A,'Year end 2024'!E:E,0,0)</f>
        <v>2887.38</v>
      </c>
      <c r="K639" s="14">
        <f t="shared" si="20"/>
        <v>-10</v>
      </c>
      <c r="L639" s="14">
        <f t="shared" si="21"/>
        <v>-648.04</v>
      </c>
    </row>
    <row r="640" spans="1:12" ht="35.15" customHeight="1" x14ac:dyDescent="0.4">
      <c r="A640" s="11" t="s">
        <v>1337</v>
      </c>
      <c r="B640" s="11" t="s">
        <v>1338</v>
      </c>
      <c r="C640" s="11" t="s">
        <v>101</v>
      </c>
      <c r="D640" s="11" t="s">
        <v>100</v>
      </c>
      <c r="E640" s="18" t="str">
        <f>_xlfn.XLOOKUP(A640,'Current Month'!A:A,'Current Month'!I:I,"")</f>
        <v/>
      </c>
      <c r="F640" s="21" t="str">
        <f>_xlfn.XLOOKUP(A640,'Prior Month'!A:A,'Prior Month'!I:I,"")</f>
        <v/>
      </c>
      <c r="G640" s="18">
        <f>_xlfn.XLOOKUP(A640,'Year end 2024'!A:A,'Year end 2024'!I:I,"")</f>
        <v>0.37734286903775544</v>
      </c>
      <c r="H640" s="19">
        <f>_xlfn.XLOOKUP(A640,'Current Month'!A:A,'Current Month'!E:E,0,0)</f>
        <v>653882.11</v>
      </c>
      <c r="I640" s="32">
        <f>_xlfn.XLOOKUP(A640,'Prior Month'!A:A,'Prior Month'!E:E,0,0)</f>
        <v>1912829.31</v>
      </c>
      <c r="J640" s="32">
        <f>_xlfn.XLOOKUP(A640,'Year end 2024'!A:A,'Year end 2024'!E:E,0,0)</f>
        <v>312989.02</v>
      </c>
      <c r="K640" s="14">
        <f t="shared" si="20"/>
        <v>-1258947.2000000002</v>
      </c>
      <c r="L640" s="14">
        <f t="shared" si="21"/>
        <v>340893.08999999997</v>
      </c>
    </row>
    <row r="641" spans="1:12" ht="35.15" customHeight="1" x14ac:dyDescent="0.4">
      <c r="A641" s="11" t="s">
        <v>1339</v>
      </c>
      <c r="B641" s="11" t="s">
        <v>1340</v>
      </c>
      <c r="C641" s="11" t="s">
        <v>213</v>
      </c>
      <c r="D641" s="11" t="s">
        <v>212</v>
      </c>
      <c r="E641" s="18">
        <f>_xlfn.XLOOKUP(A641,'Current Month'!A:A,'Current Month'!I:I,"")</f>
        <v>0.43801413782732512</v>
      </c>
      <c r="F641" s="21">
        <f>_xlfn.XLOOKUP(A641,'Prior Month'!A:A,'Prior Month'!I:I,"")</f>
        <v>0.66829207499568233</v>
      </c>
      <c r="G641" s="18">
        <f>_xlfn.XLOOKUP(A641,'Year end 2024'!A:A,'Year end 2024'!I:I,"")</f>
        <v>0.25374441539835585</v>
      </c>
      <c r="H641" s="19">
        <f>_xlfn.XLOOKUP(A641,'Current Month'!A:A,'Current Month'!E:E,0,0)</f>
        <v>185789.29</v>
      </c>
      <c r="I641" s="32">
        <f>_xlfn.XLOOKUP(A641,'Prior Month'!A:A,'Prior Month'!E:E,0,0)</f>
        <v>285225.3</v>
      </c>
      <c r="J641" s="32">
        <f>_xlfn.XLOOKUP(A641,'Year end 2024'!A:A,'Year end 2024'!E:E,0,0)</f>
        <v>164446.97</v>
      </c>
      <c r="K641" s="14">
        <f t="shared" si="20"/>
        <v>-99436.00999999998</v>
      </c>
      <c r="L641" s="14">
        <f t="shared" si="21"/>
        <v>21342.320000000007</v>
      </c>
    </row>
    <row r="642" spans="1:12" ht="35.15" customHeight="1" x14ac:dyDescent="0.4">
      <c r="A642" s="11" t="s">
        <v>1341</v>
      </c>
      <c r="B642" s="11" t="s">
        <v>1342</v>
      </c>
      <c r="C642" s="11" t="s">
        <v>213</v>
      </c>
      <c r="D642" s="11" t="s">
        <v>212</v>
      </c>
      <c r="E642" s="18">
        <f>_xlfn.XLOOKUP(A642,'Current Month'!A:A,'Current Month'!I:I,"")</f>
        <v>1.2671047962363893E-2</v>
      </c>
      <c r="F642" s="21">
        <f>_xlfn.XLOOKUP(A642,'Prior Month'!A:A,'Prior Month'!I:I,"")</f>
        <v>2.4531347903553592E-2</v>
      </c>
      <c r="G642" s="18">
        <f>_xlfn.XLOOKUP(A642,'Year end 2024'!A:A,'Year end 2024'!I:I,"")</f>
        <v>-3.8343228279798421E-2</v>
      </c>
      <c r="H642" s="19">
        <f>_xlfn.XLOOKUP(A642,'Current Month'!A:A,'Current Month'!E:E,0,0)</f>
        <v>2605.5500000000002</v>
      </c>
      <c r="I642" s="32">
        <f>_xlfn.XLOOKUP(A642,'Prior Month'!A:A,'Prior Month'!E:E,0,0)</f>
        <v>5130.74</v>
      </c>
      <c r="J642" s="32">
        <f>_xlfn.XLOOKUP(A642,'Year end 2024'!A:A,'Year end 2024'!E:E,0,0)</f>
        <v>-8329.3799999999992</v>
      </c>
      <c r="K642" s="14">
        <f t="shared" si="20"/>
        <v>-2525.1899999999996</v>
      </c>
      <c r="L642" s="14">
        <f t="shared" si="21"/>
        <v>10934.93</v>
      </c>
    </row>
    <row r="643" spans="1:12" ht="35.15" customHeight="1" x14ac:dyDescent="0.4">
      <c r="A643" s="11" t="s">
        <v>1343</v>
      </c>
      <c r="B643" s="11" t="s">
        <v>1344</v>
      </c>
      <c r="C643" s="11" t="s">
        <v>19</v>
      </c>
      <c r="D643" s="11" t="s">
        <v>18</v>
      </c>
      <c r="E643" s="18" t="str">
        <f>_xlfn.XLOOKUP(A643,'Current Month'!A:A,'Current Month'!I:I,"")</f>
        <v/>
      </c>
      <c r="F643" s="21" t="str">
        <f>_xlfn.XLOOKUP(A643,'Prior Month'!A:A,'Prior Month'!I:I,"")</f>
        <v/>
      </c>
      <c r="G643" s="18" t="str">
        <f>_xlfn.XLOOKUP(A643,'Year end 2024'!A:A,'Year end 2024'!I:I,"")</f>
        <v/>
      </c>
      <c r="H643" s="19">
        <f>_xlfn.XLOOKUP(A643,'Current Month'!A:A,'Current Month'!E:E,0,0)</f>
        <v>2321.0700000000002</v>
      </c>
      <c r="I643" s="32">
        <f>_xlfn.XLOOKUP(A643,'Prior Month'!A:A,'Prior Month'!E:E,0,0)</f>
        <v>2331.0700000000002</v>
      </c>
      <c r="J643" s="32">
        <f>_xlfn.XLOOKUP(A643,'Year end 2024'!A:A,'Year end 2024'!E:E,0,0)</f>
        <v>2421.0700000000002</v>
      </c>
      <c r="K643" s="14">
        <f t="shared" si="20"/>
        <v>-10</v>
      </c>
      <c r="L643" s="14">
        <f t="shared" si="21"/>
        <v>-100</v>
      </c>
    </row>
    <row r="644" spans="1:12" ht="35.15" customHeight="1" x14ac:dyDescent="0.4">
      <c r="A644" s="11" t="s">
        <v>1345</v>
      </c>
      <c r="B644" s="11" t="s">
        <v>1346</v>
      </c>
      <c r="C644" s="11" t="s">
        <v>29</v>
      </c>
      <c r="D644" s="11" t="s">
        <v>28</v>
      </c>
      <c r="E644" s="18">
        <f>_xlfn.XLOOKUP(A644,'Current Month'!A:A,'Current Month'!I:I,"")</f>
        <v>9.6802584828232882E-2</v>
      </c>
      <c r="F644" s="21">
        <f>_xlfn.XLOOKUP(A644,'Prior Month'!A:A,'Prior Month'!I:I,"")</f>
        <v>0.17153686308771784</v>
      </c>
      <c r="G644" s="18">
        <f>_xlfn.XLOOKUP(A644,'Year end 2024'!A:A,'Year end 2024'!I:I,"")</f>
        <v>0.11170254430585448</v>
      </c>
      <c r="H644" s="19">
        <f>_xlfn.XLOOKUP(A644,'Current Month'!A:A,'Current Month'!E:E,0,0)</f>
        <v>1160.3599999999999</v>
      </c>
      <c r="I644" s="32">
        <f>_xlfn.XLOOKUP(A644,'Prior Month'!A:A,'Prior Month'!E:E,0,0)</f>
        <v>2147.94</v>
      </c>
      <c r="J644" s="32">
        <f>_xlfn.XLOOKUP(A644,'Year end 2024'!A:A,'Year end 2024'!E:E,0,0)</f>
        <v>1910.92</v>
      </c>
      <c r="K644" s="14">
        <f t="shared" si="20"/>
        <v>-987.58000000000015</v>
      </c>
      <c r="L644" s="14">
        <f t="shared" si="21"/>
        <v>-750.56000000000017</v>
      </c>
    </row>
    <row r="645" spans="1:12" ht="35.15" customHeight="1" x14ac:dyDescent="0.4">
      <c r="A645" s="11" t="s">
        <v>1347</v>
      </c>
      <c r="B645" s="11" t="s">
        <v>1348</v>
      </c>
      <c r="C645" s="11" t="s">
        <v>19</v>
      </c>
      <c r="D645" s="11" t="s">
        <v>18</v>
      </c>
      <c r="E645" s="18">
        <f>_xlfn.XLOOKUP(A645,'Current Month'!A:A,'Current Month'!I:I,"")</f>
        <v>0.24536493509303323</v>
      </c>
      <c r="F645" s="21">
        <f>_xlfn.XLOOKUP(A645,'Prior Month'!A:A,'Prior Month'!I:I,"")</f>
        <v>0.26979801968502021</v>
      </c>
      <c r="G645" s="18">
        <f>_xlfn.XLOOKUP(A645,'Year end 2024'!A:A,'Year end 2024'!I:I,"")</f>
        <v>0.22166641841402265</v>
      </c>
      <c r="H645" s="19">
        <f>_xlfn.XLOOKUP(A645,'Current Month'!A:A,'Current Month'!E:E,0,0)</f>
        <v>160132.39000000001</v>
      </c>
      <c r="I645" s="32">
        <f>_xlfn.XLOOKUP(A645,'Prior Month'!A:A,'Prior Month'!E:E,0,0)</f>
        <v>177231.83</v>
      </c>
      <c r="J645" s="32">
        <f>_xlfn.XLOOKUP(A645,'Year end 2024'!A:A,'Year end 2024'!E:E,0,0)</f>
        <v>153654.34</v>
      </c>
      <c r="K645" s="14">
        <f t="shared" si="20"/>
        <v>-17099.439999999973</v>
      </c>
      <c r="L645" s="14">
        <f t="shared" si="21"/>
        <v>6478.0500000000175</v>
      </c>
    </row>
    <row r="646" spans="1:12" ht="35.15" customHeight="1" x14ac:dyDescent="0.4">
      <c r="A646" s="11" t="s">
        <v>1349</v>
      </c>
      <c r="B646" s="11" t="s">
        <v>1350</v>
      </c>
      <c r="C646" s="11" t="s">
        <v>253</v>
      </c>
      <c r="D646" s="11" t="s">
        <v>252</v>
      </c>
      <c r="E646" s="18">
        <f>_xlfn.XLOOKUP(A646,'Current Month'!A:A,'Current Month'!I:I,"")</f>
        <v>5.7999999999999996E-3</v>
      </c>
      <c r="F646" s="21" t="str">
        <f>_xlfn.XLOOKUP(A646,'Prior Month'!A:A,'Prior Month'!I:I,"")</f>
        <v/>
      </c>
      <c r="G646" s="18" t="str">
        <f>_xlfn.XLOOKUP(A646,'Year end 2024'!A:A,'Year end 2024'!I:I,"")</f>
        <v/>
      </c>
      <c r="H646" s="19">
        <f>_xlfn.XLOOKUP(A646,'Current Month'!A:A,'Current Month'!E:E,0,0)</f>
        <v>2900</v>
      </c>
      <c r="I646" s="32">
        <f>_xlfn.XLOOKUP(A646,'Prior Month'!A:A,'Prior Month'!E:E,0,0)</f>
        <v>0</v>
      </c>
      <c r="J646" s="32">
        <f>_xlfn.XLOOKUP(A646,'Year end 2024'!A:A,'Year end 2024'!E:E,0,0)</f>
        <v>0</v>
      </c>
      <c r="K646" s="14">
        <f t="shared" si="20"/>
        <v>2900</v>
      </c>
      <c r="L646" s="14">
        <f t="shared" si="21"/>
        <v>2900</v>
      </c>
    </row>
    <row r="647" spans="1:12" ht="35.15" customHeight="1" x14ac:dyDescent="0.4">
      <c r="A647" s="11" t="s">
        <v>1351</v>
      </c>
      <c r="B647" s="11" t="s">
        <v>1352</v>
      </c>
      <c r="C647" s="11" t="s">
        <v>213</v>
      </c>
      <c r="D647" s="11" t="s">
        <v>212</v>
      </c>
      <c r="E647" s="18">
        <f>_xlfn.XLOOKUP(A647,'Current Month'!A:A,'Current Month'!I:I,"")</f>
        <v>6.405508387003514E-2</v>
      </c>
      <c r="F647" s="21">
        <f>_xlfn.XLOOKUP(A647,'Prior Month'!A:A,'Prior Month'!I:I,"")</f>
        <v>7.7611198938814394E-2</v>
      </c>
      <c r="G647" s="18">
        <f>_xlfn.XLOOKUP(A647,'Year end 2024'!A:A,'Year end 2024'!I:I,"")</f>
        <v>0.10440549308942092</v>
      </c>
      <c r="H647" s="19">
        <f>_xlfn.XLOOKUP(A647,'Current Month'!A:A,'Current Month'!E:E,0,0)</f>
        <v>42247.43</v>
      </c>
      <c r="I647" s="32">
        <f>_xlfn.XLOOKUP(A647,'Prior Month'!A:A,'Prior Month'!E:E,0,0)</f>
        <v>51218.82</v>
      </c>
      <c r="J647" s="32">
        <f>_xlfn.XLOOKUP(A647,'Year end 2024'!A:A,'Year end 2024'!E:E,0,0)</f>
        <v>72630.22</v>
      </c>
      <c r="K647" s="14">
        <f t="shared" si="20"/>
        <v>-8971.39</v>
      </c>
      <c r="L647" s="14">
        <f t="shared" si="21"/>
        <v>-30382.79</v>
      </c>
    </row>
    <row r="648" spans="1:12" ht="35.15" customHeight="1" x14ac:dyDescent="0.4">
      <c r="A648" s="11" t="s">
        <v>1353</v>
      </c>
      <c r="B648" s="11" t="s">
        <v>1354</v>
      </c>
      <c r="C648" s="11" t="s">
        <v>15</v>
      </c>
      <c r="D648" s="11" t="s">
        <v>14</v>
      </c>
      <c r="E648" s="18">
        <f>_xlfn.XLOOKUP(A648,'Current Month'!A:A,'Current Month'!I:I,"")</f>
        <v>0.18112709723924134</v>
      </c>
      <c r="F648" s="21">
        <f>_xlfn.XLOOKUP(A648,'Prior Month'!A:A,'Prior Month'!I:I,"")</f>
        <v>0.21053863999033071</v>
      </c>
      <c r="G648" s="18">
        <f>_xlfn.XLOOKUP(A648,'Year end 2024'!A:A,'Year end 2024'!I:I,"")</f>
        <v>9.4412831405851216E-2</v>
      </c>
      <c r="H648" s="19">
        <f>_xlfn.XLOOKUP(A648,'Current Month'!A:A,'Current Month'!E:E,0,0)</f>
        <v>258944.31</v>
      </c>
      <c r="I648" s="32">
        <f>_xlfn.XLOOKUP(A648,'Prior Month'!A:A,'Prior Month'!E:E,0,0)</f>
        <v>310809.08</v>
      </c>
      <c r="J648" s="32">
        <f>_xlfn.XLOOKUP(A648,'Year end 2024'!A:A,'Year end 2024'!E:E,0,0)</f>
        <v>178191.28</v>
      </c>
      <c r="K648" s="14">
        <f t="shared" si="20"/>
        <v>-51864.770000000019</v>
      </c>
      <c r="L648" s="14">
        <f t="shared" si="21"/>
        <v>80753.03</v>
      </c>
    </row>
    <row r="649" spans="1:12" ht="35.15" customHeight="1" x14ac:dyDescent="0.4">
      <c r="A649" s="11" t="s">
        <v>1355</v>
      </c>
      <c r="B649" s="11" t="s">
        <v>1356</v>
      </c>
      <c r="C649" s="11" t="s">
        <v>253</v>
      </c>
      <c r="D649" s="11" t="s">
        <v>252</v>
      </c>
      <c r="E649" s="18">
        <f>_xlfn.XLOOKUP(A649,'Current Month'!A:A,'Current Month'!I:I,"")</f>
        <v>5.5450145392390269</v>
      </c>
      <c r="F649" s="21">
        <f>_xlfn.XLOOKUP(A649,'Prior Month'!A:A,'Prior Month'!I:I,"")</f>
        <v>5.2230371844017549</v>
      </c>
      <c r="G649" s="18">
        <f>_xlfn.XLOOKUP(A649,'Year end 2024'!A:A,'Year end 2024'!I:I,"")</f>
        <v>3.4484698785340058</v>
      </c>
      <c r="H649" s="19">
        <f>_xlfn.XLOOKUP(A649,'Current Month'!A:A,'Current Month'!E:E,0,0)</f>
        <v>1494486.33</v>
      </c>
      <c r="I649" s="32">
        <f>_xlfn.XLOOKUP(A649,'Prior Month'!A:A,'Prior Month'!E:E,0,0)</f>
        <v>1419948.73</v>
      </c>
      <c r="J649" s="32">
        <f>_xlfn.XLOOKUP(A649,'Year end 2024'!A:A,'Year end 2024'!E:E,0,0)</f>
        <v>1004004.28</v>
      </c>
      <c r="K649" s="14">
        <f t="shared" si="20"/>
        <v>74537.600000000093</v>
      </c>
      <c r="L649" s="14">
        <f t="shared" si="21"/>
        <v>490482.05000000005</v>
      </c>
    </row>
    <row r="650" spans="1:12" ht="35.15" customHeight="1" x14ac:dyDescent="0.4">
      <c r="A650" s="11" t="s">
        <v>1357</v>
      </c>
      <c r="B650" s="11" t="s">
        <v>1358</v>
      </c>
      <c r="C650" s="11" t="s">
        <v>109</v>
      </c>
      <c r="D650" s="11" t="s">
        <v>108</v>
      </c>
      <c r="E650" s="18" t="str">
        <f>_xlfn.XLOOKUP(A650,'Current Month'!A:A,'Current Month'!I:I,"")</f>
        <v/>
      </c>
      <c r="F650" s="21" t="str">
        <f>_xlfn.XLOOKUP(A650,'Prior Month'!A:A,'Prior Month'!I:I,"")</f>
        <v/>
      </c>
      <c r="G650" s="18" t="str">
        <f>_xlfn.XLOOKUP(A650,'Year end 2024'!A:A,'Year end 2024'!I:I,"")</f>
        <v/>
      </c>
      <c r="H650" s="19">
        <f>_xlfn.XLOOKUP(A650,'Current Month'!A:A,'Current Month'!E:E,0,0)</f>
        <v>1001832.72</v>
      </c>
      <c r="I650" s="32">
        <f>_xlfn.XLOOKUP(A650,'Prior Month'!A:A,'Prior Month'!E:E,0,0)</f>
        <v>1065463.28</v>
      </c>
      <c r="J650" s="32">
        <f>_xlfn.XLOOKUP(A650,'Year end 2024'!A:A,'Year end 2024'!E:E,0,0)</f>
        <v>1267790.1200000001</v>
      </c>
      <c r="K650" s="14">
        <f t="shared" si="20"/>
        <v>-63630.560000000056</v>
      </c>
      <c r="L650" s="14">
        <f t="shared" si="21"/>
        <v>-265957.40000000014</v>
      </c>
    </row>
    <row r="651" spans="1:12" ht="35.15" customHeight="1" x14ac:dyDescent="0.4">
      <c r="A651" s="11" t="s">
        <v>1359</v>
      </c>
      <c r="B651" s="11" t="s">
        <v>1360</v>
      </c>
      <c r="C651" s="11" t="s">
        <v>67</v>
      </c>
      <c r="D651" s="11" t="s">
        <v>66</v>
      </c>
      <c r="E651" s="18">
        <f>_xlfn.XLOOKUP(A651,'Current Month'!A:A,'Current Month'!I:I,"")</f>
        <v>0</v>
      </c>
      <c r="F651" s="21">
        <f>_xlfn.XLOOKUP(A651,'Prior Month'!A:A,'Prior Month'!I:I,"")</f>
        <v>0</v>
      </c>
      <c r="G651" s="18">
        <f>_xlfn.XLOOKUP(A651,'Year end 2024'!A:A,'Year end 2024'!I:I,"")</f>
        <v>0</v>
      </c>
      <c r="H651" s="19">
        <f>_xlfn.XLOOKUP(A651,'Current Month'!A:A,'Current Month'!E:E,0,0)</f>
        <v>0</v>
      </c>
      <c r="I651" s="32">
        <f>_xlfn.XLOOKUP(A651,'Prior Month'!A:A,'Prior Month'!E:E,0,0)</f>
        <v>0</v>
      </c>
      <c r="J651" s="32">
        <f>_xlfn.XLOOKUP(A651,'Year end 2024'!A:A,'Year end 2024'!E:E,0,0)</f>
        <v>0</v>
      </c>
      <c r="K651" s="14">
        <f t="shared" si="20"/>
        <v>0</v>
      </c>
      <c r="L651" s="14">
        <f t="shared" si="21"/>
        <v>0</v>
      </c>
    </row>
    <row r="652" spans="1:12" ht="35.15" customHeight="1" x14ac:dyDescent="0.4">
      <c r="A652" s="11" t="s">
        <v>1361</v>
      </c>
      <c r="B652" s="11" t="s">
        <v>1362</v>
      </c>
      <c r="C652" s="11" t="s">
        <v>51</v>
      </c>
      <c r="D652" s="11" t="s">
        <v>50</v>
      </c>
      <c r="E652" s="18">
        <f>_xlfn.XLOOKUP(A652,'Current Month'!A:A,'Current Month'!I:I,"")</f>
        <v>0</v>
      </c>
      <c r="F652" s="21">
        <f>_xlfn.XLOOKUP(A652,'Prior Month'!A:A,'Prior Month'!I:I,"")</f>
        <v>0</v>
      </c>
      <c r="G652" s="18">
        <f>_xlfn.XLOOKUP(A652,'Year end 2024'!A:A,'Year end 2024'!I:I,"")</f>
        <v>0</v>
      </c>
      <c r="H652" s="19">
        <f>_xlfn.XLOOKUP(A652,'Current Month'!A:A,'Current Month'!E:E,0,0)</f>
        <v>0</v>
      </c>
      <c r="I652" s="32">
        <f>_xlfn.XLOOKUP(A652,'Prior Month'!A:A,'Prior Month'!E:E,0,0)</f>
        <v>0</v>
      </c>
      <c r="J652" s="32">
        <f>_xlfn.XLOOKUP(A652,'Year end 2024'!A:A,'Year end 2024'!E:E,0,0)</f>
        <v>0</v>
      </c>
      <c r="K652" s="14">
        <f t="shared" si="20"/>
        <v>0</v>
      </c>
      <c r="L652" s="14">
        <f t="shared" si="21"/>
        <v>0</v>
      </c>
    </row>
    <row r="653" spans="1:12" ht="35.15" customHeight="1" x14ac:dyDescent="0.4">
      <c r="A653" s="11" t="s">
        <v>1363</v>
      </c>
      <c r="B653" s="11" t="s">
        <v>1364</v>
      </c>
      <c r="C653" s="11" t="s">
        <v>385</v>
      </c>
      <c r="D653" s="11" t="s">
        <v>384</v>
      </c>
      <c r="E653" s="18">
        <f>_xlfn.XLOOKUP(A653,'Current Month'!A:A,'Current Month'!I:I,"")</f>
        <v>0</v>
      </c>
      <c r="F653" s="21">
        <f>_xlfn.XLOOKUP(A653,'Prior Month'!A:A,'Prior Month'!I:I,"")</f>
        <v>0</v>
      </c>
      <c r="G653" s="18">
        <f>_xlfn.XLOOKUP(A653,'Year end 2024'!A:A,'Year end 2024'!I:I,"")</f>
        <v>0</v>
      </c>
      <c r="H653" s="19">
        <f>_xlfn.XLOOKUP(A653,'Current Month'!A:A,'Current Month'!E:E,0,0)</f>
        <v>0</v>
      </c>
      <c r="I653" s="32">
        <f>_xlfn.XLOOKUP(A653,'Prior Month'!A:A,'Prior Month'!E:E,0,0)</f>
        <v>0</v>
      </c>
      <c r="J653" s="32">
        <f>_xlfn.XLOOKUP(A653,'Year end 2024'!A:A,'Year end 2024'!E:E,0,0)</f>
        <v>0</v>
      </c>
      <c r="K653" s="14">
        <f t="shared" si="20"/>
        <v>0</v>
      </c>
      <c r="L653" s="14">
        <f t="shared" si="21"/>
        <v>0</v>
      </c>
    </row>
    <row r="654" spans="1:12" ht="35.15" customHeight="1" x14ac:dyDescent="0.4">
      <c r="A654" s="11" t="s">
        <v>1365</v>
      </c>
      <c r="B654" s="11" t="s">
        <v>1366</v>
      </c>
      <c r="C654" s="11" t="s">
        <v>109</v>
      </c>
      <c r="D654" s="11" t="s">
        <v>108</v>
      </c>
      <c r="E654" s="18" t="str">
        <f>_xlfn.XLOOKUP(A654,'Current Month'!A:A,'Current Month'!I:I,"")</f>
        <v/>
      </c>
      <c r="F654" s="21">
        <f>_xlfn.XLOOKUP(A654,'Prior Month'!A:A,'Prior Month'!I:I,"")</f>
        <v>1.1937519245039812</v>
      </c>
      <c r="G654" s="18">
        <f>_xlfn.XLOOKUP(A654,'Year end 2024'!A:A,'Year end 2024'!I:I,"")</f>
        <v>0.55791904117187296</v>
      </c>
      <c r="H654" s="19">
        <f>_xlfn.XLOOKUP(A654,'Current Month'!A:A,'Current Month'!E:E,0,0)</f>
        <v>67814.679999999993</v>
      </c>
      <c r="I654" s="32">
        <f>_xlfn.XLOOKUP(A654,'Prior Month'!A:A,'Prior Month'!E:E,0,0)</f>
        <v>219970.59</v>
      </c>
      <c r="J654" s="32">
        <f>_xlfn.XLOOKUP(A654,'Year end 2024'!A:A,'Year end 2024'!E:E,0,0)</f>
        <v>109205.55</v>
      </c>
      <c r="K654" s="14">
        <f t="shared" si="20"/>
        <v>-152155.91</v>
      </c>
      <c r="L654" s="14">
        <f t="shared" si="21"/>
        <v>-41390.87000000001</v>
      </c>
    </row>
    <row r="655" spans="1:12" ht="35.15" customHeight="1" x14ac:dyDescent="0.4">
      <c r="A655" s="11" t="s">
        <v>1367</v>
      </c>
      <c r="B655" s="11" t="s">
        <v>1368</v>
      </c>
      <c r="C655" s="11" t="s">
        <v>15</v>
      </c>
      <c r="D655" s="11" t="s">
        <v>14</v>
      </c>
      <c r="E655" s="18" t="str">
        <f>_xlfn.XLOOKUP(A655,'Current Month'!A:A,'Current Month'!I:I,"")</f>
        <v/>
      </c>
      <c r="F655" s="21" t="str">
        <f>_xlfn.XLOOKUP(A655,'Prior Month'!A:A,'Prior Month'!I:I,"")</f>
        <v/>
      </c>
      <c r="G655" s="18" t="str">
        <f>_xlfn.XLOOKUP(A655,'Year end 2024'!A:A,'Year end 2024'!I:I,"")</f>
        <v/>
      </c>
      <c r="H655" s="19">
        <f>_xlfn.XLOOKUP(A655,'Current Month'!A:A,'Current Month'!E:E,0,0)</f>
        <v>2739.04</v>
      </c>
      <c r="I655" s="32">
        <f>_xlfn.XLOOKUP(A655,'Prior Month'!A:A,'Prior Month'!E:E,0,0)</f>
        <v>366.3</v>
      </c>
      <c r="J655" s="32">
        <f>_xlfn.XLOOKUP(A655,'Year end 2024'!A:A,'Year end 2024'!E:E,0,0)</f>
        <v>986600.77</v>
      </c>
      <c r="K655" s="14">
        <f t="shared" si="20"/>
        <v>2372.7399999999998</v>
      </c>
      <c r="L655" s="14">
        <f t="shared" si="21"/>
        <v>-983861.73</v>
      </c>
    </row>
    <row r="656" spans="1:12" ht="35.15" customHeight="1" x14ac:dyDescent="0.4">
      <c r="A656" s="11" t="s">
        <v>1369</v>
      </c>
      <c r="B656" s="11" t="s">
        <v>1370</v>
      </c>
      <c r="C656" s="11" t="s">
        <v>213</v>
      </c>
      <c r="D656" s="11" t="s">
        <v>212</v>
      </c>
      <c r="E656" s="18">
        <f>_xlfn.XLOOKUP(A656,'Current Month'!A:A,'Current Month'!I:I,"")</f>
        <v>3.578327426244129E-4</v>
      </c>
      <c r="F656" s="21">
        <f>_xlfn.XLOOKUP(A656,'Prior Month'!A:A,'Prior Month'!I:I,"")</f>
        <v>4.3974918621203039E-3</v>
      </c>
      <c r="G656" s="18">
        <f>_xlfn.XLOOKUP(A656,'Year end 2024'!A:A,'Year end 2024'!I:I,"")</f>
        <v>9.9370789661794596E-3</v>
      </c>
      <c r="H656" s="19">
        <f>_xlfn.XLOOKUP(A656,'Current Month'!A:A,'Current Month'!E:E,0,0)</f>
        <v>157.63</v>
      </c>
      <c r="I656" s="32">
        <f>_xlfn.XLOOKUP(A656,'Prior Month'!A:A,'Prior Month'!E:E,0,0)</f>
        <v>1943.29</v>
      </c>
      <c r="J656" s="32">
        <f>_xlfn.XLOOKUP(A656,'Year end 2024'!A:A,'Year end 2024'!E:E,0,0)</f>
        <v>4510.21</v>
      </c>
      <c r="K656" s="14">
        <f t="shared" si="20"/>
        <v>-1785.6599999999999</v>
      </c>
      <c r="L656" s="14">
        <f t="shared" si="21"/>
        <v>-4352.58</v>
      </c>
    </row>
    <row r="657" spans="1:12" ht="35.15" customHeight="1" x14ac:dyDescent="0.4">
      <c r="A657" s="11" t="s">
        <v>1371</v>
      </c>
      <c r="B657" s="11" t="s">
        <v>1372</v>
      </c>
      <c r="C657" s="11" t="s">
        <v>15</v>
      </c>
      <c r="D657" s="11" t="s">
        <v>14</v>
      </c>
      <c r="E657" s="18">
        <f>_xlfn.XLOOKUP(A657,'Current Month'!A:A,'Current Month'!I:I,"")</f>
        <v>1.342192977376293E-3</v>
      </c>
      <c r="F657" s="21">
        <f>_xlfn.XLOOKUP(A657,'Prior Month'!A:A,'Prior Month'!I:I,"")</f>
        <v>1.3224749832069151E-3</v>
      </c>
      <c r="G657" s="18" t="str">
        <f>_xlfn.XLOOKUP(A657,'Year end 2024'!A:A,'Year end 2024'!I:I,"")</f>
        <v/>
      </c>
      <c r="H657" s="19">
        <f>_xlfn.XLOOKUP(A657,'Current Month'!A:A,'Current Month'!E:E,0,0)</f>
        <v>10000</v>
      </c>
      <c r="I657" s="32">
        <f>_xlfn.XLOOKUP(A657,'Prior Month'!A:A,'Prior Month'!E:E,0,0)</f>
        <v>10000</v>
      </c>
      <c r="J657" s="32">
        <f>_xlfn.XLOOKUP(A657,'Year end 2024'!A:A,'Year end 2024'!E:E,0,0)</f>
        <v>10000</v>
      </c>
      <c r="K657" s="14">
        <f t="shared" si="20"/>
        <v>0</v>
      </c>
      <c r="L657" s="14">
        <f t="shared" si="21"/>
        <v>0</v>
      </c>
    </row>
    <row r="658" spans="1:12" ht="35.15" customHeight="1" x14ac:dyDescent="0.4">
      <c r="A658" s="11" t="s">
        <v>1373</v>
      </c>
      <c r="B658" s="11" t="s">
        <v>1374</v>
      </c>
      <c r="C658" s="11" t="s">
        <v>642</v>
      </c>
      <c r="D658" s="11" t="s">
        <v>641</v>
      </c>
      <c r="E658" s="18">
        <f>_xlfn.XLOOKUP(A658,'Current Month'!A:A,'Current Month'!I:I,"")</f>
        <v>0.12697690655468427</v>
      </c>
      <c r="F658" s="21">
        <f>_xlfn.XLOOKUP(A658,'Prior Month'!A:A,'Prior Month'!I:I,"")</f>
        <v>0.10136774582543792</v>
      </c>
      <c r="G658" s="18">
        <f>_xlfn.XLOOKUP(A658,'Year end 2024'!A:A,'Year end 2024'!I:I,"")</f>
        <v>7.6812401955541287E-2</v>
      </c>
      <c r="H658" s="19">
        <f>_xlfn.XLOOKUP(A658,'Current Month'!A:A,'Current Month'!E:E,0,0)</f>
        <v>8689.61</v>
      </c>
      <c r="I658" s="32">
        <f>_xlfn.XLOOKUP(A658,'Prior Month'!A:A,'Prior Month'!E:E,0,0)</f>
        <v>7007.31</v>
      </c>
      <c r="J658" s="32">
        <f>_xlfn.XLOOKUP(A658,'Year end 2024'!A:A,'Year end 2024'!E:E,0,0)</f>
        <v>5515.45</v>
      </c>
      <c r="K658" s="14">
        <f t="shared" si="20"/>
        <v>1682.3000000000002</v>
      </c>
      <c r="L658" s="14">
        <f t="shared" si="21"/>
        <v>3174.1600000000008</v>
      </c>
    </row>
    <row r="659" spans="1:12" ht="35.15" customHeight="1" x14ac:dyDescent="0.4">
      <c r="A659" s="11" t="s">
        <v>1375</v>
      </c>
      <c r="B659" s="11" t="s">
        <v>1376</v>
      </c>
      <c r="C659" s="11" t="s">
        <v>57</v>
      </c>
      <c r="D659" s="11" t="s">
        <v>56</v>
      </c>
      <c r="E659" s="18">
        <f>_xlfn.XLOOKUP(A659,'Current Month'!A:A,'Current Month'!I:I,"")</f>
        <v>1.8153324093924212</v>
      </c>
      <c r="F659" s="21">
        <f>_xlfn.XLOOKUP(A659,'Prior Month'!A:A,'Prior Month'!I:I,"")</f>
        <v>1.0255615845813857</v>
      </c>
      <c r="G659" s="18">
        <f>_xlfn.XLOOKUP(A659,'Year end 2024'!A:A,'Year end 2024'!I:I,"")</f>
        <v>0.91497751148062223</v>
      </c>
      <c r="H659" s="19">
        <f>_xlfn.XLOOKUP(A659,'Current Month'!A:A,'Current Month'!E:E,0,0)</f>
        <v>202921.56</v>
      </c>
      <c r="I659" s="32">
        <f>_xlfn.XLOOKUP(A659,'Prior Month'!A:A,'Prior Month'!E:E,0,0)</f>
        <v>115260.6</v>
      </c>
      <c r="J659" s="32">
        <f>_xlfn.XLOOKUP(A659,'Year end 2024'!A:A,'Year end 2024'!E:E,0,0)</f>
        <v>107422.34</v>
      </c>
      <c r="K659" s="14">
        <f t="shared" si="20"/>
        <v>87660.959999999992</v>
      </c>
      <c r="L659" s="14">
        <f t="shared" si="21"/>
        <v>95499.22</v>
      </c>
    </row>
    <row r="660" spans="1:12" ht="35.15" customHeight="1" x14ac:dyDescent="0.4">
      <c r="A660" s="11" t="s">
        <v>1377</v>
      </c>
      <c r="B660" s="11" t="s">
        <v>1378</v>
      </c>
      <c r="C660" s="11" t="s">
        <v>101</v>
      </c>
      <c r="D660" s="11" t="s">
        <v>100</v>
      </c>
      <c r="E660" s="18" t="str">
        <f>_xlfn.XLOOKUP(A660,'Current Month'!A:A,'Current Month'!I:I,"")</f>
        <v/>
      </c>
      <c r="F660" s="21" t="str">
        <f>_xlfn.XLOOKUP(A660,'Prior Month'!A:A,'Prior Month'!I:I,"")</f>
        <v/>
      </c>
      <c r="G660" s="18" t="str">
        <f>_xlfn.XLOOKUP(A660,'Year end 2024'!A:A,'Year end 2024'!I:I,"")</f>
        <v/>
      </c>
      <c r="H660" s="19">
        <f>_xlfn.XLOOKUP(A660,'Current Month'!A:A,'Current Month'!E:E,0,0)</f>
        <v>105624.16</v>
      </c>
      <c r="I660" s="32">
        <f>_xlfn.XLOOKUP(A660,'Prior Month'!A:A,'Prior Month'!E:E,0,0)</f>
        <v>105468.07</v>
      </c>
      <c r="J660" s="32">
        <f>_xlfn.XLOOKUP(A660,'Year end 2024'!A:A,'Year end 2024'!E:E,0,0)</f>
        <v>118763</v>
      </c>
      <c r="K660" s="14">
        <f t="shared" si="20"/>
        <v>156.08999999999651</v>
      </c>
      <c r="L660" s="14">
        <f t="shared" si="21"/>
        <v>-13138.839999999997</v>
      </c>
    </row>
    <row r="661" spans="1:12" ht="35.15" customHeight="1" x14ac:dyDescent="0.4">
      <c r="A661" s="11" t="s">
        <v>1379</v>
      </c>
      <c r="B661" s="11" t="s">
        <v>1380</v>
      </c>
      <c r="C661" s="11" t="s">
        <v>67</v>
      </c>
      <c r="D661" s="11" t="s">
        <v>66</v>
      </c>
      <c r="E661" s="18">
        <f>_xlfn.XLOOKUP(A661,'Current Month'!A:A,'Current Month'!I:I,"")</f>
        <v>2.7810301204819279E-2</v>
      </c>
      <c r="F661" s="21">
        <f>_xlfn.XLOOKUP(A661,'Prior Month'!A:A,'Prior Month'!I:I,"")</f>
        <v>2.2463253012048195E-2</v>
      </c>
      <c r="G661" s="18">
        <f>_xlfn.XLOOKUP(A661,'Year end 2024'!A:A,'Year end 2024'!I:I,"")</f>
        <v>3.4324096385542173E-2</v>
      </c>
      <c r="H661" s="19">
        <f>_xlfn.XLOOKUP(A661,'Current Month'!A:A,'Current Month'!E:E,0,0)</f>
        <v>4616.51</v>
      </c>
      <c r="I661" s="32">
        <f>_xlfn.XLOOKUP(A661,'Prior Month'!A:A,'Prior Month'!E:E,0,0)</f>
        <v>3728.9</v>
      </c>
      <c r="J661" s="32">
        <f>_xlfn.XLOOKUP(A661,'Year end 2024'!A:A,'Year end 2024'!E:E,0,0)</f>
        <v>5697.8</v>
      </c>
      <c r="K661" s="14">
        <f t="shared" si="20"/>
        <v>887.61000000000013</v>
      </c>
      <c r="L661" s="14">
        <f t="shared" si="21"/>
        <v>-1081.29</v>
      </c>
    </row>
    <row r="662" spans="1:12" ht="35.15" customHeight="1" x14ac:dyDescent="0.4">
      <c r="A662" s="11" t="s">
        <v>1381</v>
      </c>
      <c r="B662" s="11" t="s">
        <v>1382</v>
      </c>
      <c r="C662" s="11" t="s">
        <v>15</v>
      </c>
      <c r="D662" s="11" t="s">
        <v>14</v>
      </c>
      <c r="E662" s="18">
        <f>_xlfn.XLOOKUP(A662,'Current Month'!A:A,'Current Month'!I:I,"")</f>
        <v>0.17072320935515051</v>
      </c>
      <c r="F662" s="21">
        <f>_xlfn.XLOOKUP(A662,'Prior Month'!A:A,'Prior Month'!I:I,"")</f>
        <v>9.548510696320002E-2</v>
      </c>
      <c r="G662" s="18">
        <f>_xlfn.XLOOKUP(A662,'Year end 2024'!A:A,'Year end 2024'!I:I,"")</f>
        <v>0.42438027493092978</v>
      </c>
      <c r="H662" s="19">
        <f>_xlfn.XLOOKUP(A662,'Current Month'!A:A,'Current Month'!E:E,0,0)</f>
        <v>34319.43</v>
      </c>
      <c r="I662" s="32">
        <f>_xlfn.XLOOKUP(A662,'Prior Month'!A:A,'Prior Month'!E:E,0,0)</f>
        <v>19194.78</v>
      </c>
      <c r="J662" s="32">
        <f>_xlfn.XLOOKUP(A662,'Year end 2024'!A:A,'Year end 2024'!E:E,0,0)</f>
        <v>92798.7</v>
      </c>
      <c r="K662" s="14">
        <f t="shared" si="20"/>
        <v>15124.650000000001</v>
      </c>
      <c r="L662" s="14">
        <f t="shared" si="21"/>
        <v>-58479.27</v>
      </c>
    </row>
    <row r="663" spans="1:12" ht="35.15" customHeight="1" x14ac:dyDescent="0.4">
      <c r="A663" s="11" t="s">
        <v>1383</v>
      </c>
      <c r="B663" s="11" t="s">
        <v>1384</v>
      </c>
      <c r="C663" s="11" t="s">
        <v>253</v>
      </c>
      <c r="D663" s="11" t="s">
        <v>252</v>
      </c>
      <c r="E663" s="18">
        <f>_xlfn.XLOOKUP(A663,'Current Month'!A:A,'Current Month'!I:I,"")</f>
        <v>0.69384487123479188</v>
      </c>
      <c r="F663" s="21">
        <f>_xlfn.XLOOKUP(A663,'Prior Month'!A:A,'Prior Month'!I:I,"")</f>
        <v>1.2939163642624492</v>
      </c>
      <c r="G663" s="18">
        <f>_xlfn.XLOOKUP(A663,'Year end 2024'!A:A,'Year end 2024'!I:I,"")</f>
        <v>0.27181954321661284</v>
      </c>
      <c r="H663" s="19">
        <f>_xlfn.XLOOKUP(A663,'Current Month'!A:A,'Current Month'!E:E,0,0)</f>
        <v>343220.01</v>
      </c>
      <c r="I663" s="32">
        <f>_xlfn.XLOOKUP(A663,'Prior Month'!A:A,'Prior Month'!E:E,0,0)</f>
        <v>642698.92000000004</v>
      </c>
      <c r="J663" s="32">
        <f>_xlfn.XLOOKUP(A663,'Year end 2024'!A:A,'Year end 2024'!E:E,0,0)</f>
        <v>139431.24</v>
      </c>
      <c r="K663" s="14">
        <f t="shared" si="20"/>
        <v>-299478.91000000003</v>
      </c>
      <c r="L663" s="14">
        <f t="shared" si="21"/>
        <v>203788.77000000002</v>
      </c>
    </row>
    <row r="664" spans="1:12" ht="35.15" customHeight="1" x14ac:dyDescent="0.4">
      <c r="A664" s="11" t="s">
        <v>1385</v>
      </c>
      <c r="B664" s="11" t="s">
        <v>1386</v>
      </c>
      <c r="C664" s="11" t="s">
        <v>457</v>
      </c>
      <c r="D664" s="11" t="s">
        <v>456</v>
      </c>
      <c r="E664" s="18">
        <f>_xlfn.XLOOKUP(A664,'Current Month'!A:A,'Current Month'!I:I,"")</f>
        <v>0.53452524737632057</v>
      </c>
      <c r="F664" s="21">
        <f>_xlfn.XLOOKUP(A664,'Prior Month'!A:A,'Prior Month'!I:I,"")</f>
        <v>0.15491995257061297</v>
      </c>
      <c r="G664" s="18">
        <f>_xlfn.XLOOKUP(A664,'Year end 2024'!A:A,'Year end 2024'!I:I,"")</f>
        <v>0.17123877327696169</v>
      </c>
      <c r="H664" s="19">
        <f>_xlfn.XLOOKUP(A664,'Current Month'!A:A,'Current Month'!E:E,0,0)</f>
        <v>219705.72</v>
      </c>
      <c r="I664" s="32">
        <f>_xlfn.XLOOKUP(A664,'Prior Month'!A:A,'Prior Month'!E:E,0,0)</f>
        <v>64432.9</v>
      </c>
      <c r="J664" s="32">
        <f>_xlfn.XLOOKUP(A664,'Year end 2024'!A:A,'Year end 2024'!E:E,0,0)</f>
        <v>61484.160000000003</v>
      </c>
      <c r="K664" s="14">
        <f t="shared" si="20"/>
        <v>155272.82</v>
      </c>
      <c r="L664" s="14">
        <f t="shared" si="21"/>
        <v>158221.56</v>
      </c>
    </row>
    <row r="665" spans="1:12" ht="35.15" customHeight="1" x14ac:dyDescent="0.4">
      <c r="A665" s="11" t="s">
        <v>1387</v>
      </c>
      <c r="B665" s="11" t="s">
        <v>1388</v>
      </c>
      <c r="C665" s="11" t="s">
        <v>259</v>
      </c>
      <c r="D665" s="11" t="s">
        <v>258</v>
      </c>
      <c r="E665" s="18">
        <f>_xlfn.XLOOKUP(A665,'Current Month'!A:A,'Current Month'!I:I,"")</f>
        <v>0</v>
      </c>
      <c r="F665" s="21">
        <f>_xlfn.XLOOKUP(A665,'Prior Month'!A:A,'Prior Month'!I:I,"")</f>
        <v>0</v>
      </c>
      <c r="G665" s="18">
        <f>_xlfn.XLOOKUP(A665,'Year end 2024'!A:A,'Year end 2024'!I:I,"")</f>
        <v>0</v>
      </c>
      <c r="H665" s="19">
        <f>_xlfn.XLOOKUP(A665,'Current Month'!A:A,'Current Month'!E:E,0,0)</f>
        <v>0</v>
      </c>
      <c r="I665" s="32">
        <f>_xlfn.XLOOKUP(A665,'Prior Month'!A:A,'Prior Month'!E:E,0,0)</f>
        <v>0</v>
      </c>
      <c r="J665" s="32">
        <f>_xlfn.XLOOKUP(A665,'Year end 2024'!A:A,'Year end 2024'!E:E,0,0)</f>
        <v>0</v>
      </c>
      <c r="K665" s="14">
        <f t="shared" si="20"/>
        <v>0</v>
      </c>
      <c r="L665" s="14">
        <f t="shared" si="21"/>
        <v>0</v>
      </c>
    </row>
    <row r="666" spans="1:12" ht="35.15" customHeight="1" x14ac:dyDescent="0.4">
      <c r="A666" s="11" t="s">
        <v>252</v>
      </c>
      <c r="B666" s="11" t="s">
        <v>1389</v>
      </c>
      <c r="C666" s="11" t="s">
        <v>101</v>
      </c>
      <c r="D666" s="11" t="s">
        <v>100</v>
      </c>
      <c r="E666" s="18" t="str">
        <f>_xlfn.XLOOKUP(A666,'Current Month'!A:A,'Current Month'!I:I,"")</f>
        <v/>
      </c>
      <c r="F666" s="21" t="str">
        <f>_xlfn.XLOOKUP(A666,'Prior Month'!A:A,'Prior Month'!I:I,"")</f>
        <v/>
      </c>
      <c r="G666" s="18">
        <f>_xlfn.XLOOKUP(A666,'Year end 2024'!A:A,'Year end 2024'!I:I,"")</f>
        <v>0.21296337135867111</v>
      </c>
      <c r="H666" s="19">
        <f>_xlfn.XLOOKUP(A666,'Current Month'!A:A,'Current Month'!E:E,0,0)</f>
        <v>333322.03999999998</v>
      </c>
      <c r="I666" s="32">
        <f>_xlfn.XLOOKUP(A666,'Prior Month'!A:A,'Prior Month'!E:E,0,0)</f>
        <v>332006.93</v>
      </c>
      <c r="J666" s="32">
        <f>_xlfn.XLOOKUP(A666,'Year end 2024'!A:A,'Year end 2024'!E:E,0,0)</f>
        <v>504950.29</v>
      </c>
      <c r="K666" s="14">
        <f t="shared" si="20"/>
        <v>1315.109999999986</v>
      </c>
      <c r="L666" s="14">
        <f t="shared" si="21"/>
        <v>-171628.25</v>
      </c>
    </row>
    <row r="667" spans="1:12" ht="35.15" customHeight="1" x14ac:dyDescent="0.4">
      <c r="A667" s="11" t="s">
        <v>1390</v>
      </c>
      <c r="B667" s="11" t="s">
        <v>1391</v>
      </c>
      <c r="C667" s="11" t="s">
        <v>33</v>
      </c>
      <c r="D667" s="11" t="s">
        <v>32</v>
      </c>
      <c r="E667" s="18">
        <f>_xlfn.XLOOKUP(A667,'Current Month'!A:A,'Current Month'!I:I,"")</f>
        <v>3.1630683286979495E-2</v>
      </c>
      <c r="F667" s="21">
        <f>_xlfn.XLOOKUP(A667,'Prior Month'!A:A,'Prior Month'!I:I,"")</f>
        <v>3.7737309170648048E-2</v>
      </c>
      <c r="G667" s="18">
        <f>_xlfn.XLOOKUP(A667,'Year end 2024'!A:A,'Year end 2024'!I:I,"")</f>
        <v>3.5429821019227793E-2</v>
      </c>
      <c r="H667" s="19">
        <f>_xlfn.XLOOKUP(A667,'Current Month'!A:A,'Current Month'!E:E,0,0)</f>
        <v>13613.6</v>
      </c>
      <c r="I667" s="32">
        <f>_xlfn.XLOOKUP(A667,'Prior Month'!A:A,'Prior Month'!E:E,0,0)</f>
        <v>16248.5</v>
      </c>
      <c r="J667" s="32">
        <f>_xlfn.XLOOKUP(A667,'Year end 2024'!A:A,'Year end 2024'!E:E,0,0)</f>
        <v>15287.69</v>
      </c>
      <c r="K667" s="14">
        <f t="shared" si="20"/>
        <v>-2634.8999999999996</v>
      </c>
      <c r="L667" s="14">
        <f t="shared" si="21"/>
        <v>-1674.0900000000001</v>
      </c>
    </row>
    <row r="668" spans="1:12" ht="35.15" customHeight="1" x14ac:dyDescent="0.4">
      <c r="A668" s="11" t="s">
        <v>1392</v>
      </c>
      <c r="B668" s="11" t="s">
        <v>1393</v>
      </c>
      <c r="C668" s="11" t="s">
        <v>41</v>
      </c>
      <c r="D668" s="11" t="s">
        <v>40</v>
      </c>
      <c r="E668" s="18">
        <f>_xlfn.XLOOKUP(A668,'Current Month'!A:A,'Current Month'!I:I,"")</f>
        <v>0.26625072112646525</v>
      </c>
      <c r="F668" s="21">
        <f>_xlfn.XLOOKUP(A668,'Prior Month'!A:A,'Prior Month'!I:I,"")</f>
        <v>0.93954529109922313</v>
      </c>
      <c r="G668" s="18">
        <f>_xlfn.XLOOKUP(A668,'Year end 2024'!A:A,'Year end 2024'!I:I,"")</f>
        <v>0.72806088533045865</v>
      </c>
      <c r="H668" s="19">
        <f>_xlfn.XLOOKUP(A668,'Current Month'!A:A,'Current Month'!E:E,0,0)</f>
        <v>77932.06</v>
      </c>
      <c r="I668" s="32">
        <f>_xlfn.XLOOKUP(A668,'Prior Month'!A:A,'Prior Month'!E:E,0,0)</f>
        <v>276129.58</v>
      </c>
      <c r="J668" s="32">
        <f>_xlfn.XLOOKUP(A668,'Year end 2024'!A:A,'Year end 2024'!E:E,0,0)</f>
        <v>221084.41</v>
      </c>
      <c r="K668" s="14">
        <f t="shared" si="20"/>
        <v>-198197.52000000002</v>
      </c>
      <c r="L668" s="14">
        <f t="shared" si="21"/>
        <v>-143152.35</v>
      </c>
    </row>
    <row r="669" spans="1:12" ht="35.15" customHeight="1" x14ac:dyDescent="0.4">
      <c r="A669" s="11" t="s">
        <v>1394</v>
      </c>
      <c r="B669" s="11" t="s">
        <v>1395</v>
      </c>
      <c r="C669" s="11" t="s">
        <v>259</v>
      </c>
      <c r="D669" s="11" t="s">
        <v>258</v>
      </c>
      <c r="E669" s="18">
        <f>_xlfn.XLOOKUP(A669,'Current Month'!A:A,'Current Month'!I:I,"")</f>
        <v>0.77239687080306574</v>
      </c>
      <c r="F669" s="21">
        <f>_xlfn.XLOOKUP(A669,'Prior Month'!A:A,'Prior Month'!I:I,"")</f>
        <v>1.2856615058252232</v>
      </c>
      <c r="G669" s="18">
        <f>_xlfn.XLOOKUP(A669,'Year end 2024'!A:A,'Year end 2024'!I:I,"")</f>
        <v>0.10041711759952442</v>
      </c>
      <c r="H669" s="19">
        <f>_xlfn.XLOOKUP(A669,'Current Month'!A:A,'Current Month'!E:E,0,0)</f>
        <v>2456728</v>
      </c>
      <c r="I669" s="32">
        <f>_xlfn.XLOOKUP(A669,'Prior Month'!A:A,'Prior Month'!E:E,0,0)</f>
        <v>4152884</v>
      </c>
      <c r="J669" s="32">
        <f>_xlfn.XLOOKUP(A669,'Year end 2024'!A:A,'Year end 2024'!E:E,0,0)</f>
        <v>188927.16</v>
      </c>
      <c r="K669" s="14">
        <f t="shared" si="20"/>
        <v>-1696156</v>
      </c>
      <c r="L669" s="14">
        <f t="shared" si="21"/>
        <v>2267800.84</v>
      </c>
    </row>
    <row r="670" spans="1:12" ht="35.15" customHeight="1" x14ac:dyDescent="0.4">
      <c r="A670" s="11" t="s">
        <v>486</v>
      </c>
      <c r="B670" s="11" t="s">
        <v>1396</v>
      </c>
      <c r="C670" s="11" t="s">
        <v>41</v>
      </c>
      <c r="D670" s="11" t="s">
        <v>40</v>
      </c>
      <c r="E670" s="18" t="str">
        <f>_xlfn.XLOOKUP(A670,'Current Month'!A:A,'Current Month'!I:I,"")</f>
        <v/>
      </c>
      <c r="F670" s="21" t="str">
        <f>_xlfn.XLOOKUP(A670,'Prior Month'!A:A,'Prior Month'!I:I,"")</f>
        <v/>
      </c>
      <c r="G670" s="18" t="str">
        <f>_xlfn.XLOOKUP(A670,'Year end 2024'!A:A,'Year end 2024'!I:I,"")</f>
        <v/>
      </c>
      <c r="H670" s="19">
        <f>_xlfn.XLOOKUP(A670,'Current Month'!A:A,'Current Month'!E:E,0,0)</f>
        <v>6525.15</v>
      </c>
      <c r="I670" s="32">
        <f>_xlfn.XLOOKUP(A670,'Prior Month'!A:A,'Prior Month'!E:E,0,0)</f>
        <v>6535.15</v>
      </c>
      <c r="J670" s="32">
        <f>_xlfn.XLOOKUP(A670,'Year end 2024'!A:A,'Year end 2024'!E:E,0,0)</f>
        <v>6595.15</v>
      </c>
      <c r="K670" s="14">
        <f t="shared" si="20"/>
        <v>-10</v>
      </c>
      <c r="L670" s="14">
        <f t="shared" si="21"/>
        <v>-70</v>
      </c>
    </row>
    <row r="671" spans="1:12" ht="35.15" customHeight="1" x14ac:dyDescent="0.4">
      <c r="A671" s="11" t="s">
        <v>1397</v>
      </c>
      <c r="B671" s="11" t="s">
        <v>1398</v>
      </c>
      <c r="C671" s="11" t="s">
        <v>15</v>
      </c>
      <c r="D671" s="11" t="s">
        <v>14</v>
      </c>
      <c r="E671" s="18" t="e">
        <f>_xlfn.XLOOKUP(A671,'Current Month'!A:A,'Current Month'!I:I,"")</f>
        <v>#DIV/0!</v>
      </c>
      <c r="F671" s="21" t="e">
        <f>_xlfn.XLOOKUP(A671,'Prior Month'!A:A,'Prior Month'!I:I,"")</f>
        <v>#DIV/0!</v>
      </c>
      <c r="G671" s="18" t="e">
        <f>_xlfn.XLOOKUP(A671,'Year end 2024'!A:A,'Year end 2024'!I:I,"")</f>
        <v>#DIV/0!</v>
      </c>
      <c r="H671" s="19">
        <f>_xlfn.XLOOKUP(A671,'Current Month'!A:A,'Current Month'!E:E,0,0)</f>
        <v>262478.02</v>
      </c>
      <c r="I671" s="32">
        <f>_xlfn.XLOOKUP(A671,'Prior Month'!A:A,'Prior Month'!E:E,0,0)</f>
        <v>344177.59</v>
      </c>
      <c r="J671" s="32">
        <f>_xlfn.XLOOKUP(A671,'Year end 2024'!A:A,'Year end 2024'!E:E,0,0)</f>
        <v>382345.26</v>
      </c>
      <c r="K671" s="14">
        <f t="shared" si="20"/>
        <v>-81699.570000000007</v>
      </c>
      <c r="L671" s="14">
        <f t="shared" si="21"/>
        <v>-119867.23999999999</v>
      </c>
    </row>
    <row r="672" spans="1:12" ht="35.15" customHeight="1" x14ac:dyDescent="0.4">
      <c r="A672" s="11" t="s">
        <v>1399</v>
      </c>
      <c r="B672" s="11" t="s">
        <v>1400</v>
      </c>
      <c r="C672" s="11" t="s">
        <v>41</v>
      </c>
      <c r="D672" s="11" t="s">
        <v>40</v>
      </c>
      <c r="E672" s="18">
        <f>_xlfn.XLOOKUP(A672,'Current Month'!A:A,'Current Month'!I:I,"")</f>
        <v>0.20707032263631006</v>
      </c>
      <c r="F672" s="21">
        <f>_xlfn.XLOOKUP(A672,'Prior Month'!A:A,'Prior Month'!I:I,"")</f>
        <v>0.1810808837568883</v>
      </c>
      <c r="G672" s="18">
        <f>_xlfn.XLOOKUP(A672,'Year end 2024'!A:A,'Year end 2024'!I:I,"")</f>
        <v>0.16090909389179986</v>
      </c>
      <c r="H672" s="19">
        <f>_xlfn.XLOOKUP(A672,'Current Month'!A:A,'Current Month'!E:E,0,0)</f>
        <v>102286.49</v>
      </c>
      <c r="I672" s="32">
        <f>_xlfn.XLOOKUP(A672,'Prior Month'!A:A,'Prior Month'!E:E,0,0)</f>
        <v>90627.31</v>
      </c>
      <c r="J672" s="32">
        <f>_xlfn.XLOOKUP(A672,'Year end 2024'!A:A,'Year end 2024'!E:E,0,0)</f>
        <v>89748.69</v>
      </c>
      <c r="K672" s="14">
        <f t="shared" si="20"/>
        <v>11659.180000000008</v>
      </c>
      <c r="L672" s="14">
        <f t="shared" si="21"/>
        <v>12537.800000000003</v>
      </c>
    </row>
    <row r="673" spans="1:12" ht="35.15" customHeight="1" x14ac:dyDescent="0.4">
      <c r="A673" s="11" t="s">
        <v>1401</v>
      </c>
      <c r="B673" s="11" t="s">
        <v>1402</v>
      </c>
      <c r="C673" s="11" t="s">
        <v>15</v>
      </c>
      <c r="D673" s="11" t="s">
        <v>14</v>
      </c>
      <c r="E673" s="18">
        <f>_xlfn.XLOOKUP(A673,'Current Month'!A:A,'Current Month'!I:I,"")</f>
        <v>1.8783677027475566E-2</v>
      </c>
      <c r="F673" s="21">
        <f>_xlfn.XLOOKUP(A673,'Prior Month'!A:A,'Prior Month'!I:I,"")</f>
        <v>7.386134664778804E-2</v>
      </c>
      <c r="G673" s="18">
        <f>_xlfn.XLOOKUP(A673,'Year end 2024'!A:A,'Year end 2024'!I:I,"")</f>
        <v>0.15047961555835584</v>
      </c>
      <c r="H673" s="19">
        <f>_xlfn.XLOOKUP(A673,'Current Month'!A:A,'Current Month'!E:E,0,0)</f>
        <v>111493.48</v>
      </c>
      <c r="I673" s="32">
        <f>_xlfn.XLOOKUP(A673,'Prior Month'!A:A,'Prior Month'!E:E,0,0)</f>
        <v>442526.6</v>
      </c>
      <c r="J673" s="32">
        <f>_xlfn.XLOOKUP(A673,'Year end 2024'!A:A,'Year end 2024'!E:E,0,0)</f>
        <v>973742.21</v>
      </c>
      <c r="K673" s="14">
        <f t="shared" si="20"/>
        <v>-331033.12</v>
      </c>
      <c r="L673" s="14">
        <f t="shared" si="21"/>
        <v>-862248.73</v>
      </c>
    </row>
    <row r="674" spans="1:12" ht="35.15" customHeight="1" x14ac:dyDescent="0.4">
      <c r="A674" s="11" t="s">
        <v>1403</v>
      </c>
      <c r="B674" s="11" t="s">
        <v>1404</v>
      </c>
      <c r="C674" s="11" t="s">
        <v>41</v>
      </c>
      <c r="D674" s="11" t="s">
        <v>40</v>
      </c>
      <c r="E674" s="18">
        <f>_xlfn.XLOOKUP(A674,'Current Month'!A:A,'Current Month'!I:I,"")</f>
        <v>1.6508735028619379</v>
      </c>
      <c r="F674" s="21">
        <f>_xlfn.XLOOKUP(A674,'Prior Month'!A:A,'Prior Month'!I:I,"")</f>
        <v>1.3119079423585926</v>
      </c>
      <c r="G674" s="18">
        <f>_xlfn.XLOOKUP(A674,'Year end 2024'!A:A,'Year end 2024'!I:I,"")</f>
        <v>0.98047893076018289</v>
      </c>
      <c r="H674" s="19">
        <f>_xlfn.XLOOKUP(A674,'Current Month'!A:A,'Current Month'!E:E,0,0)</f>
        <v>425510.07</v>
      </c>
      <c r="I674" s="32">
        <f>_xlfn.XLOOKUP(A674,'Prior Month'!A:A,'Prior Month'!E:E,0,0)</f>
        <v>345588.72</v>
      </c>
      <c r="J674" s="32">
        <f>_xlfn.XLOOKUP(A674,'Year end 2024'!A:A,'Year end 2024'!E:E,0,0)</f>
        <v>307268.38</v>
      </c>
      <c r="K674" s="14">
        <f t="shared" si="20"/>
        <v>79921.350000000035</v>
      </c>
      <c r="L674" s="14">
        <f t="shared" si="21"/>
        <v>118241.69</v>
      </c>
    </row>
    <row r="675" spans="1:12" ht="35.15" customHeight="1" x14ac:dyDescent="0.4">
      <c r="A675" s="11" t="s">
        <v>1405</v>
      </c>
      <c r="B675" s="11" t="s">
        <v>1406</v>
      </c>
      <c r="C675" s="11" t="s">
        <v>213</v>
      </c>
      <c r="D675" s="11" t="s">
        <v>212</v>
      </c>
      <c r="E675" s="18">
        <f>_xlfn.XLOOKUP(A675,'Current Month'!A:A,'Current Month'!I:I,"")</f>
        <v>0.15841916596328284</v>
      </c>
      <c r="F675" s="21">
        <f>_xlfn.XLOOKUP(A675,'Prior Month'!A:A,'Prior Month'!I:I,"")</f>
        <v>9.8997513498960688E-2</v>
      </c>
      <c r="G675" s="18">
        <f>_xlfn.XLOOKUP(A675,'Year end 2024'!A:A,'Year end 2024'!I:I,"")</f>
        <v>0.21649505499729504</v>
      </c>
      <c r="H675" s="19">
        <f>_xlfn.XLOOKUP(A675,'Current Month'!A:A,'Current Month'!E:E,0,0)</f>
        <v>25865.14</v>
      </c>
      <c r="I675" s="32">
        <f>_xlfn.XLOOKUP(A675,'Prior Month'!A:A,'Prior Month'!E:E,0,0)</f>
        <v>16193.94</v>
      </c>
      <c r="J675" s="32">
        <f>_xlfn.XLOOKUP(A675,'Year end 2024'!A:A,'Year end 2024'!E:E,0,0)</f>
        <v>35772.449999999997</v>
      </c>
      <c r="K675" s="14">
        <f t="shared" si="20"/>
        <v>9671.1999999999989</v>
      </c>
      <c r="L675" s="14">
        <f t="shared" si="21"/>
        <v>-9907.3099999999977</v>
      </c>
    </row>
    <row r="676" spans="1:12" ht="35.15" customHeight="1" x14ac:dyDescent="0.4">
      <c r="A676" s="11" t="s">
        <v>1407</v>
      </c>
      <c r="B676" s="11" t="s">
        <v>1408</v>
      </c>
      <c r="C676" s="11" t="s">
        <v>213</v>
      </c>
      <c r="D676" s="11" t="s">
        <v>212</v>
      </c>
      <c r="E676" s="18">
        <f>_xlfn.XLOOKUP(A676,'Current Month'!A:A,'Current Month'!I:I,"")</f>
        <v>0</v>
      </c>
      <c r="F676" s="21">
        <f>_xlfn.XLOOKUP(A676,'Prior Month'!A:A,'Prior Month'!I:I,"")</f>
        <v>0</v>
      </c>
      <c r="G676" s="18">
        <f>_xlfn.XLOOKUP(A676,'Year end 2024'!A:A,'Year end 2024'!I:I,"")</f>
        <v>0</v>
      </c>
      <c r="H676" s="19">
        <f>_xlfn.XLOOKUP(A676,'Current Month'!A:A,'Current Month'!E:E,0,0)</f>
        <v>0</v>
      </c>
      <c r="I676" s="32">
        <f>_xlfn.XLOOKUP(A676,'Prior Month'!A:A,'Prior Month'!E:E,0,0)</f>
        <v>0</v>
      </c>
      <c r="J676" s="32">
        <f>_xlfn.XLOOKUP(A676,'Year end 2024'!A:A,'Year end 2024'!E:E,0,0)</f>
        <v>0</v>
      </c>
      <c r="K676" s="14">
        <f t="shared" si="20"/>
        <v>0</v>
      </c>
      <c r="L676" s="14">
        <f t="shared" si="21"/>
        <v>0</v>
      </c>
    </row>
    <row r="677" spans="1:12" ht="35.15" customHeight="1" x14ac:dyDescent="0.4">
      <c r="A677" s="11" t="s">
        <v>1409</v>
      </c>
      <c r="B677" s="11" t="s">
        <v>1410</v>
      </c>
      <c r="C677" s="11" t="s">
        <v>67</v>
      </c>
      <c r="D677" s="11" t="s">
        <v>66</v>
      </c>
      <c r="E677" s="18">
        <f>_xlfn.XLOOKUP(A677,'Current Month'!A:A,'Current Month'!I:I,"")</f>
        <v>0</v>
      </c>
      <c r="F677" s="21">
        <f>_xlfn.XLOOKUP(A677,'Prior Month'!A:A,'Prior Month'!I:I,"")</f>
        <v>0</v>
      </c>
      <c r="G677" s="18">
        <f>_xlfn.XLOOKUP(A677,'Year end 2024'!A:A,'Year end 2024'!I:I,"")</f>
        <v>0</v>
      </c>
      <c r="H677" s="19">
        <f>_xlfn.XLOOKUP(A677,'Current Month'!A:A,'Current Month'!E:E,0,0)</f>
        <v>0</v>
      </c>
      <c r="I677" s="32">
        <f>_xlfn.XLOOKUP(A677,'Prior Month'!A:A,'Prior Month'!E:E,0,0)</f>
        <v>0</v>
      </c>
      <c r="J677" s="32">
        <f>_xlfn.XLOOKUP(A677,'Year end 2024'!A:A,'Year end 2024'!E:E,0,0)</f>
        <v>0</v>
      </c>
      <c r="K677" s="14">
        <f t="shared" si="20"/>
        <v>0</v>
      </c>
      <c r="L677" s="14">
        <f t="shared" si="21"/>
        <v>0</v>
      </c>
    </row>
    <row r="678" spans="1:12" ht="35.15" customHeight="1" x14ac:dyDescent="0.4">
      <c r="A678" s="11" t="s">
        <v>1411</v>
      </c>
      <c r="B678" s="11" t="s">
        <v>1412</v>
      </c>
      <c r="C678" s="11" t="s">
        <v>253</v>
      </c>
      <c r="D678" s="11" t="s">
        <v>252</v>
      </c>
      <c r="E678" s="18">
        <f>_xlfn.XLOOKUP(A678,'Current Month'!A:A,'Current Month'!I:I,"")</f>
        <v>3.9662667105765714E-2</v>
      </c>
      <c r="F678" s="21">
        <f>_xlfn.XLOOKUP(A678,'Prior Month'!A:A,'Prior Month'!I:I,"")</f>
        <v>6.4480966624709674E-2</v>
      </c>
      <c r="G678" s="18">
        <f>_xlfn.XLOOKUP(A678,'Year end 2024'!A:A,'Year end 2024'!I:I,"")</f>
        <v>3.7230603462750173E-2</v>
      </c>
      <c r="H678" s="19">
        <f>_xlfn.XLOOKUP(A678,'Current Month'!A:A,'Current Month'!E:E,0,0)</f>
        <v>183314</v>
      </c>
      <c r="I678" s="32">
        <f>_xlfn.XLOOKUP(A678,'Prior Month'!A:A,'Prior Month'!E:E,0,0)</f>
        <v>299243.7</v>
      </c>
      <c r="J678" s="32">
        <f>_xlfn.XLOOKUP(A678,'Year end 2024'!A:A,'Year end 2024'!E:E,0,0)</f>
        <v>178778</v>
      </c>
      <c r="K678" s="14">
        <f t="shared" si="20"/>
        <v>-115929.70000000001</v>
      </c>
      <c r="L678" s="14">
        <f t="shared" si="21"/>
        <v>4536</v>
      </c>
    </row>
    <row r="679" spans="1:12" ht="35.15" customHeight="1" x14ac:dyDescent="0.4">
      <c r="A679" s="11" t="s">
        <v>1413</v>
      </c>
      <c r="B679" s="11" t="s">
        <v>1414</v>
      </c>
      <c r="C679" s="11" t="s">
        <v>253</v>
      </c>
      <c r="D679" s="11" t="s">
        <v>252</v>
      </c>
      <c r="E679" s="18">
        <f>_xlfn.XLOOKUP(A679,'Current Month'!A:A,'Current Month'!I:I,"")</f>
        <v>0.15730287918608565</v>
      </c>
      <c r="F679" s="21">
        <f>_xlfn.XLOOKUP(A679,'Prior Month'!A:A,'Prior Month'!I:I,"")</f>
        <v>0.22807683444457963</v>
      </c>
      <c r="G679" s="18">
        <f>_xlfn.XLOOKUP(A679,'Year end 2024'!A:A,'Year end 2024'!I:I,"")</f>
        <v>3.3659936472559266</v>
      </c>
      <c r="H679" s="19">
        <f>_xlfn.XLOOKUP(A679,'Current Month'!A:A,'Current Month'!E:E,0,0)</f>
        <v>143811.76</v>
      </c>
      <c r="I679" s="32">
        <f>_xlfn.XLOOKUP(A679,'Prior Month'!A:A,'Prior Month'!E:E,0,0)</f>
        <v>208515.77</v>
      </c>
      <c r="J679" s="32">
        <f>_xlfn.XLOOKUP(A679,'Year end 2024'!A:A,'Year end 2024'!E:E,0,0)</f>
        <v>636963</v>
      </c>
      <c r="K679" s="14">
        <f t="shared" si="20"/>
        <v>-64704.00999999998</v>
      </c>
      <c r="L679" s="14">
        <f t="shared" si="21"/>
        <v>-493151.24</v>
      </c>
    </row>
    <row r="680" spans="1:12" ht="35.15" customHeight="1" x14ac:dyDescent="0.4">
      <c r="A680" s="11" t="s">
        <v>1415</v>
      </c>
      <c r="B680" s="11" t="s">
        <v>1416</v>
      </c>
      <c r="C680" s="11" t="s">
        <v>259</v>
      </c>
      <c r="D680" s="11" t="s">
        <v>258</v>
      </c>
      <c r="E680" s="18">
        <f>_xlfn.XLOOKUP(A680,'Current Month'!A:A,'Current Month'!I:I,"")</f>
        <v>4.0553774830831849E-2</v>
      </c>
      <c r="F680" s="21">
        <f>_xlfn.XLOOKUP(A680,'Prior Month'!A:A,'Prior Month'!I:I,"")</f>
        <v>5.5601544170479043E-2</v>
      </c>
      <c r="G680" s="18">
        <f>_xlfn.XLOOKUP(A680,'Year end 2024'!A:A,'Year end 2024'!I:I,"")</f>
        <v>3.0249681234084148E-2</v>
      </c>
      <c r="H680" s="19">
        <f>_xlfn.XLOOKUP(A680,'Current Month'!A:A,'Current Month'!E:E,0,0)</f>
        <v>25804.68</v>
      </c>
      <c r="I680" s="32">
        <f>_xlfn.XLOOKUP(A680,'Prior Month'!A:A,'Prior Month'!E:E,0,0)</f>
        <v>35758.36</v>
      </c>
      <c r="J680" s="32">
        <f>_xlfn.XLOOKUP(A680,'Year end 2024'!A:A,'Year end 2024'!E:E,0,0)</f>
        <v>20466.98</v>
      </c>
      <c r="K680" s="14">
        <f t="shared" si="20"/>
        <v>-9953.68</v>
      </c>
      <c r="L680" s="14">
        <f t="shared" si="21"/>
        <v>5337.7000000000007</v>
      </c>
    </row>
    <row r="681" spans="1:12" ht="35.15" customHeight="1" x14ac:dyDescent="0.4">
      <c r="A681" s="11" t="s">
        <v>1417</v>
      </c>
      <c r="B681" s="11" t="s">
        <v>1418</v>
      </c>
      <c r="C681" s="11" t="s">
        <v>253</v>
      </c>
      <c r="D681" s="11" t="s">
        <v>252</v>
      </c>
      <c r="E681" s="18">
        <f>_xlfn.XLOOKUP(A681,'Current Month'!A:A,'Current Month'!I:I,"")</f>
        <v>0</v>
      </c>
      <c r="F681" s="21">
        <f>_xlfn.XLOOKUP(A681,'Prior Month'!A:A,'Prior Month'!I:I,"")</f>
        <v>0</v>
      </c>
      <c r="G681" s="18">
        <f>_xlfn.XLOOKUP(A681,'Year end 2024'!A:A,'Year end 2024'!I:I,"")</f>
        <v>0</v>
      </c>
      <c r="H681" s="19">
        <f>_xlfn.XLOOKUP(A681,'Current Month'!A:A,'Current Month'!E:E,0,0)</f>
        <v>0</v>
      </c>
      <c r="I681" s="32">
        <f>_xlfn.XLOOKUP(A681,'Prior Month'!A:A,'Prior Month'!E:E,0,0)</f>
        <v>0</v>
      </c>
      <c r="J681" s="32">
        <f>_xlfn.XLOOKUP(A681,'Year end 2024'!A:A,'Year end 2024'!E:E,0,0)</f>
        <v>0</v>
      </c>
      <c r="K681" s="14">
        <f t="shared" si="20"/>
        <v>0</v>
      </c>
      <c r="L681" s="14">
        <f t="shared" si="21"/>
        <v>0</v>
      </c>
    </row>
    <row r="682" spans="1:12" ht="35.15" customHeight="1" x14ac:dyDescent="0.4">
      <c r="A682" s="11" t="s">
        <v>1419</v>
      </c>
      <c r="B682" s="11" t="s">
        <v>1420</v>
      </c>
      <c r="C682" s="11" t="s">
        <v>101</v>
      </c>
      <c r="D682" s="11" t="s">
        <v>100</v>
      </c>
      <c r="E682" s="18" t="str">
        <f>_xlfn.XLOOKUP(A682,'Current Month'!A:A,'Current Month'!I:I,"")</f>
        <v/>
      </c>
      <c r="F682" s="21" t="str">
        <f>_xlfn.XLOOKUP(A682,'Prior Month'!A:A,'Prior Month'!I:I,"")</f>
        <v/>
      </c>
      <c r="G682" s="18" t="str">
        <f>_xlfn.XLOOKUP(A682,'Year end 2024'!A:A,'Year end 2024'!I:I,"")</f>
        <v/>
      </c>
      <c r="H682" s="19">
        <f>_xlfn.XLOOKUP(A682,'Current Month'!A:A,'Current Month'!E:E,0,0)</f>
        <v>2195.19</v>
      </c>
      <c r="I682" s="32">
        <f>_xlfn.XLOOKUP(A682,'Prior Month'!A:A,'Prior Month'!E:E,0,0)</f>
        <v>6008.37</v>
      </c>
      <c r="J682" s="32">
        <f>_xlfn.XLOOKUP(A682,'Year end 2024'!A:A,'Year end 2024'!E:E,0,0)</f>
        <v>73323.320000000007</v>
      </c>
      <c r="K682" s="14">
        <f t="shared" si="20"/>
        <v>-3813.18</v>
      </c>
      <c r="L682" s="14">
        <f t="shared" si="21"/>
        <v>-71128.13</v>
      </c>
    </row>
    <row r="683" spans="1:12" ht="35.15" customHeight="1" x14ac:dyDescent="0.4">
      <c r="A683" s="11" t="s">
        <v>1421</v>
      </c>
      <c r="B683" s="11" t="s">
        <v>1422</v>
      </c>
      <c r="C683" s="11" t="s">
        <v>41</v>
      </c>
      <c r="D683" s="11" t="s">
        <v>40</v>
      </c>
      <c r="E683" s="18" t="str">
        <f>_xlfn.XLOOKUP(A683,'Current Month'!A:A,'Current Month'!I:I,"")</f>
        <v/>
      </c>
      <c r="F683" s="21" t="str">
        <f>_xlfn.XLOOKUP(A683,'Prior Month'!A:A,'Prior Month'!I:I,"")</f>
        <v/>
      </c>
      <c r="G683" s="18" t="str">
        <f>_xlfn.XLOOKUP(A683,'Year end 2024'!A:A,'Year end 2024'!I:I,"")</f>
        <v/>
      </c>
      <c r="H683" s="19">
        <f>_xlfn.XLOOKUP(A683,'Current Month'!A:A,'Current Month'!E:E,0,0)</f>
        <v>56205.760000000002</v>
      </c>
      <c r="I683" s="32">
        <f>_xlfn.XLOOKUP(A683,'Prior Month'!A:A,'Prior Month'!E:E,0,0)</f>
        <v>33669.26</v>
      </c>
      <c r="J683" s="32">
        <f>_xlfn.XLOOKUP(A683,'Year end 2024'!A:A,'Year end 2024'!E:E,0,0)</f>
        <v>27569.41</v>
      </c>
      <c r="K683" s="14">
        <f t="shared" si="20"/>
        <v>22536.5</v>
      </c>
      <c r="L683" s="14">
        <f t="shared" si="21"/>
        <v>28636.350000000002</v>
      </c>
    </row>
    <row r="684" spans="1:12" ht="35.15" customHeight="1" x14ac:dyDescent="0.4">
      <c r="A684" s="11" t="s">
        <v>1423</v>
      </c>
      <c r="B684" s="11" t="s">
        <v>1424</v>
      </c>
      <c r="C684" s="11" t="s">
        <v>253</v>
      </c>
      <c r="D684" s="11" t="s">
        <v>252</v>
      </c>
      <c r="E684" s="18">
        <f>_xlfn.XLOOKUP(A684,'Current Month'!A:A,'Current Month'!I:I,"")</f>
        <v>5.3244224379339164E-2</v>
      </c>
      <c r="F684" s="21">
        <f>_xlfn.XLOOKUP(A684,'Prior Month'!A:A,'Prior Month'!I:I,"")</f>
        <v>4.7936281639707368E-2</v>
      </c>
      <c r="G684" s="18">
        <f>_xlfn.XLOOKUP(A684,'Year end 2024'!A:A,'Year end 2024'!I:I,"")</f>
        <v>0.11582942312432858</v>
      </c>
      <c r="H684" s="19">
        <f>_xlfn.XLOOKUP(A684,'Current Month'!A:A,'Current Month'!E:E,0,0)</f>
        <v>87529.33</v>
      </c>
      <c r="I684" s="32">
        <f>_xlfn.XLOOKUP(A684,'Prior Month'!A:A,'Prior Month'!E:E,0,0)</f>
        <v>79343.839999999997</v>
      </c>
      <c r="J684" s="32">
        <f>_xlfn.XLOOKUP(A684,'Year end 2024'!A:A,'Year end 2024'!E:E,0,0)</f>
        <v>202837.78</v>
      </c>
      <c r="K684" s="14">
        <f t="shared" si="20"/>
        <v>8185.4900000000052</v>
      </c>
      <c r="L684" s="14">
        <f t="shared" si="21"/>
        <v>-115308.45</v>
      </c>
    </row>
    <row r="685" spans="1:12" ht="35.15" customHeight="1" x14ac:dyDescent="0.4">
      <c r="A685" s="11" t="s">
        <v>1425</v>
      </c>
      <c r="B685" s="11" t="s">
        <v>1426</v>
      </c>
      <c r="C685" s="11" t="s">
        <v>457</v>
      </c>
      <c r="D685" s="11" t="s">
        <v>456</v>
      </c>
      <c r="E685" s="18">
        <f>_xlfn.XLOOKUP(A685,'Current Month'!A:A,'Current Month'!I:I,"")</f>
        <v>0.1297948705747779</v>
      </c>
      <c r="F685" s="21">
        <f>_xlfn.XLOOKUP(A685,'Prior Month'!A:A,'Prior Month'!I:I,"")</f>
        <v>0.21828875998167294</v>
      </c>
      <c r="G685" s="18">
        <f>_xlfn.XLOOKUP(A685,'Year end 2024'!A:A,'Year end 2024'!I:I,"")</f>
        <v>0.50318079233617885</v>
      </c>
      <c r="H685" s="19">
        <f>_xlfn.XLOOKUP(A685,'Current Month'!A:A,'Current Month'!E:E,0,0)</f>
        <v>74903.17</v>
      </c>
      <c r="I685" s="32">
        <f>_xlfn.XLOOKUP(A685,'Prior Month'!A:A,'Prior Month'!E:E,0,0)</f>
        <v>126701.62</v>
      </c>
      <c r="J685" s="32">
        <f>_xlfn.XLOOKUP(A685,'Year end 2024'!A:A,'Year end 2024'!E:E,0,0)</f>
        <v>305478.84000000003</v>
      </c>
      <c r="K685" s="14">
        <f t="shared" si="20"/>
        <v>-51798.45</v>
      </c>
      <c r="L685" s="14">
        <f t="shared" si="21"/>
        <v>-230575.67000000004</v>
      </c>
    </row>
    <row r="686" spans="1:12" ht="35.15" customHeight="1" x14ac:dyDescent="0.4">
      <c r="A686" s="11" t="s">
        <v>1427</v>
      </c>
      <c r="B686" s="11" t="s">
        <v>1428</v>
      </c>
      <c r="C686" s="11" t="s">
        <v>253</v>
      </c>
      <c r="D686" s="11" t="s">
        <v>252</v>
      </c>
      <c r="E686" s="18">
        <f>_xlfn.XLOOKUP(A686,'Current Month'!A:A,'Current Month'!I:I,"")</f>
        <v>0</v>
      </c>
      <c r="F686" s="21">
        <f>_xlfn.XLOOKUP(A686,'Prior Month'!A:A,'Prior Month'!I:I,"")</f>
        <v>0</v>
      </c>
      <c r="G686" s="18">
        <f>_xlfn.XLOOKUP(A686,'Year end 2024'!A:A,'Year end 2024'!I:I,"")</f>
        <v>0</v>
      </c>
      <c r="H686" s="19">
        <f>_xlfn.XLOOKUP(A686,'Current Month'!A:A,'Current Month'!E:E,0,0)</f>
        <v>0</v>
      </c>
      <c r="I686" s="32">
        <f>_xlfn.XLOOKUP(A686,'Prior Month'!A:A,'Prior Month'!E:E,0,0)</f>
        <v>0</v>
      </c>
      <c r="J686" s="32">
        <f>_xlfn.XLOOKUP(A686,'Year end 2024'!A:A,'Year end 2024'!E:E,0,0)</f>
        <v>0</v>
      </c>
      <c r="K686" s="14">
        <f t="shared" si="20"/>
        <v>0</v>
      </c>
      <c r="L686" s="14">
        <f t="shared" si="21"/>
        <v>0</v>
      </c>
    </row>
    <row r="687" spans="1:12" ht="35.15" customHeight="1" x14ac:dyDescent="0.4">
      <c r="A687" s="11" t="s">
        <v>1429</v>
      </c>
      <c r="B687" s="11" t="s">
        <v>1430</v>
      </c>
      <c r="C687" s="11" t="s">
        <v>253</v>
      </c>
      <c r="D687" s="11" t="s">
        <v>252</v>
      </c>
      <c r="E687" s="18">
        <f>_xlfn.XLOOKUP(A687,'Current Month'!A:A,'Current Month'!I:I,"")</f>
        <v>0</v>
      </c>
      <c r="F687" s="21">
        <f>_xlfn.XLOOKUP(A687,'Prior Month'!A:A,'Prior Month'!I:I,"")</f>
        <v>0</v>
      </c>
      <c r="G687" s="18">
        <f>_xlfn.XLOOKUP(A687,'Year end 2024'!A:A,'Year end 2024'!I:I,"")</f>
        <v>0</v>
      </c>
      <c r="H687" s="19">
        <f>_xlfn.XLOOKUP(A687,'Current Month'!A:A,'Current Month'!E:E,0,0)</f>
        <v>0</v>
      </c>
      <c r="I687" s="32">
        <f>_xlfn.XLOOKUP(A687,'Prior Month'!A:A,'Prior Month'!E:E,0,0)</f>
        <v>0</v>
      </c>
      <c r="J687" s="32">
        <f>_xlfn.XLOOKUP(A687,'Year end 2024'!A:A,'Year end 2024'!E:E,0,0)</f>
        <v>0</v>
      </c>
      <c r="K687" s="14">
        <f t="shared" si="20"/>
        <v>0</v>
      </c>
      <c r="L687" s="14">
        <f t="shared" si="21"/>
        <v>0</v>
      </c>
    </row>
    <row r="688" spans="1:12" ht="35.15" customHeight="1" x14ac:dyDescent="0.4">
      <c r="A688" s="11" t="s">
        <v>1431</v>
      </c>
      <c r="B688" s="11" t="s">
        <v>1432</v>
      </c>
      <c r="C688" s="11" t="s">
        <v>15</v>
      </c>
      <c r="D688" s="11" t="s">
        <v>14</v>
      </c>
      <c r="E688" s="18">
        <f>_xlfn.XLOOKUP(A688,'Current Month'!A:A,'Current Month'!I:I,"")</f>
        <v>2.7094498234469611</v>
      </c>
      <c r="F688" s="21">
        <f>_xlfn.XLOOKUP(A688,'Prior Month'!A:A,'Prior Month'!I:I,"")</f>
        <v>2.3671623813972662</v>
      </c>
      <c r="G688" s="18">
        <f>_xlfn.XLOOKUP(A688,'Year end 2024'!A:A,'Year end 2024'!I:I,"")</f>
        <v>0.9440473541303066</v>
      </c>
      <c r="H688" s="19">
        <f>_xlfn.XLOOKUP(A688,'Current Month'!A:A,'Current Month'!E:E,0,0)</f>
        <v>2983144.22</v>
      </c>
      <c r="I688" s="32">
        <f>_xlfn.XLOOKUP(A688,'Prior Month'!A:A,'Prior Month'!E:E,0,0)</f>
        <v>2648156.96</v>
      </c>
      <c r="J688" s="32">
        <f>_xlfn.XLOOKUP(A688,'Year end 2024'!A:A,'Year end 2024'!E:E,0,0)</f>
        <v>1309351.8400000001</v>
      </c>
      <c r="K688" s="14">
        <f t="shared" si="20"/>
        <v>334987.26000000024</v>
      </c>
      <c r="L688" s="14">
        <f t="shared" si="21"/>
        <v>1673792.3800000001</v>
      </c>
    </row>
    <row r="689" spans="1:12" ht="35.15" customHeight="1" x14ac:dyDescent="0.4">
      <c r="A689" s="11" t="s">
        <v>1433</v>
      </c>
      <c r="B689" s="11" t="s">
        <v>1434</v>
      </c>
      <c r="C689" s="11" t="s">
        <v>15</v>
      </c>
      <c r="D689" s="11" t="s">
        <v>14</v>
      </c>
      <c r="E689" s="18">
        <f>_xlfn.XLOOKUP(A689,'Current Month'!A:A,'Current Month'!I:I,"")</f>
        <v>1.84575326</v>
      </c>
      <c r="F689" s="21">
        <f>_xlfn.XLOOKUP(A689,'Prior Month'!A:A,'Prior Month'!I:I,"")</f>
        <v>1.2464606200000001</v>
      </c>
      <c r="G689" s="18">
        <f>_xlfn.XLOOKUP(A689,'Year end 2024'!A:A,'Year end 2024'!I:I,"")</f>
        <v>3.3390221800000002</v>
      </c>
      <c r="H689" s="19">
        <f>_xlfn.XLOOKUP(A689,'Current Month'!A:A,'Current Month'!E:E,0,0)</f>
        <v>922876.63</v>
      </c>
      <c r="I689" s="32">
        <f>_xlfn.XLOOKUP(A689,'Prior Month'!A:A,'Prior Month'!E:E,0,0)</f>
        <v>623230.31000000006</v>
      </c>
      <c r="J689" s="32">
        <f>_xlfn.XLOOKUP(A689,'Year end 2024'!A:A,'Year end 2024'!E:E,0,0)</f>
        <v>1669511.09</v>
      </c>
      <c r="K689" s="14">
        <f t="shared" si="20"/>
        <v>299646.31999999995</v>
      </c>
      <c r="L689" s="14">
        <f t="shared" si="21"/>
        <v>-746634.46000000008</v>
      </c>
    </row>
    <row r="690" spans="1:12" ht="35.15" customHeight="1" x14ac:dyDescent="0.4">
      <c r="A690" s="11" t="s">
        <v>1435</v>
      </c>
      <c r="B690" s="11" t="s">
        <v>1436</v>
      </c>
      <c r="C690" s="11" t="s">
        <v>67</v>
      </c>
      <c r="D690" s="11" t="s">
        <v>66</v>
      </c>
      <c r="E690" s="18">
        <f>_xlfn.XLOOKUP(A690,'Current Month'!A:A,'Current Month'!I:I,"")</f>
        <v>0</v>
      </c>
      <c r="F690" s="21">
        <f>_xlfn.XLOOKUP(A690,'Prior Month'!A:A,'Prior Month'!I:I,"")</f>
        <v>0</v>
      </c>
      <c r="G690" s="18">
        <f>_xlfn.XLOOKUP(A690,'Year end 2024'!A:A,'Year end 2024'!I:I,"")</f>
        <v>0</v>
      </c>
      <c r="H690" s="19">
        <f>_xlfn.XLOOKUP(A690,'Current Month'!A:A,'Current Month'!E:E,0,0)</f>
        <v>0</v>
      </c>
      <c r="I690" s="32">
        <f>_xlfn.XLOOKUP(A690,'Prior Month'!A:A,'Prior Month'!E:E,0,0)</f>
        <v>0</v>
      </c>
      <c r="J690" s="32">
        <f>_xlfn.XLOOKUP(A690,'Year end 2024'!A:A,'Year end 2024'!E:E,0,0)</f>
        <v>0</v>
      </c>
      <c r="K690" s="14">
        <f t="shared" si="20"/>
        <v>0</v>
      </c>
      <c r="L690" s="14">
        <f t="shared" si="21"/>
        <v>0</v>
      </c>
    </row>
    <row r="691" spans="1:12" ht="35.15" customHeight="1" x14ac:dyDescent="0.4">
      <c r="A691" s="11" t="s">
        <v>1437</v>
      </c>
      <c r="B691" s="11" t="s">
        <v>1438</v>
      </c>
      <c r="C691" s="11" t="s">
        <v>41</v>
      </c>
      <c r="D691" s="11" t="s">
        <v>40</v>
      </c>
      <c r="E691" s="18">
        <f>_xlfn.XLOOKUP(A691,'Current Month'!A:A,'Current Month'!I:I,"")</f>
        <v>0</v>
      </c>
      <c r="F691" s="21">
        <f>_xlfn.XLOOKUP(A691,'Prior Month'!A:A,'Prior Month'!I:I,"")</f>
        <v>0</v>
      </c>
      <c r="G691" s="18">
        <f>_xlfn.XLOOKUP(A691,'Year end 2024'!A:A,'Year end 2024'!I:I,"")</f>
        <v>0</v>
      </c>
      <c r="H691" s="19">
        <f>_xlfn.XLOOKUP(A691,'Current Month'!A:A,'Current Month'!E:E,0,0)</f>
        <v>0</v>
      </c>
      <c r="I691" s="32">
        <f>_xlfn.XLOOKUP(A691,'Prior Month'!A:A,'Prior Month'!E:E,0,0)</f>
        <v>0</v>
      </c>
      <c r="J691" s="32">
        <f>_xlfn.XLOOKUP(A691,'Year end 2024'!A:A,'Year end 2024'!E:E,0,0)</f>
        <v>0</v>
      </c>
      <c r="K691" s="14">
        <f t="shared" si="20"/>
        <v>0</v>
      </c>
      <c r="L691" s="14">
        <f t="shared" si="21"/>
        <v>0</v>
      </c>
    </row>
    <row r="692" spans="1:12" ht="35.15" customHeight="1" x14ac:dyDescent="0.4">
      <c r="A692" s="11" t="s">
        <v>1439</v>
      </c>
      <c r="B692" s="11" t="s">
        <v>1440</v>
      </c>
      <c r="C692" s="11" t="s">
        <v>41</v>
      </c>
      <c r="D692" s="11" t="s">
        <v>40</v>
      </c>
      <c r="E692" s="18" t="str">
        <f>_xlfn.XLOOKUP(A692,'Current Month'!A:A,'Current Month'!I:I,"")</f>
        <v/>
      </c>
      <c r="F692" s="21" t="str">
        <f>_xlfn.XLOOKUP(A692,'Prior Month'!A:A,'Prior Month'!I:I,"")</f>
        <v/>
      </c>
      <c r="G692" s="18">
        <f>_xlfn.XLOOKUP(A692,'Year end 2024'!A:A,'Year end 2024'!I:I,"")</f>
        <v>0.10555342167194437</v>
      </c>
      <c r="H692" s="19">
        <f>_xlfn.XLOOKUP(A692,'Current Month'!A:A,'Current Month'!E:E,0,0)</f>
        <v>1589.88</v>
      </c>
      <c r="I692" s="32">
        <f>_xlfn.XLOOKUP(A692,'Prior Month'!A:A,'Prior Month'!E:E,0,0)</f>
        <v>4919.01</v>
      </c>
      <c r="J692" s="32">
        <f>_xlfn.XLOOKUP(A692,'Year end 2024'!A:A,'Year end 2024'!E:E,0,0)</f>
        <v>26153.46</v>
      </c>
      <c r="K692" s="14">
        <f t="shared" si="20"/>
        <v>-3329.13</v>
      </c>
      <c r="L692" s="14">
        <f t="shared" si="21"/>
        <v>-24563.579999999998</v>
      </c>
    </row>
    <row r="693" spans="1:12" ht="35.15" customHeight="1" x14ac:dyDescent="0.4">
      <c r="A693" s="11" t="s">
        <v>1441</v>
      </c>
      <c r="B693" s="11" t="s">
        <v>1442</v>
      </c>
      <c r="C693" s="11" t="s">
        <v>213</v>
      </c>
      <c r="D693" s="11" t="s">
        <v>212</v>
      </c>
      <c r="E693" s="18">
        <f>_xlfn.XLOOKUP(A693,'Current Month'!A:A,'Current Month'!I:I,"")</f>
        <v>9.6446506127740486E-2</v>
      </c>
      <c r="F693" s="21">
        <f>_xlfn.XLOOKUP(A693,'Prior Month'!A:A,'Prior Month'!I:I,"")</f>
        <v>0.21484314033171409</v>
      </c>
      <c r="G693" s="18">
        <f>_xlfn.XLOOKUP(A693,'Year end 2024'!A:A,'Year end 2024'!I:I,"")</f>
        <v>0.14004903077599307</v>
      </c>
      <c r="H693" s="19">
        <f>_xlfn.XLOOKUP(A693,'Current Month'!A:A,'Current Month'!E:E,0,0)</f>
        <v>58180.97</v>
      </c>
      <c r="I693" s="32">
        <f>_xlfn.XLOOKUP(A693,'Prior Month'!A:A,'Prior Month'!E:E,0,0)</f>
        <v>132629.35</v>
      </c>
      <c r="J693" s="32">
        <f>_xlfn.XLOOKUP(A693,'Year end 2024'!A:A,'Year end 2024'!E:E,0,0)</f>
        <v>115694.15</v>
      </c>
      <c r="K693" s="14">
        <f t="shared" si="20"/>
        <v>-74448.38</v>
      </c>
      <c r="L693" s="14">
        <f t="shared" si="21"/>
        <v>-57513.179999999993</v>
      </c>
    </row>
    <row r="694" spans="1:12" ht="35.15" customHeight="1" x14ac:dyDescent="0.4">
      <c r="A694" s="11" t="s">
        <v>1443</v>
      </c>
      <c r="B694" s="11" t="s">
        <v>1444</v>
      </c>
      <c r="C694" s="11" t="s">
        <v>19</v>
      </c>
      <c r="D694" s="11" t="s">
        <v>18</v>
      </c>
      <c r="E694" s="18" t="str">
        <f>_xlfn.XLOOKUP(A694,'Current Month'!A:A,'Current Month'!I:I,"")</f>
        <v/>
      </c>
      <c r="F694" s="21" t="str">
        <f>_xlfn.XLOOKUP(A694,'Prior Month'!A:A,'Prior Month'!I:I,"")</f>
        <v/>
      </c>
      <c r="G694" s="18" t="str">
        <f>_xlfn.XLOOKUP(A694,'Year end 2024'!A:A,'Year end 2024'!I:I,"")</f>
        <v/>
      </c>
      <c r="H694" s="19">
        <f>_xlfn.XLOOKUP(A694,'Current Month'!A:A,'Current Month'!E:E,0,0)</f>
        <v>62719.43</v>
      </c>
      <c r="I694" s="32">
        <f>_xlfn.XLOOKUP(A694,'Prior Month'!A:A,'Prior Month'!E:E,0,0)</f>
        <v>67173.41</v>
      </c>
      <c r="J694" s="32">
        <f>_xlfn.XLOOKUP(A694,'Year end 2024'!A:A,'Year end 2024'!E:E,0,0)</f>
        <v>168388.16</v>
      </c>
      <c r="K694" s="14">
        <f t="shared" si="20"/>
        <v>-4453.9800000000032</v>
      </c>
      <c r="L694" s="14">
        <f t="shared" si="21"/>
        <v>-105668.73000000001</v>
      </c>
    </row>
    <row r="695" spans="1:12" ht="35.15" customHeight="1" x14ac:dyDescent="0.4">
      <c r="A695" s="11" t="s">
        <v>1445</v>
      </c>
      <c r="B695" s="11" t="s">
        <v>1446</v>
      </c>
      <c r="C695" s="11" t="s">
        <v>457</v>
      </c>
      <c r="D695" s="11" t="s">
        <v>456</v>
      </c>
      <c r="E695" s="18">
        <f>_xlfn.XLOOKUP(A695,'Current Month'!A:A,'Current Month'!I:I,"")</f>
        <v>0</v>
      </c>
      <c r="F695" s="21">
        <f>_xlfn.XLOOKUP(A695,'Prior Month'!A:A,'Prior Month'!I:I,"")</f>
        <v>0</v>
      </c>
      <c r="G695" s="18">
        <f>_xlfn.XLOOKUP(A695,'Year end 2024'!A:A,'Year end 2024'!I:I,"")</f>
        <v>0</v>
      </c>
      <c r="H695" s="19">
        <f>_xlfn.XLOOKUP(A695,'Current Month'!A:A,'Current Month'!E:E,0,0)</f>
        <v>0</v>
      </c>
      <c r="I695" s="32">
        <f>_xlfn.XLOOKUP(A695,'Prior Month'!A:A,'Prior Month'!E:E,0,0)</f>
        <v>0</v>
      </c>
      <c r="J695" s="32">
        <f>_xlfn.XLOOKUP(A695,'Year end 2024'!A:A,'Year end 2024'!E:E,0,0)</f>
        <v>0</v>
      </c>
      <c r="K695" s="14">
        <f t="shared" si="20"/>
        <v>0</v>
      </c>
      <c r="L695" s="14">
        <f t="shared" si="21"/>
        <v>0</v>
      </c>
    </row>
    <row r="696" spans="1:12" ht="35.15" customHeight="1" x14ac:dyDescent="0.4">
      <c r="A696" s="11" t="s">
        <v>1447</v>
      </c>
      <c r="B696" s="11" t="s">
        <v>1448</v>
      </c>
      <c r="C696" s="11" t="s">
        <v>465</v>
      </c>
      <c r="D696" s="11" t="s">
        <v>464</v>
      </c>
      <c r="E696" s="18">
        <f>_xlfn.XLOOKUP(A696,'Current Month'!A:A,'Current Month'!I:I,"")</f>
        <v>0.63043637506075112</v>
      </c>
      <c r="F696" s="21">
        <f>_xlfn.XLOOKUP(A696,'Prior Month'!A:A,'Prior Month'!I:I,"")</f>
        <v>0.6181389672457015</v>
      </c>
      <c r="G696" s="18">
        <f>_xlfn.XLOOKUP(A696,'Year end 2024'!A:A,'Year end 2024'!I:I,"")</f>
        <v>0.69016085408925698</v>
      </c>
      <c r="H696" s="19">
        <f>_xlfn.XLOOKUP(A696,'Current Month'!A:A,'Current Month'!E:E,0,0)</f>
        <v>2180064.79</v>
      </c>
      <c r="I696" s="32">
        <f>_xlfn.XLOOKUP(A696,'Prior Month'!A:A,'Prior Month'!E:E,0,0)</f>
        <v>2173805.69</v>
      </c>
      <c r="J696" s="32">
        <f>_xlfn.XLOOKUP(A696,'Year end 2024'!A:A,'Year end 2024'!E:E,0,0)</f>
        <v>2121336.63</v>
      </c>
      <c r="K696" s="14">
        <f t="shared" si="20"/>
        <v>6259.1000000000931</v>
      </c>
      <c r="L696" s="14">
        <f t="shared" si="21"/>
        <v>58728.160000000149</v>
      </c>
    </row>
    <row r="697" spans="1:12" ht="35.15" customHeight="1" x14ac:dyDescent="0.4">
      <c r="A697" s="11" t="s">
        <v>1449</v>
      </c>
      <c r="B697" s="11" t="s">
        <v>1450</v>
      </c>
      <c r="C697" s="11" t="s">
        <v>253</v>
      </c>
      <c r="D697" s="11" t="s">
        <v>252</v>
      </c>
      <c r="E697" s="18">
        <f>_xlfn.XLOOKUP(A697,'Current Month'!A:A,'Current Month'!I:I,"")</f>
        <v>7.8601082918710041E-2</v>
      </c>
      <c r="F697" s="21">
        <f>_xlfn.XLOOKUP(A697,'Prior Month'!A:A,'Prior Month'!I:I,"")</f>
        <v>8.4744149498732727E-2</v>
      </c>
      <c r="G697" s="18">
        <f>_xlfn.XLOOKUP(A697,'Year end 2024'!A:A,'Year end 2024'!I:I,"")</f>
        <v>4.2238000820223207E-2</v>
      </c>
      <c r="H697" s="19">
        <f>_xlfn.XLOOKUP(A697,'Current Month'!A:A,'Current Month'!E:E,0,0)</f>
        <v>57609.120000000003</v>
      </c>
      <c r="I697" s="32">
        <f>_xlfn.XLOOKUP(A697,'Prior Month'!A:A,'Prior Month'!E:E,0,0)</f>
        <v>62111.56</v>
      </c>
      <c r="J697" s="32">
        <f>_xlfn.XLOOKUP(A697,'Year end 2024'!A:A,'Year end 2024'!E:E,0,0)</f>
        <v>32153.94</v>
      </c>
      <c r="K697" s="14">
        <f t="shared" ref="K697:K759" si="22">IFERROR(SUM(H697-I697),H697)</f>
        <v>-4502.4399999999951</v>
      </c>
      <c r="L697" s="14">
        <f t="shared" ref="L697:L759" si="23">IFERROR(SUM(H697-J697),H697)</f>
        <v>25455.180000000004</v>
      </c>
    </row>
    <row r="698" spans="1:12" ht="35.15" customHeight="1" x14ac:dyDescent="0.4">
      <c r="A698" s="11" t="s">
        <v>1451</v>
      </c>
      <c r="B698" s="11" t="s">
        <v>1452</v>
      </c>
      <c r="C698" s="11" t="s">
        <v>19</v>
      </c>
      <c r="D698" s="11" t="s">
        <v>18</v>
      </c>
      <c r="E698" s="18" t="str">
        <f>_xlfn.XLOOKUP(A698,'Current Month'!A:A,'Current Month'!I:I,"")</f>
        <v/>
      </c>
      <c r="F698" s="21" t="str">
        <f>_xlfn.XLOOKUP(A698,'Prior Month'!A:A,'Prior Month'!I:I,"")</f>
        <v/>
      </c>
      <c r="G698" s="18" t="str">
        <f>_xlfn.XLOOKUP(A698,'Year end 2024'!A:A,'Year end 2024'!I:I,"")</f>
        <v/>
      </c>
      <c r="H698" s="19">
        <f>_xlfn.XLOOKUP(A698,'Current Month'!A:A,'Current Month'!E:E,0,0)</f>
        <v>674.1</v>
      </c>
      <c r="I698" s="32">
        <f>_xlfn.XLOOKUP(A698,'Prior Month'!A:A,'Prior Month'!E:E,0,0)</f>
        <v>8647.17</v>
      </c>
      <c r="J698" s="32">
        <f>_xlfn.XLOOKUP(A698,'Year end 2024'!A:A,'Year end 2024'!E:E,0,0)</f>
        <v>28054.06</v>
      </c>
      <c r="K698" s="14">
        <f t="shared" si="22"/>
        <v>-7973.07</v>
      </c>
      <c r="L698" s="14">
        <f t="shared" si="23"/>
        <v>-27379.960000000003</v>
      </c>
    </row>
    <row r="699" spans="1:12" ht="35.15" customHeight="1" x14ac:dyDescent="0.4">
      <c r="A699" s="11" t="s">
        <v>1453</v>
      </c>
      <c r="B699" s="11" t="s">
        <v>1454</v>
      </c>
      <c r="C699" s="11" t="s">
        <v>101</v>
      </c>
      <c r="D699" s="11" t="s">
        <v>100</v>
      </c>
      <c r="E699" s="18">
        <f>_xlfn.XLOOKUP(A699,'Current Month'!A:A,'Current Month'!I:I,"")</f>
        <v>0.14554806326302278</v>
      </c>
      <c r="F699" s="21">
        <f>_xlfn.XLOOKUP(A699,'Prior Month'!A:A,'Prior Month'!I:I,"")</f>
        <v>0.12809411366573376</v>
      </c>
      <c r="G699" s="18">
        <f>_xlfn.XLOOKUP(A699,'Year end 2024'!A:A,'Year end 2024'!I:I,"")</f>
        <v>3.3161278305854358E-2</v>
      </c>
      <c r="H699" s="19">
        <f>_xlfn.XLOOKUP(A699,'Current Month'!A:A,'Current Month'!E:E,0,0)</f>
        <v>476993.2</v>
      </c>
      <c r="I699" s="32">
        <f>_xlfn.XLOOKUP(A699,'Prior Month'!A:A,'Prior Month'!E:E,0,0)</f>
        <v>422452.55</v>
      </c>
      <c r="J699" s="32">
        <f>_xlfn.XLOOKUP(A699,'Year end 2024'!A:A,'Year end 2024'!E:E,0,0)</f>
        <v>188909.3</v>
      </c>
      <c r="K699" s="14">
        <f t="shared" si="22"/>
        <v>54540.650000000023</v>
      </c>
      <c r="L699" s="14">
        <f t="shared" si="23"/>
        <v>288083.90000000002</v>
      </c>
    </row>
    <row r="700" spans="1:12" ht="35.15" customHeight="1" x14ac:dyDescent="0.4">
      <c r="A700" s="11" t="s">
        <v>1455</v>
      </c>
      <c r="B700" s="11" t="s">
        <v>1456</v>
      </c>
      <c r="C700" s="11" t="s">
        <v>19</v>
      </c>
      <c r="D700" s="11" t="s">
        <v>18</v>
      </c>
      <c r="E700" s="18" t="str">
        <f>_xlfn.XLOOKUP(A700,'Current Month'!A:A,'Current Month'!I:I,"")</f>
        <v/>
      </c>
      <c r="F700" s="21" t="str">
        <f>_xlfn.XLOOKUP(A700,'Prior Month'!A:A,'Prior Month'!I:I,"")</f>
        <v/>
      </c>
      <c r="G700" s="18">
        <f>_xlfn.XLOOKUP(A700,'Year end 2024'!A:A,'Year end 2024'!I:I,"")</f>
        <v>1.7332437066114543</v>
      </c>
      <c r="H700" s="19">
        <f>_xlfn.XLOOKUP(A700,'Current Month'!A:A,'Current Month'!E:E,0,0)</f>
        <v>61108.13</v>
      </c>
      <c r="I700" s="32">
        <f>_xlfn.XLOOKUP(A700,'Prior Month'!A:A,'Prior Month'!E:E,0,0)</f>
        <v>55095.360000000001</v>
      </c>
      <c r="J700" s="32">
        <f>_xlfn.XLOOKUP(A700,'Year end 2024'!A:A,'Year end 2024'!E:E,0,0)</f>
        <v>18500.47</v>
      </c>
      <c r="K700" s="14">
        <f t="shared" si="22"/>
        <v>6012.7699999999968</v>
      </c>
      <c r="L700" s="14">
        <f t="shared" si="23"/>
        <v>42607.659999999996</v>
      </c>
    </row>
    <row r="701" spans="1:12" ht="35.15" customHeight="1" x14ac:dyDescent="0.4">
      <c r="A701" s="11" t="s">
        <v>1457</v>
      </c>
      <c r="B701" s="11" t="s">
        <v>1458</v>
      </c>
      <c r="C701" s="11" t="s">
        <v>19</v>
      </c>
      <c r="D701" s="11" t="s">
        <v>18</v>
      </c>
      <c r="E701" s="18">
        <f>_xlfn.XLOOKUP(A701,'Current Month'!A:A,'Current Month'!I:I,"")</f>
        <v>3.0530100000000001E-2</v>
      </c>
      <c r="F701" s="21">
        <f>_xlfn.XLOOKUP(A701,'Prior Month'!A:A,'Prior Month'!I:I,"")</f>
        <v>2.9398800000000003E-2</v>
      </c>
      <c r="G701" s="18">
        <f>_xlfn.XLOOKUP(A701,'Year end 2024'!A:A,'Year end 2024'!I:I,"")</f>
        <v>7.9584000000000009E-3</v>
      </c>
      <c r="H701" s="19">
        <f>_xlfn.XLOOKUP(A701,'Current Month'!A:A,'Current Month'!E:E,0,0)</f>
        <v>3053.01</v>
      </c>
      <c r="I701" s="32">
        <f>_xlfn.XLOOKUP(A701,'Prior Month'!A:A,'Prior Month'!E:E,0,0)</f>
        <v>2939.88</v>
      </c>
      <c r="J701" s="32">
        <f>_xlfn.XLOOKUP(A701,'Year end 2024'!A:A,'Year end 2024'!E:E,0,0)</f>
        <v>795.84</v>
      </c>
      <c r="K701" s="14">
        <f t="shared" si="22"/>
        <v>113.13000000000011</v>
      </c>
      <c r="L701" s="14">
        <f t="shared" si="23"/>
        <v>2257.17</v>
      </c>
    </row>
    <row r="702" spans="1:12" ht="35.15" customHeight="1" x14ac:dyDescent="0.4">
      <c r="A702" s="11" t="s">
        <v>1459</v>
      </c>
      <c r="B702" s="11" t="s">
        <v>1460</v>
      </c>
      <c r="C702" s="11" t="s">
        <v>213</v>
      </c>
      <c r="D702" s="11" t="s">
        <v>212</v>
      </c>
      <c r="E702" s="18">
        <f>_xlfn.XLOOKUP(A702,'Current Month'!A:A,'Current Month'!I:I,"")</f>
        <v>0.16355663112476582</v>
      </c>
      <c r="F702" s="21">
        <f>_xlfn.XLOOKUP(A702,'Prior Month'!A:A,'Prior Month'!I:I,"")</f>
        <v>0.3096402194145258</v>
      </c>
      <c r="G702" s="18">
        <f>_xlfn.XLOOKUP(A702,'Year end 2024'!A:A,'Year end 2024'!I:I,"")</f>
        <v>0.2285502974342864</v>
      </c>
      <c r="H702" s="19">
        <f>_xlfn.XLOOKUP(A702,'Current Month'!A:A,'Current Month'!E:E,0,0)</f>
        <v>40585.86</v>
      </c>
      <c r="I702" s="32">
        <f>_xlfn.XLOOKUP(A702,'Prior Month'!A:A,'Prior Month'!E:E,0,0)</f>
        <v>77027.289999999994</v>
      </c>
      <c r="J702" s="32">
        <f>_xlfn.XLOOKUP(A702,'Year end 2024'!A:A,'Year end 2024'!E:E,0,0)</f>
        <v>57910.92</v>
      </c>
      <c r="K702" s="14">
        <f t="shared" si="22"/>
        <v>-36441.429999999993</v>
      </c>
      <c r="L702" s="14">
        <f t="shared" si="23"/>
        <v>-17325.059999999998</v>
      </c>
    </row>
    <row r="703" spans="1:12" ht="35.15" customHeight="1" x14ac:dyDescent="0.4">
      <c r="A703" s="11" t="s">
        <v>1461</v>
      </c>
      <c r="B703" s="11" t="s">
        <v>1462</v>
      </c>
      <c r="C703" s="11" t="s">
        <v>29</v>
      </c>
      <c r="D703" s="11" t="s">
        <v>28</v>
      </c>
      <c r="E703" s="18" t="str">
        <f>_xlfn.XLOOKUP(A703,'Current Month'!A:A,'Current Month'!I:I,"")</f>
        <v/>
      </c>
      <c r="F703" s="21" t="str">
        <f>_xlfn.XLOOKUP(A703,'Prior Month'!A:A,'Prior Month'!I:I,"")</f>
        <v/>
      </c>
      <c r="G703" s="18" t="str">
        <f>_xlfn.XLOOKUP(A703,'Year end 2024'!A:A,'Year end 2024'!I:I,"")</f>
        <v/>
      </c>
      <c r="H703" s="19">
        <f>_xlfn.XLOOKUP(A703,'Current Month'!A:A,'Current Month'!E:E,0,0)</f>
        <v>255639.93</v>
      </c>
      <c r="I703" s="32">
        <f>_xlfn.XLOOKUP(A703,'Prior Month'!A:A,'Prior Month'!E:E,0,0)</f>
        <v>204200.88</v>
      </c>
      <c r="J703" s="32">
        <f>_xlfn.XLOOKUP(A703,'Year end 2024'!A:A,'Year end 2024'!E:E,0,0)</f>
        <v>74259.899999999994</v>
      </c>
      <c r="K703" s="14">
        <f t="shared" si="22"/>
        <v>51439.049999999988</v>
      </c>
      <c r="L703" s="14">
        <f t="shared" si="23"/>
        <v>181380.03</v>
      </c>
    </row>
    <row r="704" spans="1:12" ht="35.15" customHeight="1" x14ac:dyDescent="0.4">
      <c r="A704" s="11" t="s">
        <v>1463</v>
      </c>
      <c r="B704" s="11" t="s">
        <v>1464</v>
      </c>
      <c r="C704" s="11" t="s">
        <v>67</v>
      </c>
      <c r="D704" s="11" t="s">
        <v>66</v>
      </c>
      <c r="E704" s="18">
        <f>_xlfn.XLOOKUP(A704,'Current Month'!A:A,'Current Month'!I:I,"")</f>
        <v>0</v>
      </c>
      <c r="F704" s="21">
        <f>_xlfn.XLOOKUP(A704,'Prior Month'!A:A,'Prior Month'!I:I,"")</f>
        <v>0</v>
      </c>
      <c r="G704" s="18">
        <f>_xlfn.XLOOKUP(A704,'Year end 2024'!A:A,'Year end 2024'!I:I,"")</f>
        <v>0</v>
      </c>
      <c r="H704" s="19">
        <f>_xlfn.XLOOKUP(A704,'Current Month'!A:A,'Current Month'!E:E,0,0)</f>
        <v>0</v>
      </c>
      <c r="I704" s="32">
        <f>_xlfn.XLOOKUP(A704,'Prior Month'!A:A,'Prior Month'!E:E,0,0)</f>
        <v>0</v>
      </c>
      <c r="J704" s="32">
        <f>_xlfn.XLOOKUP(A704,'Year end 2024'!A:A,'Year end 2024'!E:E,0,0)</f>
        <v>0</v>
      </c>
      <c r="K704" s="14">
        <f t="shared" si="22"/>
        <v>0</v>
      </c>
      <c r="L704" s="14">
        <f t="shared" si="23"/>
        <v>0</v>
      </c>
    </row>
    <row r="705" spans="1:12" ht="35.15" customHeight="1" x14ac:dyDescent="0.4">
      <c r="A705" s="11" t="s">
        <v>1465</v>
      </c>
      <c r="B705" s="11" t="s">
        <v>1466</v>
      </c>
      <c r="C705" s="11" t="s">
        <v>101</v>
      </c>
      <c r="D705" s="11" t="s">
        <v>100</v>
      </c>
      <c r="E705" s="18">
        <f>_xlfn.XLOOKUP(A705,'Current Month'!A:A,'Current Month'!I:I,"")</f>
        <v>0.43835867810042789</v>
      </c>
      <c r="F705" s="21">
        <f>_xlfn.XLOOKUP(A705,'Prior Month'!A:A,'Prior Month'!I:I,"")</f>
        <v>0.5699187469992496</v>
      </c>
      <c r="G705" s="18">
        <f>_xlfn.XLOOKUP(A705,'Year end 2024'!A:A,'Year end 2024'!I:I,"")</f>
        <v>0.44832396310786954</v>
      </c>
      <c r="H705" s="19">
        <f>_xlfn.XLOOKUP(A705,'Current Month'!A:A,'Current Month'!E:E,0,0)</f>
        <v>1870619.38</v>
      </c>
      <c r="I705" s="32">
        <f>_xlfn.XLOOKUP(A705,'Prior Month'!A:A,'Prior Month'!E:E,0,0)</f>
        <v>2472270.9300000002</v>
      </c>
      <c r="J705" s="32">
        <f>_xlfn.XLOOKUP(A705,'Year end 2024'!A:A,'Year end 2024'!E:E,0,0)</f>
        <v>1874483.35</v>
      </c>
      <c r="K705" s="14">
        <f t="shared" si="22"/>
        <v>-601651.55000000028</v>
      </c>
      <c r="L705" s="14">
        <f t="shared" si="23"/>
        <v>-3863.9700000002049</v>
      </c>
    </row>
    <row r="706" spans="1:12" ht="35.15" customHeight="1" x14ac:dyDescent="0.4">
      <c r="A706" s="11" t="s">
        <v>1467</v>
      </c>
      <c r="B706" s="11" t="s">
        <v>1468</v>
      </c>
      <c r="C706" s="11" t="s">
        <v>457</v>
      </c>
      <c r="D706" s="11" t="s">
        <v>456</v>
      </c>
      <c r="E706" s="18">
        <f>_xlfn.XLOOKUP(A706,'Current Month'!A:A,'Current Month'!I:I,"")</f>
        <v>1.9202386925923964E-2</v>
      </c>
      <c r="F706" s="21">
        <f>_xlfn.XLOOKUP(A706,'Prior Month'!A:A,'Prior Month'!I:I,"")</f>
        <v>3.1636122288791292E-2</v>
      </c>
      <c r="G706" s="18">
        <f>_xlfn.XLOOKUP(A706,'Year end 2024'!A:A,'Year end 2024'!I:I,"")</f>
        <v>1.3140853048495473E-3</v>
      </c>
      <c r="H706" s="19">
        <f>_xlfn.XLOOKUP(A706,'Current Month'!A:A,'Current Month'!E:E,0,0)</f>
        <v>6597.91</v>
      </c>
      <c r="I706" s="32">
        <f>_xlfn.XLOOKUP(A706,'Prior Month'!A:A,'Prior Month'!E:E,0,0)</f>
        <v>10909.29</v>
      </c>
      <c r="J706" s="32">
        <f>_xlfn.XLOOKUP(A706,'Year end 2024'!A:A,'Year end 2024'!E:E,0,0)</f>
        <v>468.2</v>
      </c>
      <c r="K706" s="14">
        <f t="shared" si="22"/>
        <v>-4311.380000000001</v>
      </c>
      <c r="L706" s="14">
        <f t="shared" si="23"/>
        <v>6129.71</v>
      </c>
    </row>
    <row r="707" spans="1:12" ht="35.15" customHeight="1" x14ac:dyDescent="0.4">
      <c r="A707" s="11" t="s">
        <v>1469</v>
      </c>
      <c r="B707" s="11" t="s">
        <v>1470</v>
      </c>
      <c r="C707" s="11" t="s">
        <v>213</v>
      </c>
      <c r="D707" s="11" t="s">
        <v>212</v>
      </c>
      <c r="E707" s="18">
        <f>_xlfn.XLOOKUP(A707,'Current Month'!A:A,'Current Month'!I:I,"")</f>
        <v>0</v>
      </c>
      <c r="F707" s="21">
        <f>_xlfn.XLOOKUP(A707,'Prior Month'!A:A,'Prior Month'!I:I,"")</f>
        <v>0</v>
      </c>
      <c r="G707" s="18">
        <f>_xlfn.XLOOKUP(A707,'Year end 2024'!A:A,'Year end 2024'!I:I,"")</f>
        <v>0</v>
      </c>
      <c r="H707" s="19">
        <f>_xlfn.XLOOKUP(A707,'Current Month'!A:A,'Current Month'!E:E,0,0)</f>
        <v>0</v>
      </c>
      <c r="I707" s="32">
        <f>_xlfn.XLOOKUP(A707,'Prior Month'!A:A,'Prior Month'!E:E,0,0)</f>
        <v>0</v>
      </c>
      <c r="J707" s="32">
        <f>_xlfn.XLOOKUP(A707,'Year end 2024'!A:A,'Year end 2024'!E:E,0,0)</f>
        <v>0</v>
      </c>
      <c r="K707" s="14">
        <f t="shared" si="22"/>
        <v>0</v>
      </c>
      <c r="L707" s="14">
        <f t="shared" si="23"/>
        <v>0</v>
      </c>
    </row>
    <row r="708" spans="1:12" ht="35.15" customHeight="1" x14ac:dyDescent="0.4">
      <c r="A708" s="11" t="s">
        <v>1471</v>
      </c>
      <c r="B708" s="11" t="s">
        <v>1472</v>
      </c>
      <c r="C708" s="11" t="s">
        <v>259</v>
      </c>
      <c r="D708" s="11" t="s">
        <v>258</v>
      </c>
      <c r="E708" s="18">
        <f>_xlfn.XLOOKUP(A708,'Current Month'!A:A,'Current Month'!I:I,"")</f>
        <v>4.8854073026793225E-2</v>
      </c>
      <c r="F708" s="21">
        <f>_xlfn.XLOOKUP(A708,'Prior Month'!A:A,'Prior Month'!I:I,"")</f>
        <v>5.4212791496907109E-2</v>
      </c>
      <c r="G708" s="18">
        <f>_xlfn.XLOOKUP(A708,'Year end 2024'!A:A,'Year end 2024'!I:I,"")</f>
        <v>5.9280807396262424E-2</v>
      </c>
      <c r="H708" s="19">
        <f>_xlfn.XLOOKUP(A708,'Current Month'!A:A,'Current Month'!E:E,0,0)</f>
        <v>34294.589999999997</v>
      </c>
      <c r="I708" s="32">
        <f>_xlfn.XLOOKUP(A708,'Prior Month'!A:A,'Prior Month'!E:E,0,0)</f>
        <v>38201.5</v>
      </c>
      <c r="J708" s="32">
        <f>_xlfn.XLOOKUP(A708,'Year end 2024'!A:A,'Year end 2024'!E:E,0,0)</f>
        <v>43204.91</v>
      </c>
      <c r="K708" s="14">
        <f t="shared" si="22"/>
        <v>-3906.9100000000035</v>
      </c>
      <c r="L708" s="14">
        <f t="shared" si="23"/>
        <v>-8910.320000000007</v>
      </c>
    </row>
    <row r="709" spans="1:12" ht="35.15" customHeight="1" x14ac:dyDescent="0.4">
      <c r="A709" s="11" t="s">
        <v>1473</v>
      </c>
      <c r="B709" s="11" t="s">
        <v>1474</v>
      </c>
      <c r="C709" s="11" t="s">
        <v>101</v>
      </c>
      <c r="D709" s="11" t="s">
        <v>100</v>
      </c>
      <c r="E709" s="18">
        <f>_xlfn.XLOOKUP(A709,'Current Month'!A:A,'Current Month'!I:I,"")</f>
        <v>1.2168996359182915</v>
      </c>
      <c r="F709" s="21">
        <f>_xlfn.XLOOKUP(A709,'Prior Month'!A:A,'Prior Month'!I:I,"")</f>
        <v>1.5475200913422695</v>
      </c>
      <c r="G709" s="18">
        <f>_xlfn.XLOOKUP(A709,'Year end 2024'!A:A,'Year end 2024'!I:I,"")</f>
        <v>0.7241128544616644</v>
      </c>
      <c r="H709" s="19">
        <f>_xlfn.XLOOKUP(A709,'Current Month'!A:A,'Current Month'!E:E,0,0)</f>
        <v>7935145.7599999998</v>
      </c>
      <c r="I709" s="32">
        <f>_xlfn.XLOOKUP(A709,'Prior Month'!A:A,'Prior Month'!E:E,0,0)</f>
        <v>10329356.960000001</v>
      </c>
      <c r="J709" s="32">
        <f>_xlfn.XLOOKUP(A709,'Year end 2024'!A:A,'Year end 2024'!E:E,0,0)</f>
        <v>6587348.3300000001</v>
      </c>
      <c r="K709" s="14">
        <f t="shared" si="22"/>
        <v>-2394211.2000000011</v>
      </c>
      <c r="L709" s="14">
        <f t="shared" si="23"/>
        <v>1347797.4299999997</v>
      </c>
    </row>
    <row r="710" spans="1:12" ht="35.15" customHeight="1" x14ac:dyDescent="0.4">
      <c r="A710" s="11" t="s">
        <v>1475</v>
      </c>
      <c r="B710" s="11" t="s">
        <v>1476</v>
      </c>
      <c r="C710" s="11" t="s">
        <v>465</v>
      </c>
      <c r="D710" s="11" t="s">
        <v>464</v>
      </c>
      <c r="E710" s="18">
        <f>_xlfn.XLOOKUP(A710,'Current Month'!A:A,'Current Month'!I:I,"")</f>
        <v>0.5228402229574044</v>
      </c>
      <c r="F710" s="21">
        <f>_xlfn.XLOOKUP(A710,'Prior Month'!A:A,'Prior Month'!I:I,"")</f>
        <v>0.54788944100086345</v>
      </c>
      <c r="G710" s="18">
        <f>_xlfn.XLOOKUP(A710,'Year end 2024'!A:A,'Year end 2024'!I:I,"")</f>
        <v>0.43735993802084927</v>
      </c>
      <c r="H710" s="19">
        <f>_xlfn.XLOOKUP(A710,'Current Month'!A:A,'Current Month'!E:E,0,0)</f>
        <v>1604441.23</v>
      </c>
      <c r="I710" s="32">
        <f>_xlfn.XLOOKUP(A710,'Prior Month'!A:A,'Prior Month'!E:E,0,0)</f>
        <v>1697986</v>
      </c>
      <c r="J710" s="32">
        <f>_xlfn.XLOOKUP(A710,'Year end 2024'!A:A,'Year end 2024'!E:E,0,0)</f>
        <v>1391328.91</v>
      </c>
      <c r="K710" s="14">
        <f t="shared" si="22"/>
        <v>-93544.770000000019</v>
      </c>
      <c r="L710" s="14">
        <f t="shared" si="23"/>
        <v>213112.32000000007</v>
      </c>
    </row>
    <row r="711" spans="1:12" ht="35.15" customHeight="1" x14ac:dyDescent="0.4">
      <c r="A711" s="11" t="s">
        <v>1477</v>
      </c>
      <c r="B711" s="11" t="s">
        <v>1478</v>
      </c>
      <c r="C711" s="11" t="s">
        <v>185</v>
      </c>
      <c r="D711" s="11" t="s">
        <v>184</v>
      </c>
      <c r="E711" s="18">
        <f>_xlfn.XLOOKUP(A711,'Current Month'!A:A,'Current Month'!I:I,"")</f>
        <v>9.786666971140752E-5</v>
      </c>
      <c r="F711" s="21">
        <f>_xlfn.XLOOKUP(A711,'Prior Month'!A:A,'Prior Month'!I:I,"")</f>
        <v>1.1615482865427993E-4</v>
      </c>
      <c r="G711" s="18">
        <f>_xlfn.XLOOKUP(A711,'Year end 2024'!A:A,'Year end 2024'!I:I,"")</f>
        <v>1.9984754998543581E-4</v>
      </c>
      <c r="H711" s="19">
        <f>_xlfn.XLOOKUP(A711,'Current Month'!A:A,'Current Month'!E:E,0,0)</f>
        <v>25.8</v>
      </c>
      <c r="I711" s="32">
        <f>_xlfn.XLOOKUP(A711,'Prior Month'!A:A,'Prior Month'!E:E,0,0)</f>
        <v>30.8</v>
      </c>
      <c r="J711" s="32">
        <f>_xlfn.XLOOKUP(A711,'Year end 2024'!A:A,'Year end 2024'!E:E,0,0)</f>
        <v>55.8</v>
      </c>
      <c r="K711" s="14">
        <f t="shared" si="22"/>
        <v>-5</v>
      </c>
      <c r="L711" s="14">
        <f t="shared" si="23"/>
        <v>-29.999999999999996</v>
      </c>
    </row>
    <row r="712" spans="1:12" ht="35.15" customHeight="1" x14ac:dyDescent="0.4">
      <c r="A712" s="11" t="s">
        <v>1479</v>
      </c>
      <c r="B712" s="11" t="s">
        <v>1480</v>
      </c>
      <c r="C712" s="11" t="s">
        <v>487</v>
      </c>
      <c r="D712" s="11" t="s">
        <v>486</v>
      </c>
      <c r="E712" s="18">
        <f>_xlfn.XLOOKUP(A712,'Current Month'!A:A,'Current Month'!I:I,"")</f>
        <v>0.3490176317741408</v>
      </c>
      <c r="F712" s="21">
        <f>_xlfn.XLOOKUP(A712,'Prior Month'!A:A,'Prior Month'!I:I,"")</f>
        <v>0.33205383356168711</v>
      </c>
      <c r="G712" s="18">
        <f>_xlfn.XLOOKUP(A712,'Year end 2024'!A:A,'Year end 2024'!I:I,"")</f>
        <v>0.57728336594109142</v>
      </c>
      <c r="H712" s="19">
        <f>_xlfn.XLOOKUP(A712,'Current Month'!A:A,'Current Month'!E:E,0,0)</f>
        <v>1599345.09</v>
      </c>
      <c r="I712" s="32">
        <f>_xlfn.XLOOKUP(A712,'Prior Month'!A:A,'Prior Month'!E:E,0,0)</f>
        <v>1527139.08</v>
      </c>
      <c r="J712" s="32">
        <f>_xlfn.XLOOKUP(A712,'Year end 2024'!A:A,'Year end 2024'!E:E,0,0)</f>
        <v>2737891.01</v>
      </c>
      <c r="K712" s="14">
        <f t="shared" si="22"/>
        <v>72206.010000000009</v>
      </c>
      <c r="L712" s="14">
        <f t="shared" si="23"/>
        <v>-1138545.9199999997</v>
      </c>
    </row>
    <row r="713" spans="1:12" ht="35.15" customHeight="1" x14ac:dyDescent="0.4">
      <c r="A713" s="11" t="s">
        <v>1481</v>
      </c>
      <c r="B713" s="11" t="s">
        <v>1482</v>
      </c>
      <c r="C713" s="11" t="s">
        <v>213</v>
      </c>
      <c r="D713" s="11" t="s">
        <v>212</v>
      </c>
      <c r="E713" s="18">
        <f>_xlfn.XLOOKUP(A713,'Current Month'!A:A,'Current Month'!I:I,"")</f>
        <v>0</v>
      </c>
      <c r="F713" s="21">
        <f>_xlfn.XLOOKUP(A713,'Prior Month'!A:A,'Prior Month'!I:I,"")</f>
        <v>0</v>
      </c>
      <c r="G713" s="18">
        <f>_xlfn.XLOOKUP(A713,'Year end 2024'!A:A,'Year end 2024'!I:I,"")</f>
        <v>1.2539000372788824E-2</v>
      </c>
      <c r="H713" s="19">
        <f>_xlfn.XLOOKUP(A713,'Current Month'!A:A,'Current Month'!E:E,0,0)</f>
        <v>0</v>
      </c>
      <c r="I713" s="32">
        <f>_xlfn.XLOOKUP(A713,'Prior Month'!A:A,'Prior Month'!E:E,0,0)</f>
        <v>0</v>
      </c>
      <c r="J713" s="32">
        <f>_xlfn.XLOOKUP(A713,'Year end 2024'!A:A,'Year end 2024'!E:E,0,0)</f>
        <v>17096</v>
      </c>
      <c r="K713" s="14">
        <f t="shared" si="22"/>
        <v>0</v>
      </c>
      <c r="L713" s="14">
        <f t="shared" si="23"/>
        <v>-17096</v>
      </c>
    </row>
    <row r="714" spans="1:12" ht="35.15" customHeight="1" x14ac:dyDescent="0.4">
      <c r="A714" s="11" t="s">
        <v>1483</v>
      </c>
      <c r="B714" s="11" t="s">
        <v>1484</v>
      </c>
      <c r="C714" s="11" t="s">
        <v>77</v>
      </c>
      <c r="D714" s="11" t="s">
        <v>76</v>
      </c>
      <c r="E714" s="18">
        <f>_xlfn.XLOOKUP(A714,'Current Month'!A:A,'Current Month'!I:I,"")</f>
        <v>0.17485756629855992</v>
      </c>
      <c r="F714" s="21">
        <f>_xlfn.XLOOKUP(A714,'Prior Month'!A:A,'Prior Month'!I:I,"")</f>
        <v>6.6575951525325916E-2</v>
      </c>
      <c r="G714" s="18">
        <f>_xlfn.XLOOKUP(A714,'Year end 2024'!A:A,'Year end 2024'!I:I,"")</f>
        <v>1.6937413110195945E-2</v>
      </c>
      <c r="H714" s="19">
        <f>_xlfn.XLOOKUP(A714,'Current Month'!A:A,'Current Month'!E:E,0,0)</f>
        <v>13332.19</v>
      </c>
      <c r="I714" s="32">
        <f>_xlfn.XLOOKUP(A714,'Prior Month'!A:A,'Prior Month'!E:E,0,0)</f>
        <v>5076.1499999999996</v>
      </c>
      <c r="J714" s="32">
        <f>_xlfn.XLOOKUP(A714,'Year end 2024'!A:A,'Year end 2024'!E:E,0,0)</f>
        <v>1291.4100000000001</v>
      </c>
      <c r="K714" s="14">
        <f t="shared" si="22"/>
        <v>8256.0400000000009</v>
      </c>
      <c r="L714" s="14">
        <f t="shared" si="23"/>
        <v>12040.78</v>
      </c>
    </row>
    <row r="715" spans="1:12" ht="35.15" customHeight="1" x14ac:dyDescent="0.4">
      <c r="A715" s="11" t="s">
        <v>1485</v>
      </c>
      <c r="B715" s="11" t="s">
        <v>1486</v>
      </c>
      <c r="C715" s="11" t="s">
        <v>465</v>
      </c>
      <c r="D715" s="11" t="s">
        <v>464</v>
      </c>
      <c r="E715" s="18">
        <f>_xlfn.XLOOKUP(A715,'Current Month'!A:A,'Current Month'!I:I,"")</f>
        <v>3.20680188</v>
      </c>
      <c r="F715" s="21">
        <f>_xlfn.XLOOKUP(A715,'Prior Month'!A:A,'Prior Month'!I:I,"")</f>
        <v>3.6377453199999996</v>
      </c>
      <c r="G715" s="18">
        <f>_xlfn.XLOOKUP(A715,'Year end 2024'!A:A,'Year end 2024'!I:I,"")</f>
        <v>1.5671266799999999</v>
      </c>
      <c r="H715" s="19">
        <f>_xlfn.XLOOKUP(A715,'Current Month'!A:A,'Current Month'!E:E,0,0)</f>
        <v>1603400.94</v>
      </c>
      <c r="I715" s="32">
        <f>_xlfn.XLOOKUP(A715,'Prior Month'!A:A,'Prior Month'!E:E,0,0)</f>
        <v>1818872.66</v>
      </c>
      <c r="J715" s="32">
        <f>_xlfn.XLOOKUP(A715,'Year end 2024'!A:A,'Year end 2024'!E:E,0,0)</f>
        <v>783563.34</v>
      </c>
      <c r="K715" s="14">
        <f t="shared" si="22"/>
        <v>-215471.71999999997</v>
      </c>
      <c r="L715" s="14">
        <f t="shared" si="23"/>
        <v>819837.6</v>
      </c>
    </row>
    <row r="716" spans="1:12" ht="35.15" customHeight="1" x14ac:dyDescent="0.4">
      <c r="A716" s="11" t="s">
        <v>1487</v>
      </c>
      <c r="B716" s="11" t="s">
        <v>1488</v>
      </c>
      <c r="C716" s="11" t="s">
        <v>15</v>
      </c>
      <c r="D716" s="11" t="s">
        <v>14</v>
      </c>
      <c r="E716" s="18">
        <f>_xlfn.XLOOKUP(A716,'Current Month'!A:A,'Current Month'!I:I,"")</f>
        <v>0.11206750475747433</v>
      </c>
      <c r="F716" s="21">
        <f>_xlfn.XLOOKUP(A716,'Prior Month'!A:A,'Prior Month'!I:I,"")</f>
        <v>0.10629267268494498</v>
      </c>
      <c r="G716" s="18">
        <f>_xlfn.XLOOKUP(A716,'Year end 2024'!A:A,'Year end 2024'!I:I,"")</f>
        <v>0.10269423090415647</v>
      </c>
      <c r="H716" s="19">
        <f>_xlfn.XLOOKUP(A716,'Current Month'!A:A,'Current Month'!E:E,0,0)</f>
        <v>932971.43</v>
      </c>
      <c r="I716" s="32">
        <f>_xlfn.XLOOKUP(A716,'Prior Month'!A:A,'Prior Month'!E:E,0,0)</f>
        <v>888898.28</v>
      </c>
      <c r="J716" s="32">
        <f>_xlfn.XLOOKUP(A716,'Year end 2024'!A:A,'Year end 2024'!E:E,0,0)</f>
        <v>891385</v>
      </c>
      <c r="K716" s="14">
        <f t="shared" si="22"/>
        <v>44073.150000000023</v>
      </c>
      <c r="L716" s="14">
        <f t="shared" si="23"/>
        <v>41586.430000000051</v>
      </c>
    </row>
    <row r="717" spans="1:12" ht="35.15" customHeight="1" x14ac:dyDescent="0.4">
      <c r="A717" s="11" t="s">
        <v>1489</v>
      </c>
      <c r="B717" s="11" t="s">
        <v>1490</v>
      </c>
      <c r="C717" s="11" t="s">
        <v>385</v>
      </c>
      <c r="D717" s="11" t="s">
        <v>384</v>
      </c>
      <c r="E717" s="18">
        <f>_xlfn.XLOOKUP(A717,'Current Month'!A:A,'Current Month'!I:I,"")</f>
        <v>8.0333391842953059E-2</v>
      </c>
      <c r="F717" s="21">
        <f>_xlfn.XLOOKUP(A717,'Prior Month'!A:A,'Prior Month'!I:I,"")</f>
        <v>6.7096226428132733E-2</v>
      </c>
      <c r="G717" s="18">
        <f>_xlfn.XLOOKUP(A717,'Year end 2024'!A:A,'Year end 2024'!I:I,"")</f>
        <v>2.1553880113542014E-2</v>
      </c>
      <c r="H717" s="19">
        <f>_xlfn.XLOOKUP(A717,'Current Month'!A:A,'Current Month'!E:E,0,0)</f>
        <v>40668.1</v>
      </c>
      <c r="I717" s="32">
        <f>_xlfn.XLOOKUP(A717,'Prior Month'!A:A,'Prior Month'!E:E,0,0)</f>
        <v>34371.71</v>
      </c>
      <c r="J717" s="32">
        <f>_xlfn.XLOOKUP(A717,'Year end 2024'!A:A,'Year end 2024'!E:E,0,0)</f>
        <v>12570.28</v>
      </c>
      <c r="K717" s="14">
        <f t="shared" si="22"/>
        <v>6296.3899999999994</v>
      </c>
      <c r="L717" s="14">
        <f t="shared" si="23"/>
        <v>28097.82</v>
      </c>
    </row>
    <row r="718" spans="1:12" ht="35.15" customHeight="1" x14ac:dyDescent="0.4">
      <c r="A718" s="11" t="s">
        <v>1491</v>
      </c>
      <c r="B718" s="11" t="s">
        <v>1492</v>
      </c>
      <c r="C718" s="11" t="s">
        <v>101</v>
      </c>
      <c r="D718" s="11" t="s">
        <v>100</v>
      </c>
      <c r="E718" s="18">
        <f>_xlfn.XLOOKUP(A718,'Current Month'!A:A,'Current Month'!I:I,"")</f>
        <v>0.34288828999999998</v>
      </c>
      <c r="F718" s="21">
        <f>_xlfn.XLOOKUP(A718,'Prior Month'!A:A,'Prior Month'!I:I,"")</f>
        <v>0.37260105999999998</v>
      </c>
      <c r="G718" s="18">
        <f>_xlfn.XLOOKUP(A718,'Year end 2024'!A:A,'Year end 2024'!I:I,"")</f>
        <v>0.29040677000000004</v>
      </c>
      <c r="H718" s="19">
        <f>_xlfn.XLOOKUP(A718,'Current Month'!A:A,'Current Month'!E:E,0,0)</f>
        <v>342888.29</v>
      </c>
      <c r="I718" s="32">
        <f>_xlfn.XLOOKUP(A718,'Prior Month'!A:A,'Prior Month'!E:E,0,0)</f>
        <v>372601.06</v>
      </c>
      <c r="J718" s="32">
        <f>_xlfn.XLOOKUP(A718,'Year end 2024'!A:A,'Year end 2024'!E:E,0,0)</f>
        <v>290406.77</v>
      </c>
      <c r="K718" s="14">
        <f t="shared" si="22"/>
        <v>-29712.770000000019</v>
      </c>
      <c r="L718" s="14">
        <f t="shared" si="23"/>
        <v>52481.51999999996</v>
      </c>
    </row>
    <row r="719" spans="1:12" ht="35.15" customHeight="1" x14ac:dyDescent="0.4">
      <c r="A719" s="11" t="s">
        <v>1493</v>
      </c>
      <c r="B719" s="11" t="s">
        <v>1494</v>
      </c>
      <c r="C719" s="11" t="s">
        <v>11</v>
      </c>
      <c r="D719" s="11" t="s">
        <v>10</v>
      </c>
      <c r="E719" s="18">
        <f>_xlfn.XLOOKUP(A719,'Current Month'!A:A,'Current Month'!I:I,"")</f>
        <v>1.029794517418329E-2</v>
      </c>
      <c r="F719" s="21">
        <f>_xlfn.XLOOKUP(A719,'Prior Month'!A:A,'Prior Month'!I:I,"")</f>
        <v>6.7737312075190511E-4</v>
      </c>
      <c r="G719" s="18">
        <f>_xlfn.XLOOKUP(A719,'Year end 2024'!A:A,'Year end 2024'!I:I,"")</f>
        <v>6.9616798663955448E-4</v>
      </c>
      <c r="H719" s="19">
        <f>_xlfn.XLOOKUP(A719,'Current Month'!A:A,'Current Month'!E:E,0,0)</f>
        <v>35462.83</v>
      </c>
      <c r="I719" s="32">
        <f>_xlfn.XLOOKUP(A719,'Prior Month'!A:A,'Prior Month'!E:E,0,0)</f>
        <v>2342.4499999999998</v>
      </c>
      <c r="J719" s="32">
        <f>_xlfn.XLOOKUP(A719,'Year end 2024'!A:A,'Year end 2024'!E:E,0,0)</f>
        <v>3762.7</v>
      </c>
      <c r="K719" s="14">
        <f t="shared" si="22"/>
        <v>33120.380000000005</v>
      </c>
      <c r="L719" s="14">
        <f t="shared" si="23"/>
        <v>31700.13</v>
      </c>
    </row>
    <row r="720" spans="1:12" ht="35.15" customHeight="1" x14ac:dyDescent="0.4">
      <c r="A720" s="11" t="s">
        <v>1495</v>
      </c>
      <c r="B720" s="11" t="s">
        <v>1496</v>
      </c>
      <c r="C720" s="11" t="s">
        <v>185</v>
      </c>
      <c r="D720" s="11" t="s">
        <v>184</v>
      </c>
      <c r="E720" s="18">
        <f>_xlfn.XLOOKUP(A720,'Current Month'!A:A,'Current Month'!I:I,"")</f>
        <v>1.8839437580642868E-2</v>
      </c>
      <c r="F720" s="21">
        <f>_xlfn.XLOOKUP(A720,'Prior Month'!A:A,'Prior Month'!I:I,"")</f>
        <v>0.10039151345482519</v>
      </c>
      <c r="G720" s="18">
        <f>_xlfn.XLOOKUP(A720,'Year end 2024'!A:A,'Year end 2024'!I:I,"")</f>
        <v>1.6181766944324705E-2</v>
      </c>
      <c r="H720" s="19">
        <f>_xlfn.XLOOKUP(A720,'Current Month'!A:A,'Current Month'!E:E,0,0)</f>
        <v>1908.64</v>
      </c>
      <c r="I720" s="32">
        <f>_xlfn.XLOOKUP(A720,'Prior Month'!A:A,'Prior Month'!E:E,0,0)</f>
        <v>10421.64</v>
      </c>
      <c r="J720" s="32">
        <f>_xlfn.XLOOKUP(A720,'Year end 2024'!A:A,'Year end 2024'!E:E,0,0)</f>
        <v>1838.64</v>
      </c>
      <c r="K720" s="14">
        <f t="shared" si="22"/>
        <v>-8513</v>
      </c>
      <c r="L720" s="14">
        <f t="shared" si="23"/>
        <v>70</v>
      </c>
    </row>
    <row r="721" spans="1:12" ht="35.15" customHeight="1" x14ac:dyDescent="0.4">
      <c r="A721" s="11" t="s">
        <v>1497</v>
      </c>
      <c r="B721" s="11" t="s">
        <v>1498</v>
      </c>
      <c r="C721" s="11" t="s">
        <v>253</v>
      </c>
      <c r="D721" s="11" t="s">
        <v>252</v>
      </c>
      <c r="E721" s="18">
        <f>_xlfn.XLOOKUP(A721,'Current Month'!A:A,'Current Month'!I:I,"")</f>
        <v>8.9627324932434465E-4</v>
      </c>
      <c r="F721" s="21">
        <f>_xlfn.XLOOKUP(A721,'Prior Month'!A:A,'Prior Month'!I:I,"")</f>
        <v>5.2530499724697931E-3</v>
      </c>
      <c r="G721" s="18">
        <f>_xlfn.XLOOKUP(A721,'Year end 2024'!A:A,'Year end 2024'!I:I,"")</f>
        <v>2.3162593168714052E-3</v>
      </c>
      <c r="H721" s="19">
        <f>_xlfn.XLOOKUP(A721,'Current Month'!A:A,'Current Month'!E:E,0,0)</f>
        <v>383.14</v>
      </c>
      <c r="I721" s="32">
        <f>_xlfn.XLOOKUP(A721,'Prior Month'!A:A,'Prior Month'!E:E,0,0)</f>
        <v>2285.0500000000002</v>
      </c>
      <c r="J721" s="32">
        <f>_xlfn.XLOOKUP(A721,'Year end 2024'!A:A,'Year end 2024'!E:E,0,0)</f>
        <v>1195.3499999999999</v>
      </c>
      <c r="K721" s="14">
        <f t="shared" si="22"/>
        <v>-1901.9100000000003</v>
      </c>
      <c r="L721" s="14">
        <f t="shared" si="23"/>
        <v>-812.20999999999992</v>
      </c>
    </row>
    <row r="722" spans="1:12" ht="35.15" customHeight="1" x14ac:dyDescent="0.4">
      <c r="A722" s="11" t="s">
        <v>1499</v>
      </c>
      <c r="B722" s="11" t="s">
        <v>1500</v>
      </c>
      <c r="C722" s="11" t="s">
        <v>19</v>
      </c>
      <c r="D722" s="11" t="s">
        <v>18</v>
      </c>
      <c r="E722" s="18">
        <f>_xlfn.XLOOKUP(A722,'Current Month'!A:A,'Current Month'!I:I,"")</f>
        <v>0</v>
      </c>
      <c r="F722" s="21">
        <f>_xlfn.XLOOKUP(A722,'Prior Month'!A:A,'Prior Month'!I:I,"")</f>
        <v>0</v>
      </c>
      <c r="G722" s="18">
        <f>_xlfn.XLOOKUP(A722,'Year end 2024'!A:A,'Year end 2024'!I:I,"")</f>
        <v>0</v>
      </c>
      <c r="H722" s="19">
        <f>_xlfn.XLOOKUP(A722,'Current Month'!A:A,'Current Month'!E:E,0,0)</f>
        <v>0</v>
      </c>
      <c r="I722" s="32">
        <f>_xlfn.XLOOKUP(A722,'Prior Month'!A:A,'Prior Month'!E:E,0,0)</f>
        <v>0</v>
      </c>
      <c r="J722" s="32">
        <f>_xlfn.XLOOKUP(A722,'Year end 2024'!A:A,'Year end 2024'!E:E,0,0)</f>
        <v>0</v>
      </c>
      <c r="K722" s="14">
        <f t="shared" si="22"/>
        <v>0</v>
      </c>
      <c r="L722" s="14">
        <f t="shared" si="23"/>
        <v>0</v>
      </c>
    </row>
    <row r="723" spans="1:12" ht="35.15" customHeight="1" x14ac:dyDescent="0.4">
      <c r="A723" s="11" t="s">
        <v>1501</v>
      </c>
      <c r="B723" s="11" t="s">
        <v>1502</v>
      </c>
      <c r="C723" s="11" t="s">
        <v>11</v>
      </c>
      <c r="D723" s="11" t="s">
        <v>10</v>
      </c>
      <c r="E723" s="18">
        <f>_xlfn.XLOOKUP(A723,'Current Month'!A:A,'Current Month'!I:I,"")</f>
        <v>8.6315390862374899E-2</v>
      </c>
      <c r="F723" s="21">
        <f>_xlfn.XLOOKUP(A723,'Prior Month'!A:A,'Prior Month'!I:I,"")</f>
        <v>9.5572293846057227E-2</v>
      </c>
      <c r="G723" s="18">
        <f>_xlfn.XLOOKUP(A723,'Year end 2024'!A:A,'Year end 2024'!I:I,"")</f>
        <v>0.39784782099708382</v>
      </c>
      <c r="H723" s="19">
        <f>_xlfn.XLOOKUP(A723,'Current Month'!A:A,'Current Month'!E:E,0,0)</f>
        <v>416778.43</v>
      </c>
      <c r="I723" s="32">
        <f>_xlfn.XLOOKUP(A723,'Prior Month'!A:A,'Prior Month'!E:E,0,0)</f>
        <v>463272.63</v>
      </c>
      <c r="J723" s="32">
        <f>_xlfn.XLOOKUP(A723,'Year end 2024'!A:A,'Year end 2024'!E:E,0,0)</f>
        <v>1987606.62</v>
      </c>
      <c r="K723" s="14">
        <f t="shared" si="22"/>
        <v>-46494.200000000012</v>
      </c>
      <c r="L723" s="14">
        <f t="shared" si="23"/>
        <v>-1570828.1900000002</v>
      </c>
    </row>
    <row r="724" spans="1:12" ht="35.15" customHeight="1" x14ac:dyDescent="0.4">
      <c r="A724" s="11" t="s">
        <v>1503</v>
      </c>
      <c r="B724" s="11" t="s">
        <v>1504</v>
      </c>
      <c r="C724" s="11" t="s">
        <v>19</v>
      </c>
      <c r="D724" s="11" t="s">
        <v>18</v>
      </c>
      <c r="E724" s="18">
        <f>_xlfn.XLOOKUP(A724,'Current Month'!A:A,'Current Month'!I:I,"")</f>
        <v>0.25655785186579588</v>
      </c>
      <c r="F724" s="21">
        <f>_xlfn.XLOOKUP(A724,'Prior Month'!A:A,'Prior Month'!I:I,"")</f>
        <v>0.17878430058331224</v>
      </c>
      <c r="G724" s="18">
        <f>_xlfn.XLOOKUP(A724,'Year end 2024'!A:A,'Year end 2024'!I:I,"")</f>
        <v>0.16164991860429159</v>
      </c>
      <c r="H724" s="19">
        <f>_xlfn.XLOOKUP(A724,'Current Month'!A:A,'Current Month'!E:E,0,0)</f>
        <v>112902.48</v>
      </c>
      <c r="I724" s="32">
        <f>_xlfn.XLOOKUP(A724,'Prior Month'!A:A,'Prior Month'!E:E,0,0)</f>
        <v>78961.05</v>
      </c>
      <c r="J724" s="32">
        <f>_xlfn.XLOOKUP(A724,'Year end 2024'!A:A,'Year end 2024'!E:E,0,0)</f>
        <v>73547.64</v>
      </c>
      <c r="K724" s="14">
        <f t="shared" si="22"/>
        <v>33941.429999999993</v>
      </c>
      <c r="L724" s="14">
        <f t="shared" si="23"/>
        <v>39354.839999999997</v>
      </c>
    </row>
    <row r="725" spans="1:12" ht="35.15" customHeight="1" x14ac:dyDescent="0.4">
      <c r="A725" s="11" t="s">
        <v>1505</v>
      </c>
      <c r="B725" s="11" t="s">
        <v>1506</v>
      </c>
      <c r="C725" s="11" t="s">
        <v>57</v>
      </c>
      <c r="D725" s="11" t="s">
        <v>56</v>
      </c>
      <c r="E725" s="18" t="str">
        <f>_xlfn.XLOOKUP(A725,'Current Month'!A:A,'Current Month'!I:I,"")</f>
        <v/>
      </c>
      <c r="F725" s="21" t="str">
        <f>_xlfn.XLOOKUP(A725,'Prior Month'!A:A,'Prior Month'!I:I,"")</f>
        <v/>
      </c>
      <c r="G725" s="18" t="str">
        <f>_xlfn.XLOOKUP(A725,'Year end 2024'!A:A,'Year end 2024'!I:I,"")</f>
        <v/>
      </c>
      <c r="H725" s="19">
        <f>_xlfn.XLOOKUP(A725,'Current Month'!A:A,'Current Month'!E:E,0,0)</f>
        <v>6325.81</v>
      </c>
      <c r="I725" s="32">
        <f>_xlfn.XLOOKUP(A725,'Prior Month'!A:A,'Prior Month'!E:E,0,0)</f>
        <v>6325.81</v>
      </c>
      <c r="J725" s="32">
        <f>_xlfn.XLOOKUP(A725,'Year end 2024'!A:A,'Year end 2024'!E:E,0,0)</f>
        <v>5825.81</v>
      </c>
      <c r="K725" s="14">
        <f t="shared" si="22"/>
        <v>0</v>
      </c>
      <c r="L725" s="14">
        <f t="shared" si="23"/>
        <v>500</v>
      </c>
    </row>
    <row r="726" spans="1:12" ht="35.15" customHeight="1" x14ac:dyDescent="0.4">
      <c r="A726" s="11" t="s">
        <v>1507</v>
      </c>
      <c r="B726" s="11" t="s">
        <v>1508</v>
      </c>
      <c r="C726" s="11" t="s">
        <v>259</v>
      </c>
      <c r="D726" s="11" t="s">
        <v>258</v>
      </c>
      <c r="E726" s="18">
        <f>_xlfn.XLOOKUP(A726,'Current Month'!A:A,'Current Month'!I:I,"")</f>
        <v>0</v>
      </c>
      <c r="F726" s="21">
        <f>_xlfn.XLOOKUP(A726,'Prior Month'!A:A,'Prior Month'!I:I,"")</f>
        <v>0</v>
      </c>
      <c r="G726" s="18">
        <f>_xlfn.XLOOKUP(A726,'Year end 2024'!A:A,'Year end 2024'!I:I,"")</f>
        <v>0</v>
      </c>
      <c r="H726" s="19">
        <f>_xlfn.XLOOKUP(A726,'Current Month'!A:A,'Current Month'!E:E,0,0)</f>
        <v>0</v>
      </c>
      <c r="I726" s="32">
        <f>_xlfn.XLOOKUP(A726,'Prior Month'!A:A,'Prior Month'!E:E,0,0)</f>
        <v>0</v>
      </c>
      <c r="J726" s="32">
        <f>_xlfn.XLOOKUP(A726,'Year end 2024'!A:A,'Year end 2024'!E:E,0,0)</f>
        <v>0</v>
      </c>
      <c r="K726" s="14">
        <f t="shared" si="22"/>
        <v>0</v>
      </c>
      <c r="L726" s="14">
        <f t="shared" si="23"/>
        <v>0</v>
      </c>
    </row>
    <row r="727" spans="1:12" ht="35.15" customHeight="1" x14ac:dyDescent="0.4">
      <c r="A727" s="11" t="s">
        <v>1509</v>
      </c>
      <c r="B727" s="11" t="s">
        <v>1510</v>
      </c>
      <c r="C727" s="11" t="s">
        <v>253</v>
      </c>
      <c r="D727" s="11" t="s">
        <v>252</v>
      </c>
      <c r="E727" s="18">
        <f>_xlfn.XLOOKUP(A727,'Current Month'!A:A,'Current Month'!I:I,"")</f>
        <v>6.6283229216759221E-3</v>
      </c>
      <c r="F727" s="21">
        <f>_xlfn.XLOOKUP(A727,'Prior Month'!A:A,'Prior Month'!I:I,"")</f>
        <v>6.0326609522189968E-3</v>
      </c>
      <c r="G727" s="18">
        <f>_xlfn.XLOOKUP(A727,'Year end 2024'!A:A,'Year end 2024'!I:I,"")</f>
        <v>4.0873647335559274E-3</v>
      </c>
      <c r="H727" s="19">
        <f>_xlfn.XLOOKUP(A727,'Current Month'!A:A,'Current Month'!E:E,0,0)</f>
        <v>38578.199999999997</v>
      </c>
      <c r="I727" s="32">
        <f>_xlfn.XLOOKUP(A727,'Prior Month'!A:A,'Prior Month'!E:E,0,0)</f>
        <v>35165.040000000001</v>
      </c>
      <c r="J727" s="32">
        <f>_xlfn.XLOOKUP(A727,'Year end 2024'!A:A,'Year end 2024'!E:E,0,0)</f>
        <v>24450.82</v>
      </c>
      <c r="K727" s="14">
        <f t="shared" si="22"/>
        <v>3413.1599999999962</v>
      </c>
      <c r="L727" s="14">
        <f t="shared" si="23"/>
        <v>14127.379999999997</v>
      </c>
    </row>
    <row r="728" spans="1:12" ht="35.15" customHeight="1" x14ac:dyDescent="0.4">
      <c r="A728" s="11" t="s">
        <v>1511</v>
      </c>
      <c r="B728" s="11" t="s">
        <v>1512</v>
      </c>
      <c r="C728" s="11" t="s">
        <v>77</v>
      </c>
      <c r="D728" s="11" t="s">
        <v>76</v>
      </c>
      <c r="E728" s="18">
        <f>_xlfn.XLOOKUP(A728,'Current Month'!A:A,'Current Month'!I:I,"")</f>
        <v>0.13875439540357953</v>
      </c>
      <c r="F728" s="21">
        <f>_xlfn.XLOOKUP(A728,'Prior Month'!A:A,'Prior Month'!I:I,"")</f>
        <v>0.17346757816470548</v>
      </c>
      <c r="G728" s="18">
        <f>_xlfn.XLOOKUP(A728,'Year end 2024'!A:A,'Year end 2024'!I:I,"")</f>
        <v>7.2559610600162472E-2</v>
      </c>
      <c r="H728" s="19">
        <f>_xlfn.XLOOKUP(A728,'Current Month'!A:A,'Current Month'!E:E,0,0)</f>
        <v>10246.6</v>
      </c>
      <c r="I728" s="32">
        <f>_xlfn.XLOOKUP(A728,'Prior Month'!A:A,'Prior Month'!E:E,0,0)</f>
        <v>12833.52</v>
      </c>
      <c r="J728" s="32">
        <f>_xlfn.XLOOKUP(A728,'Year end 2024'!A:A,'Year end 2024'!E:E,0,0)</f>
        <v>5425.24</v>
      </c>
      <c r="K728" s="14">
        <f t="shared" si="22"/>
        <v>-2586.92</v>
      </c>
      <c r="L728" s="14">
        <f t="shared" si="23"/>
        <v>4821.3600000000006</v>
      </c>
    </row>
    <row r="729" spans="1:12" ht="35.15" customHeight="1" x14ac:dyDescent="0.4">
      <c r="A729" s="11" t="s">
        <v>1513</v>
      </c>
      <c r="B729" s="11" t="s">
        <v>1514</v>
      </c>
      <c r="C729" s="11" t="s">
        <v>19</v>
      </c>
      <c r="D729" s="11" t="s">
        <v>18</v>
      </c>
      <c r="E729" s="18">
        <f>_xlfn.XLOOKUP(A729,'Current Month'!A:A,'Current Month'!I:I,"")</f>
        <v>4.3288546039500116E-2</v>
      </c>
      <c r="F729" s="21">
        <f>_xlfn.XLOOKUP(A729,'Prior Month'!A:A,'Prior Month'!I:I,"")</f>
        <v>6.3096763351539881E-2</v>
      </c>
      <c r="G729" s="18">
        <f>_xlfn.XLOOKUP(A729,'Year end 2024'!A:A,'Year end 2024'!I:I,"")</f>
        <v>1.605595980199725</v>
      </c>
      <c r="H729" s="19">
        <f>_xlfn.XLOOKUP(A729,'Current Month'!A:A,'Current Month'!E:E,0,0)</f>
        <v>131154.21</v>
      </c>
      <c r="I729" s="32">
        <f>_xlfn.XLOOKUP(A729,'Prior Month'!A:A,'Prior Month'!E:E,0,0)</f>
        <v>191545.54</v>
      </c>
      <c r="J729" s="32">
        <f>_xlfn.XLOOKUP(A729,'Year end 2024'!A:A,'Year end 2024'!E:E,0,0)</f>
        <v>322918.17</v>
      </c>
      <c r="K729" s="14">
        <f t="shared" si="22"/>
        <v>-60391.330000000016</v>
      </c>
      <c r="L729" s="14">
        <f t="shared" si="23"/>
        <v>-191763.96</v>
      </c>
    </row>
    <row r="730" spans="1:12" ht="35.15" customHeight="1" x14ac:dyDescent="0.4">
      <c r="A730" s="11" t="s">
        <v>10</v>
      </c>
      <c r="B730" s="11" t="s">
        <v>1515</v>
      </c>
      <c r="C730" s="11" t="s">
        <v>33</v>
      </c>
      <c r="D730" s="11" t="s">
        <v>32</v>
      </c>
      <c r="E730" s="18" t="str">
        <f>_xlfn.XLOOKUP(A730,'Current Month'!A:A,'Current Month'!I:I,"")</f>
        <v/>
      </c>
      <c r="F730" s="21" t="str">
        <f>_xlfn.XLOOKUP(A730,'Prior Month'!A:A,'Prior Month'!I:I,"")</f>
        <v/>
      </c>
      <c r="G730" s="18" t="str">
        <f>_xlfn.XLOOKUP(A730,'Year end 2024'!A:A,'Year end 2024'!I:I,"")</f>
        <v/>
      </c>
      <c r="H730" s="19">
        <f>_xlfn.XLOOKUP(A730,'Current Month'!A:A,'Current Month'!E:E,0,0)</f>
        <v>234913.12</v>
      </c>
      <c r="I730" s="32">
        <f>_xlfn.XLOOKUP(A730,'Prior Month'!A:A,'Prior Month'!E:E,0,0)</f>
        <v>366427.9</v>
      </c>
      <c r="J730" s="32">
        <f>_xlfn.XLOOKUP(A730,'Year end 2024'!A:A,'Year end 2024'!E:E,0,0)</f>
        <v>333986.90000000002</v>
      </c>
      <c r="K730" s="14">
        <f t="shared" si="22"/>
        <v>-131514.78000000003</v>
      </c>
      <c r="L730" s="14">
        <f t="shared" si="23"/>
        <v>-99073.780000000028</v>
      </c>
    </row>
    <row r="731" spans="1:12" ht="35.15" customHeight="1" x14ac:dyDescent="0.4">
      <c r="A731" s="11" t="s">
        <v>1516</v>
      </c>
      <c r="B731" s="11" t="s">
        <v>1517</v>
      </c>
      <c r="C731" s="11" t="s">
        <v>253</v>
      </c>
      <c r="D731" s="11" t="s">
        <v>252</v>
      </c>
      <c r="E731" s="18">
        <f>_xlfn.XLOOKUP(A731,'Current Month'!A:A,'Current Month'!I:I,"")</f>
        <v>0.91871123798350351</v>
      </c>
      <c r="F731" s="21">
        <f>_xlfn.XLOOKUP(A731,'Prior Month'!A:A,'Prior Month'!I:I,"")</f>
        <v>1.6130888802105559</v>
      </c>
      <c r="G731" s="18">
        <f>_xlfn.XLOOKUP(A731,'Year end 2024'!A:A,'Year end 2024'!I:I,"")</f>
        <v>2.3993329400252263</v>
      </c>
      <c r="H731" s="19">
        <f>_xlfn.XLOOKUP(A731,'Current Month'!A:A,'Current Month'!E:E,0,0)</f>
        <v>421011.12</v>
      </c>
      <c r="I731" s="32">
        <f>_xlfn.XLOOKUP(A731,'Prior Month'!A:A,'Prior Month'!E:E,0,0)</f>
        <v>449075.04</v>
      </c>
      <c r="J731" s="32">
        <f>_xlfn.XLOOKUP(A731,'Year end 2024'!A:A,'Year end 2024'!E:E,0,0)</f>
        <v>672018.99</v>
      </c>
      <c r="K731" s="14">
        <f t="shared" si="22"/>
        <v>-28063.919999999984</v>
      </c>
      <c r="L731" s="14">
        <f t="shared" si="23"/>
        <v>-251007.87</v>
      </c>
    </row>
    <row r="732" spans="1:12" ht="35.15" customHeight="1" x14ac:dyDescent="0.4">
      <c r="A732" s="11" t="s">
        <v>1518</v>
      </c>
      <c r="B732" s="11" t="s">
        <v>1519</v>
      </c>
      <c r="C732" s="11" t="s">
        <v>33</v>
      </c>
      <c r="D732" s="11" t="s">
        <v>32</v>
      </c>
      <c r="E732" s="18" t="str">
        <f>_xlfn.XLOOKUP(A732,'Current Month'!A:A,'Current Month'!I:I,"")</f>
        <v/>
      </c>
      <c r="F732" s="21" t="str">
        <f>_xlfn.XLOOKUP(A732,'Prior Month'!A:A,'Prior Month'!I:I,"")</f>
        <v/>
      </c>
      <c r="G732" s="18" t="str">
        <f>_xlfn.XLOOKUP(A732,'Year end 2024'!A:A,'Year end 2024'!I:I,"")</f>
        <v/>
      </c>
      <c r="H732" s="19">
        <f>_xlfn.XLOOKUP(A732,'Current Month'!A:A,'Current Month'!E:E,0,0)</f>
        <v>351342.49</v>
      </c>
      <c r="I732" s="32">
        <f>_xlfn.XLOOKUP(A732,'Prior Month'!A:A,'Prior Month'!E:E,0,0)</f>
        <v>448852.21</v>
      </c>
      <c r="J732" s="32">
        <f>_xlfn.XLOOKUP(A732,'Year end 2024'!A:A,'Year end 2024'!E:E,0,0)</f>
        <v>267553.07</v>
      </c>
      <c r="K732" s="14">
        <f t="shared" si="22"/>
        <v>-97509.72000000003</v>
      </c>
      <c r="L732" s="14">
        <f t="shared" si="23"/>
        <v>83789.419999999984</v>
      </c>
    </row>
    <row r="733" spans="1:12" ht="35.15" customHeight="1" x14ac:dyDescent="0.4">
      <c r="A733" s="11" t="s">
        <v>14</v>
      </c>
      <c r="B733" s="11" t="s">
        <v>1520</v>
      </c>
      <c r="C733" s="11" t="s">
        <v>253</v>
      </c>
      <c r="D733" s="11" t="s">
        <v>252</v>
      </c>
      <c r="E733" s="18">
        <f>_xlfn.XLOOKUP(A733,'Current Month'!A:A,'Current Month'!I:I,"")</f>
        <v>0.10824801824444261</v>
      </c>
      <c r="F733" s="21">
        <f>_xlfn.XLOOKUP(A733,'Prior Month'!A:A,'Prior Month'!I:I,"")</f>
        <v>9.7324373071917936E-2</v>
      </c>
      <c r="G733" s="18">
        <f>_xlfn.XLOOKUP(A733,'Year end 2024'!A:A,'Year end 2024'!I:I,"")</f>
        <v>0.1000597982608446</v>
      </c>
      <c r="H733" s="19">
        <f>_xlfn.XLOOKUP(A733,'Current Month'!A:A,'Current Month'!E:E,0,0)</f>
        <v>410068.47999999998</v>
      </c>
      <c r="I733" s="32">
        <f>_xlfn.XLOOKUP(A733,'Prior Month'!A:A,'Prior Month'!E:E,0,0)</f>
        <v>369405.17</v>
      </c>
      <c r="J733" s="32">
        <f>_xlfn.XLOOKUP(A733,'Year end 2024'!A:A,'Year end 2024'!E:E,0,0)</f>
        <v>384881.67</v>
      </c>
      <c r="K733" s="14">
        <f t="shared" si="22"/>
        <v>40663.31</v>
      </c>
      <c r="L733" s="14">
        <f t="shared" si="23"/>
        <v>25186.809999999998</v>
      </c>
    </row>
    <row r="734" spans="1:12" ht="35.15" customHeight="1" x14ac:dyDescent="0.4">
      <c r="A734" s="11" t="s">
        <v>1521</v>
      </c>
      <c r="B734" s="11" t="s">
        <v>1522</v>
      </c>
      <c r="C734" s="11" t="s">
        <v>33</v>
      </c>
      <c r="D734" s="11" t="s">
        <v>32</v>
      </c>
      <c r="E734" s="18" t="str">
        <f>_xlfn.XLOOKUP(A734,'Current Month'!A:A,'Current Month'!I:I,"")</f>
        <v/>
      </c>
      <c r="F734" s="21" t="str">
        <f>_xlfn.XLOOKUP(A734,'Prior Month'!A:A,'Prior Month'!I:I,"")</f>
        <v/>
      </c>
      <c r="G734" s="18" t="str">
        <f>_xlfn.XLOOKUP(A734,'Year end 2024'!A:A,'Year end 2024'!I:I,"")</f>
        <v/>
      </c>
      <c r="H734" s="19">
        <f>_xlfn.XLOOKUP(A734,'Current Month'!A:A,'Current Month'!E:E,0,0)</f>
        <v>85250.87</v>
      </c>
      <c r="I734" s="32">
        <f>_xlfn.XLOOKUP(A734,'Prior Month'!A:A,'Prior Month'!E:E,0,0)</f>
        <v>78518.259999999995</v>
      </c>
      <c r="J734" s="32">
        <f>_xlfn.XLOOKUP(A734,'Year end 2024'!A:A,'Year end 2024'!E:E,0,0)</f>
        <v>550.37</v>
      </c>
      <c r="K734" s="14">
        <f t="shared" si="22"/>
        <v>6732.6100000000006</v>
      </c>
      <c r="L734" s="14">
        <f t="shared" si="23"/>
        <v>84700.5</v>
      </c>
    </row>
    <row r="735" spans="1:12" ht="35.15" customHeight="1" x14ac:dyDescent="0.4">
      <c r="A735" s="11" t="s">
        <v>464</v>
      </c>
      <c r="B735" s="11" t="s">
        <v>1523</v>
      </c>
      <c r="C735" s="11" t="s">
        <v>15</v>
      </c>
      <c r="D735" s="11" t="s">
        <v>14</v>
      </c>
      <c r="E735" s="18" t="str">
        <f>_xlfn.XLOOKUP(A735,'Current Month'!A:A,'Current Month'!I:I,"")</f>
        <v/>
      </c>
      <c r="F735" s="21" t="str">
        <f>_xlfn.XLOOKUP(A735,'Prior Month'!A:A,'Prior Month'!I:I,"")</f>
        <v/>
      </c>
      <c r="G735" s="18">
        <f>_xlfn.XLOOKUP(A735,'Year end 2024'!A:A,'Year end 2024'!I:I,"")</f>
        <v>9.8604659042059853E-2</v>
      </c>
      <c r="H735" s="19">
        <f>_xlfn.XLOOKUP(A735,'Current Month'!A:A,'Current Month'!E:E,0,0)</f>
        <v>133940.10999999999</v>
      </c>
      <c r="I735" s="32">
        <f>_xlfn.XLOOKUP(A735,'Prior Month'!A:A,'Prior Month'!E:E,0,0)</f>
        <v>70771.42</v>
      </c>
      <c r="J735" s="32">
        <f>_xlfn.XLOOKUP(A735,'Year end 2024'!A:A,'Year end 2024'!E:E,0,0)</f>
        <v>298484</v>
      </c>
      <c r="K735" s="14">
        <f t="shared" si="22"/>
        <v>63168.689999999988</v>
      </c>
      <c r="L735" s="14">
        <f t="shared" si="23"/>
        <v>-164543.89000000001</v>
      </c>
    </row>
    <row r="736" spans="1:12" ht="35.15" customHeight="1" x14ac:dyDescent="0.4">
      <c r="A736" s="11" t="s">
        <v>258</v>
      </c>
      <c r="B736" s="11" t="s">
        <v>1524</v>
      </c>
      <c r="C736" s="11" t="s">
        <v>385</v>
      </c>
      <c r="D736" s="11" t="s">
        <v>384</v>
      </c>
      <c r="E736" s="18">
        <f>_xlfn.XLOOKUP(A736,'Current Month'!A:A,'Current Month'!I:I,"")</f>
        <v>0.91872699999999996</v>
      </c>
      <c r="F736" s="21">
        <f>_xlfn.XLOOKUP(A736,'Prior Month'!A:A,'Prior Month'!I:I,"")</f>
        <v>0.70245604000000006</v>
      </c>
      <c r="G736" s="18">
        <f>_xlfn.XLOOKUP(A736,'Year end 2024'!A:A,'Year end 2024'!I:I,"")</f>
        <v>2.6912596400000002</v>
      </c>
      <c r="H736" s="19">
        <f>_xlfn.XLOOKUP(A736,'Current Month'!A:A,'Current Month'!E:E,0,0)</f>
        <v>229681.75</v>
      </c>
      <c r="I736" s="32">
        <f>_xlfn.XLOOKUP(A736,'Prior Month'!A:A,'Prior Month'!E:E,0,0)</f>
        <v>175614.01</v>
      </c>
      <c r="J736" s="32">
        <f>_xlfn.XLOOKUP(A736,'Year end 2024'!A:A,'Year end 2024'!E:E,0,0)</f>
        <v>672814.91</v>
      </c>
      <c r="K736" s="14">
        <f t="shared" si="22"/>
        <v>54067.739999999991</v>
      </c>
      <c r="L736" s="14">
        <f t="shared" si="23"/>
        <v>-443133.16000000003</v>
      </c>
    </row>
    <row r="737" spans="1:12" ht="35.15" customHeight="1" x14ac:dyDescent="0.4">
      <c r="A737" s="11" t="s">
        <v>1525</v>
      </c>
      <c r="B737" s="11" t="s">
        <v>1526</v>
      </c>
      <c r="C737" s="11" t="s">
        <v>253</v>
      </c>
      <c r="D737" s="11" t="s">
        <v>252</v>
      </c>
      <c r="E737" s="18">
        <f>_xlfn.XLOOKUP(A737,'Current Month'!A:A,'Current Month'!I:I,"")</f>
        <v>0</v>
      </c>
      <c r="F737" s="21">
        <f>_xlfn.XLOOKUP(A737,'Prior Month'!A:A,'Prior Month'!I:I,"")</f>
        <v>0</v>
      </c>
      <c r="G737" s="18">
        <f>_xlfn.XLOOKUP(A737,'Year end 2024'!A:A,'Year end 2024'!I:I,"")</f>
        <v>0</v>
      </c>
      <c r="H737" s="19">
        <f>_xlfn.XLOOKUP(A737,'Current Month'!A:A,'Current Month'!E:E,0,0)</f>
        <v>0</v>
      </c>
      <c r="I737" s="32">
        <f>_xlfn.XLOOKUP(A737,'Prior Month'!A:A,'Prior Month'!E:E,0,0)</f>
        <v>0</v>
      </c>
      <c r="J737" s="32">
        <f>_xlfn.XLOOKUP(A737,'Year end 2024'!A:A,'Year end 2024'!E:E,0,0)</f>
        <v>0</v>
      </c>
      <c r="K737" s="14">
        <f t="shared" si="22"/>
        <v>0</v>
      </c>
      <c r="L737" s="14">
        <f t="shared" si="23"/>
        <v>0</v>
      </c>
    </row>
    <row r="738" spans="1:12" ht="35.15" customHeight="1" x14ac:dyDescent="0.4">
      <c r="A738" s="11" t="s">
        <v>1527</v>
      </c>
      <c r="B738" s="11" t="s">
        <v>1528</v>
      </c>
      <c r="C738" s="11" t="s">
        <v>259</v>
      </c>
      <c r="D738" s="11" t="s">
        <v>258</v>
      </c>
      <c r="E738" s="18">
        <f>_xlfn.XLOOKUP(A738,'Current Month'!A:A,'Current Month'!I:I,"")</f>
        <v>0.16755634772089431</v>
      </c>
      <c r="F738" s="21">
        <f>_xlfn.XLOOKUP(A738,'Prior Month'!A:A,'Prior Month'!I:I,"")</f>
        <v>0.14645361763662759</v>
      </c>
      <c r="G738" s="18">
        <f>_xlfn.XLOOKUP(A738,'Year end 2024'!A:A,'Year end 2024'!I:I,"")</f>
        <v>0.6049760157048617</v>
      </c>
      <c r="H738" s="19">
        <f>_xlfn.XLOOKUP(A738,'Current Month'!A:A,'Current Month'!E:E,0,0)</f>
        <v>151417.89000000001</v>
      </c>
      <c r="I738" s="32">
        <f>_xlfn.XLOOKUP(A738,'Prior Month'!A:A,'Prior Month'!E:E,0,0)</f>
        <v>132850.66</v>
      </c>
      <c r="J738" s="32">
        <f>_xlfn.XLOOKUP(A738,'Year end 2024'!A:A,'Year end 2024'!E:E,0,0)</f>
        <v>565755.59</v>
      </c>
      <c r="K738" s="14">
        <f t="shared" si="22"/>
        <v>18567.23000000001</v>
      </c>
      <c r="L738" s="14">
        <f t="shared" si="23"/>
        <v>-414337.69999999995</v>
      </c>
    </row>
    <row r="739" spans="1:12" ht="35.15" customHeight="1" x14ac:dyDescent="0.4">
      <c r="A739" s="11" t="s">
        <v>1529</v>
      </c>
      <c r="B739" s="11" t="s">
        <v>1530</v>
      </c>
      <c r="C739" s="11" t="s">
        <v>185</v>
      </c>
      <c r="D739" s="11" t="s">
        <v>184</v>
      </c>
      <c r="E739" s="18">
        <f>_xlfn.XLOOKUP(A739,'Current Month'!A:A,'Current Month'!I:I,"")</f>
        <v>0</v>
      </c>
      <c r="F739" s="21">
        <f>_xlfn.XLOOKUP(A739,'Prior Month'!A:A,'Prior Month'!I:I,"")</f>
        <v>0</v>
      </c>
      <c r="G739" s="18">
        <f>_xlfn.XLOOKUP(A739,'Year end 2024'!A:A,'Year end 2024'!I:I,"")</f>
        <v>0</v>
      </c>
      <c r="H739" s="19">
        <f>_xlfn.XLOOKUP(A739,'Current Month'!A:A,'Current Month'!E:E,0,0)</f>
        <v>0</v>
      </c>
      <c r="I739" s="32">
        <f>_xlfn.XLOOKUP(A739,'Prior Month'!A:A,'Prior Month'!E:E,0,0)</f>
        <v>0</v>
      </c>
      <c r="J739" s="32">
        <f>_xlfn.XLOOKUP(A739,'Year end 2024'!A:A,'Year end 2024'!E:E,0,0)</f>
        <v>0</v>
      </c>
      <c r="K739" s="14">
        <f t="shared" si="22"/>
        <v>0</v>
      </c>
      <c r="L739" s="14">
        <f t="shared" si="23"/>
        <v>0</v>
      </c>
    </row>
    <row r="740" spans="1:12" ht="35.15" customHeight="1" x14ac:dyDescent="0.4">
      <c r="A740" s="11" t="s">
        <v>1531</v>
      </c>
      <c r="B740" s="11" t="s">
        <v>1532</v>
      </c>
      <c r="C740" s="11" t="s">
        <v>457</v>
      </c>
      <c r="D740" s="11" t="s">
        <v>456</v>
      </c>
      <c r="E740" s="18">
        <f>_xlfn.XLOOKUP(A740,'Current Month'!A:A,'Current Month'!I:I,"")</f>
        <v>0.14877723688534025</v>
      </c>
      <c r="F740" s="21">
        <f>_xlfn.XLOOKUP(A740,'Prior Month'!A:A,'Prior Month'!I:I,"")</f>
        <v>0.23645238764918616</v>
      </c>
      <c r="G740" s="18">
        <f>_xlfn.XLOOKUP(A740,'Year end 2024'!A:A,'Year end 2024'!I:I,"")</f>
        <v>8.0251887715440409E-2</v>
      </c>
      <c r="H740" s="19">
        <f>_xlfn.XLOOKUP(A740,'Current Month'!A:A,'Current Month'!E:E,0,0)</f>
        <v>213531.22</v>
      </c>
      <c r="I740" s="32">
        <f>_xlfn.XLOOKUP(A740,'Prior Month'!A:A,'Prior Month'!E:E,0,0)</f>
        <v>344650.43</v>
      </c>
      <c r="J740" s="32">
        <f>_xlfn.XLOOKUP(A740,'Year end 2024'!A:A,'Year end 2024'!E:E,0,0)</f>
        <v>132220.78</v>
      </c>
      <c r="K740" s="14">
        <f t="shared" si="22"/>
        <v>-131119.21</v>
      </c>
      <c r="L740" s="14">
        <f t="shared" si="23"/>
        <v>81310.44</v>
      </c>
    </row>
    <row r="741" spans="1:12" ht="35.15" customHeight="1" x14ac:dyDescent="0.4">
      <c r="A741" s="11" t="s">
        <v>1533</v>
      </c>
      <c r="B741" s="11" t="s">
        <v>1534</v>
      </c>
      <c r="C741" s="11" t="s">
        <v>33</v>
      </c>
      <c r="D741" s="11" t="s">
        <v>32</v>
      </c>
      <c r="E741" s="18">
        <f>_xlfn.XLOOKUP(A741,'Current Month'!A:A,'Current Month'!I:I,"")</f>
        <v>1.7240630058157536</v>
      </c>
      <c r="F741" s="21">
        <f>_xlfn.XLOOKUP(A741,'Prior Month'!A:A,'Prior Month'!I:I,"")</f>
        <v>1.6656644037877222</v>
      </c>
      <c r="G741" s="18">
        <f>_xlfn.XLOOKUP(A741,'Year end 2024'!A:A,'Year end 2024'!I:I,"")</f>
        <v>1.432895251552831</v>
      </c>
      <c r="H741" s="19">
        <f>_xlfn.XLOOKUP(A741,'Current Month'!A:A,'Current Month'!E:E,0,0)</f>
        <v>41093.49</v>
      </c>
      <c r="I741" s="32">
        <f>_xlfn.XLOOKUP(A741,'Prior Month'!A:A,'Prior Month'!E:E,0,0)</f>
        <v>43669.29</v>
      </c>
      <c r="J741" s="32">
        <f>_xlfn.XLOOKUP(A741,'Year end 2024'!A:A,'Year end 2024'!E:E,0,0)</f>
        <v>66886.490000000005</v>
      </c>
      <c r="K741" s="14">
        <f t="shared" si="22"/>
        <v>-2575.8000000000029</v>
      </c>
      <c r="L741" s="14">
        <f t="shared" si="23"/>
        <v>-25793.000000000007</v>
      </c>
    </row>
    <row r="742" spans="1:12" ht="35.15" customHeight="1" x14ac:dyDescent="0.4">
      <c r="A742" s="11" t="s">
        <v>1535</v>
      </c>
      <c r="B742" s="11" t="s">
        <v>1536</v>
      </c>
      <c r="C742" s="11" t="s">
        <v>101</v>
      </c>
      <c r="D742" s="11" t="s">
        <v>100</v>
      </c>
      <c r="E742" s="18">
        <f>_xlfn.XLOOKUP(A742,'Current Month'!A:A,'Current Month'!I:I,"")</f>
        <v>0.16880231502473869</v>
      </c>
      <c r="F742" s="21">
        <f>_xlfn.XLOOKUP(A742,'Prior Month'!A:A,'Prior Month'!I:I,"")</f>
        <v>0.38632321088071037</v>
      </c>
      <c r="G742" s="18">
        <f>_xlfn.XLOOKUP(A742,'Year end 2024'!A:A,'Year end 2024'!I:I,"")</f>
        <v>0.25304919555893918</v>
      </c>
      <c r="H742" s="19">
        <f>_xlfn.XLOOKUP(A742,'Current Month'!A:A,'Current Month'!E:E,0,0)</f>
        <v>192190.21</v>
      </c>
      <c r="I742" s="32">
        <f>_xlfn.XLOOKUP(A742,'Prior Month'!A:A,'Prior Month'!E:E,0,0)</f>
        <v>441215.93</v>
      </c>
      <c r="J742" s="32">
        <f>_xlfn.XLOOKUP(A742,'Year end 2024'!A:A,'Year end 2024'!E:E,0,0)</f>
        <v>192951.33</v>
      </c>
      <c r="K742" s="14">
        <f t="shared" si="22"/>
        <v>-249025.72</v>
      </c>
      <c r="L742" s="14">
        <f t="shared" si="23"/>
        <v>-761.11999999999534</v>
      </c>
    </row>
    <row r="743" spans="1:12" ht="35.15" customHeight="1" x14ac:dyDescent="0.4">
      <c r="A743" s="11" t="s">
        <v>1537</v>
      </c>
      <c r="B743" s="11" t="s">
        <v>1538</v>
      </c>
      <c r="C743" s="11" t="s">
        <v>259</v>
      </c>
      <c r="D743" s="11" t="s">
        <v>258</v>
      </c>
      <c r="E743" s="18">
        <f>_xlfn.XLOOKUP(A743,'Current Month'!A:A,'Current Month'!I:I,"")</f>
        <v>7.6113726512859289E-2</v>
      </c>
      <c r="F743" s="21">
        <f>_xlfn.XLOOKUP(A743,'Prior Month'!A:A,'Prior Month'!I:I,"")</f>
        <v>4.4059140353767047E-2</v>
      </c>
      <c r="G743" s="18">
        <f>_xlfn.XLOOKUP(A743,'Year end 2024'!A:A,'Year end 2024'!I:I,"")</f>
        <v>6.4889272125264671E-2</v>
      </c>
      <c r="H743" s="19">
        <f>_xlfn.XLOOKUP(A743,'Current Month'!A:A,'Current Month'!E:E,0,0)</f>
        <v>165295.01</v>
      </c>
      <c r="I743" s="32">
        <f>_xlfn.XLOOKUP(A743,'Prior Month'!A:A,'Prior Month'!E:E,0,0)</f>
        <v>162055.82</v>
      </c>
      <c r="J743" s="32">
        <f>_xlfn.XLOOKUP(A743,'Year end 2024'!A:A,'Year end 2024'!E:E,0,0)</f>
        <v>242013.56</v>
      </c>
      <c r="K743" s="14">
        <f t="shared" si="22"/>
        <v>3239.1900000000023</v>
      </c>
      <c r="L743" s="14">
        <f t="shared" si="23"/>
        <v>-76718.549999999988</v>
      </c>
    </row>
    <row r="744" spans="1:12" ht="35.15" customHeight="1" x14ac:dyDescent="0.4">
      <c r="A744" s="11" t="s">
        <v>1539</v>
      </c>
      <c r="B744" s="11" t="s">
        <v>1540</v>
      </c>
      <c r="C744" s="11" t="s">
        <v>213</v>
      </c>
      <c r="D744" s="11" t="s">
        <v>212</v>
      </c>
      <c r="E744" s="18">
        <f>_xlfn.XLOOKUP(A744,'Current Month'!A:A,'Current Month'!I:I,"")</f>
        <v>0</v>
      </c>
      <c r="F744" s="21">
        <f>_xlfn.XLOOKUP(A744,'Prior Month'!A:A,'Prior Month'!I:I,"")</f>
        <v>0</v>
      </c>
      <c r="G744" s="18">
        <f>_xlfn.XLOOKUP(A744,'Year end 2024'!A:A,'Year end 2024'!I:I,"")</f>
        <v>-5.1135792121265455E-3</v>
      </c>
      <c r="H744" s="19">
        <f>_xlfn.XLOOKUP(A744,'Current Month'!A:A,'Current Month'!E:E,0,0)</f>
        <v>0</v>
      </c>
      <c r="I744" s="32">
        <f>_xlfn.XLOOKUP(A744,'Prior Month'!A:A,'Prior Month'!E:E,0,0)</f>
        <v>0</v>
      </c>
      <c r="J744" s="32">
        <f>_xlfn.XLOOKUP(A744,'Year end 2024'!A:A,'Year end 2024'!E:E,0,0)</f>
        <v>-1527.16</v>
      </c>
      <c r="K744" s="14">
        <f t="shared" si="22"/>
        <v>0</v>
      </c>
      <c r="L744" s="14">
        <f t="shared" si="23"/>
        <v>1527.16</v>
      </c>
    </row>
    <row r="745" spans="1:12" ht="35.15" customHeight="1" x14ac:dyDescent="0.4">
      <c r="A745" s="11" t="s">
        <v>1541</v>
      </c>
      <c r="B745" s="11" t="s">
        <v>1542</v>
      </c>
      <c r="C745" s="11" t="s">
        <v>51</v>
      </c>
      <c r="D745" s="11" t="s">
        <v>50</v>
      </c>
      <c r="E745" s="18" t="str">
        <f>_xlfn.XLOOKUP(A745,'Current Month'!A:A,'Current Month'!I:I,"")</f>
        <v/>
      </c>
      <c r="F745" s="21" t="str">
        <f>_xlfn.XLOOKUP(A745,'Prior Month'!A:A,'Prior Month'!I:I,"")</f>
        <v/>
      </c>
      <c r="G745" s="18" t="str">
        <f>_xlfn.XLOOKUP(A745,'Year end 2024'!A:A,'Year end 2024'!I:I,"")</f>
        <v/>
      </c>
      <c r="H745" s="19">
        <f>_xlfn.XLOOKUP(A745,'Current Month'!A:A,'Current Month'!E:E,0,0)</f>
        <v>122519.63</v>
      </c>
      <c r="I745" s="32">
        <f>_xlfn.XLOOKUP(A745,'Prior Month'!A:A,'Prior Month'!E:E,0,0)</f>
        <v>122230.31</v>
      </c>
      <c r="J745" s="32">
        <f>_xlfn.XLOOKUP(A745,'Year end 2024'!A:A,'Year end 2024'!E:E,0,0)</f>
        <v>190516.21</v>
      </c>
      <c r="K745" s="14">
        <f t="shared" si="22"/>
        <v>289.32000000000698</v>
      </c>
      <c r="L745" s="14">
        <f t="shared" si="23"/>
        <v>-67996.579999999987</v>
      </c>
    </row>
    <row r="746" spans="1:12" ht="35.15" customHeight="1" x14ac:dyDescent="0.4">
      <c r="A746" s="11" t="s">
        <v>1543</v>
      </c>
      <c r="B746" s="11" t="s">
        <v>1544</v>
      </c>
      <c r="C746" s="11" t="s">
        <v>487</v>
      </c>
      <c r="D746" s="11" t="s">
        <v>486</v>
      </c>
      <c r="E746" s="18" t="str">
        <f>_xlfn.XLOOKUP(A746,'Current Month'!A:A,'Current Month'!I:I,"")</f>
        <v/>
      </c>
      <c r="F746" s="21" t="str">
        <f>_xlfn.XLOOKUP(A746,'Prior Month'!A:A,'Prior Month'!I:I,"")</f>
        <v/>
      </c>
      <c r="G746" s="18">
        <f>_xlfn.XLOOKUP(A746,'Year end 2024'!A:A,'Year end 2024'!I:I,"")</f>
        <v>7.0886075949367088E-5</v>
      </c>
      <c r="H746" s="19">
        <f>_xlfn.XLOOKUP(A746,'Current Month'!A:A,'Current Month'!E:E,0,0)</f>
        <v>40</v>
      </c>
      <c r="I746" s="32">
        <f>_xlfn.XLOOKUP(A746,'Prior Month'!A:A,'Prior Month'!E:E,0,0)</f>
        <v>50</v>
      </c>
      <c r="J746" s="32">
        <f>_xlfn.XLOOKUP(A746,'Year end 2024'!A:A,'Year end 2024'!E:E,0,0)</f>
        <v>140</v>
      </c>
      <c r="K746" s="14">
        <f t="shared" si="22"/>
        <v>-10</v>
      </c>
      <c r="L746" s="14">
        <f t="shared" si="23"/>
        <v>-100</v>
      </c>
    </row>
    <row r="747" spans="1:12" ht="35.15" customHeight="1" x14ac:dyDescent="0.4">
      <c r="A747" s="11" t="s">
        <v>384</v>
      </c>
      <c r="B747" s="11" t="s">
        <v>1545</v>
      </c>
      <c r="C747" s="11" t="s">
        <v>51</v>
      </c>
      <c r="D747" s="11" t="s">
        <v>50</v>
      </c>
      <c r="E747" s="18">
        <f>_xlfn.XLOOKUP(A747,'Current Month'!A:A,'Current Month'!I:I,"")</f>
        <v>3.3780250419069455</v>
      </c>
      <c r="F747" s="21">
        <f>_xlfn.XLOOKUP(A747,'Prior Month'!A:A,'Prior Month'!I:I,"")</f>
        <v>3.4571825335633242</v>
      </c>
      <c r="G747" s="18">
        <f>_xlfn.XLOOKUP(A747,'Year end 2024'!A:A,'Year end 2024'!I:I,"")</f>
        <v>3.1087573790064478</v>
      </c>
      <c r="H747" s="19">
        <f>_xlfn.XLOOKUP(A747,'Current Month'!A:A,'Current Month'!E:E,0,0)</f>
        <v>1402272.75</v>
      </c>
      <c r="I747" s="32">
        <f>_xlfn.XLOOKUP(A747,'Prior Month'!A:A,'Prior Month'!E:E,0,0)</f>
        <v>1446282.27</v>
      </c>
      <c r="J747" s="32">
        <f>_xlfn.XLOOKUP(A747,'Year end 2024'!A:A,'Year end 2024'!E:E,0,0)</f>
        <v>1385063.11</v>
      </c>
      <c r="K747" s="14">
        <f t="shared" si="22"/>
        <v>-44009.520000000019</v>
      </c>
      <c r="L747" s="14">
        <f t="shared" si="23"/>
        <v>17209.639999999898</v>
      </c>
    </row>
    <row r="748" spans="1:12" ht="35.15" customHeight="1" x14ac:dyDescent="0.4">
      <c r="A748" s="11" t="s">
        <v>1546</v>
      </c>
      <c r="B748" s="11" t="s">
        <v>1547</v>
      </c>
      <c r="C748" s="11" t="s">
        <v>965</v>
      </c>
      <c r="D748" s="11" t="s">
        <v>964</v>
      </c>
      <c r="E748" s="18" t="e">
        <f>_xlfn.XLOOKUP(A748,'Current Month'!A:A,'Current Month'!I:I,"")</f>
        <v>#DIV/0!</v>
      </c>
      <c r="F748" s="21" t="e">
        <f>_xlfn.XLOOKUP(A748,'Prior Month'!A:A,'Prior Month'!I:I,"")</f>
        <v>#DIV/0!</v>
      </c>
      <c r="G748" s="18" t="e">
        <f>_xlfn.XLOOKUP(A748,'Year end 2024'!A:A,'Year end 2024'!I:I,"")</f>
        <v>#DIV/0!</v>
      </c>
      <c r="H748" s="19">
        <f>_xlfn.XLOOKUP(A748,'Current Month'!A:A,'Current Month'!E:E,0,0)</f>
        <v>0</v>
      </c>
      <c r="I748" s="32">
        <f>_xlfn.XLOOKUP(A748,'Prior Month'!A:A,'Prior Month'!E:E,0,0)</f>
        <v>0</v>
      </c>
      <c r="J748" s="32">
        <f>_xlfn.XLOOKUP(A748,'Year end 2024'!A:A,'Year end 2024'!E:E,0,0)</f>
        <v>16184.68</v>
      </c>
      <c r="K748" s="14">
        <f t="shared" si="22"/>
        <v>0</v>
      </c>
      <c r="L748" s="14">
        <f t="shared" si="23"/>
        <v>-16184.68</v>
      </c>
    </row>
    <row r="749" spans="1:12" ht="35.15" customHeight="1" x14ac:dyDescent="0.4">
      <c r="A749" s="11" t="s">
        <v>1548</v>
      </c>
      <c r="B749" s="11" t="s">
        <v>1549</v>
      </c>
      <c r="C749" s="11" t="s">
        <v>259</v>
      </c>
      <c r="D749" s="11" t="s">
        <v>258</v>
      </c>
      <c r="E749" s="18">
        <f>_xlfn.XLOOKUP(A749,'Current Month'!A:A,'Current Month'!I:I,"")</f>
        <v>8.6332845245719242E-2</v>
      </c>
      <c r="F749" s="21">
        <f>_xlfn.XLOOKUP(A749,'Prior Month'!A:A,'Prior Month'!I:I,"")</f>
        <v>8.1121997984681837E-2</v>
      </c>
      <c r="G749" s="18">
        <f>_xlfn.XLOOKUP(A749,'Year end 2024'!A:A,'Year end 2024'!I:I,"")</f>
        <v>5.9767083282309168E-2</v>
      </c>
      <c r="H749" s="19">
        <f>_xlfn.XLOOKUP(A749,'Current Month'!A:A,'Current Month'!E:E,0,0)</f>
        <v>167154.37</v>
      </c>
      <c r="I749" s="32">
        <f>_xlfn.XLOOKUP(A749,'Prior Month'!A:A,'Prior Month'!E:E,0,0)</f>
        <v>157628.76999999999</v>
      </c>
      <c r="J749" s="32">
        <f>_xlfn.XLOOKUP(A749,'Year end 2024'!A:A,'Year end 2024'!E:E,0,0)</f>
        <v>119467.8</v>
      </c>
      <c r="K749" s="14">
        <f t="shared" si="22"/>
        <v>9525.6000000000058</v>
      </c>
      <c r="L749" s="14">
        <f t="shared" si="23"/>
        <v>47686.569999999992</v>
      </c>
    </row>
    <row r="750" spans="1:12" ht="35.15" customHeight="1" x14ac:dyDescent="0.4">
      <c r="A750" s="11" t="s">
        <v>1550</v>
      </c>
      <c r="B750" s="11" t="s">
        <v>1551</v>
      </c>
      <c r="C750" s="11" t="s">
        <v>19</v>
      </c>
      <c r="D750" s="11" t="s">
        <v>18</v>
      </c>
      <c r="E750" s="18">
        <f>_xlfn.XLOOKUP(A750,'Current Month'!A:A,'Current Month'!I:I,"")</f>
        <v>4.9982680534793524E-2</v>
      </c>
      <c r="F750" s="21">
        <f>_xlfn.XLOOKUP(A750,'Prior Month'!A:A,'Prior Month'!I:I,"")</f>
        <v>2.9284475826667985E-2</v>
      </c>
      <c r="G750" s="18">
        <f>_xlfn.XLOOKUP(A750,'Year end 2024'!A:A,'Year end 2024'!I:I,"")</f>
        <v>2.3890905360401955E-2</v>
      </c>
      <c r="H750" s="19">
        <f>_xlfn.XLOOKUP(A750,'Current Month'!A:A,'Current Month'!E:E,0,0)</f>
        <v>32433.47</v>
      </c>
      <c r="I750" s="32">
        <f>_xlfn.XLOOKUP(A750,'Prior Month'!A:A,'Prior Month'!E:E,0,0)</f>
        <v>19056.060000000001</v>
      </c>
      <c r="J750" s="32">
        <f>_xlfn.XLOOKUP(A750,'Year end 2024'!A:A,'Year end 2024'!E:E,0,0)</f>
        <v>15863.78</v>
      </c>
      <c r="K750" s="14">
        <f t="shared" si="22"/>
        <v>13377.41</v>
      </c>
      <c r="L750" s="14">
        <f t="shared" si="23"/>
        <v>16569.690000000002</v>
      </c>
    </row>
    <row r="751" spans="1:12" ht="35.15" customHeight="1" x14ac:dyDescent="0.4">
      <c r="A751" s="11" t="s">
        <v>1552</v>
      </c>
      <c r="B751" s="11" t="s">
        <v>1553</v>
      </c>
      <c r="C751" s="11" t="s">
        <v>19</v>
      </c>
      <c r="D751" s="11" t="s">
        <v>18</v>
      </c>
      <c r="E751" s="18" t="str">
        <f>_xlfn.XLOOKUP(A751,'Current Month'!A:A,'Current Month'!I:I,"")</f>
        <v/>
      </c>
      <c r="F751" s="21" t="str">
        <f>_xlfn.XLOOKUP(A751,'Prior Month'!A:A,'Prior Month'!I:I,"")</f>
        <v/>
      </c>
      <c r="G751" s="18" t="str">
        <f>_xlfn.XLOOKUP(A751,'Year end 2024'!A:A,'Year end 2024'!I:I,"")</f>
        <v/>
      </c>
      <c r="H751" s="19">
        <f>_xlfn.XLOOKUP(A751,'Current Month'!A:A,'Current Month'!E:E,0,0)</f>
        <v>934721.26</v>
      </c>
      <c r="I751" s="32">
        <f>_xlfn.XLOOKUP(A751,'Prior Month'!A:A,'Prior Month'!E:E,0,0)</f>
        <v>968084.21</v>
      </c>
      <c r="J751" s="32">
        <f>_xlfn.XLOOKUP(A751,'Year end 2024'!A:A,'Year end 2024'!E:E,0,0)</f>
        <v>948001.4</v>
      </c>
      <c r="K751" s="14">
        <f t="shared" si="22"/>
        <v>-33362.949999999953</v>
      </c>
      <c r="L751" s="14">
        <f t="shared" si="23"/>
        <v>-13280.140000000014</v>
      </c>
    </row>
    <row r="752" spans="1:12" ht="35.15" customHeight="1" x14ac:dyDescent="0.4">
      <c r="A752" s="11" t="s">
        <v>1554</v>
      </c>
      <c r="B752" s="11" t="s">
        <v>1555</v>
      </c>
      <c r="C752" s="11" t="s">
        <v>213</v>
      </c>
      <c r="D752" s="11" t="s">
        <v>212</v>
      </c>
      <c r="E752" s="18">
        <f>_xlfn.XLOOKUP(A752,'Current Month'!A:A,'Current Month'!I:I,"")</f>
        <v>0</v>
      </c>
      <c r="F752" s="21">
        <f>_xlfn.XLOOKUP(A752,'Prior Month'!A:A,'Prior Month'!I:I,"")</f>
        <v>0</v>
      </c>
      <c r="G752" s="18">
        <f>_xlfn.XLOOKUP(A752,'Year end 2024'!A:A,'Year end 2024'!I:I,"")</f>
        <v>0</v>
      </c>
      <c r="H752" s="19">
        <f>_xlfn.XLOOKUP(A752,'Current Month'!A:A,'Current Month'!E:E,0,0)</f>
        <v>0</v>
      </c>
      <c r="I752" s="32">
        <f>_xlfn.XLOOKUP(A752,'Prior Month'!A:A,'Prior Month'!E:E,0,0)</f>
        <v>0</v>
      </c>
      <c r="J752" s="32">
        <f>_xlfn.XLOOKUP(A752,'Year end 2024'!A:A,'Year end 2024'!E:E,0,0)</f>
        <v>0</v>
      </c>
      <c r="K752" s="14">
        <f t="shared" si="22"/>
        <v>0</v>
      </c>
      <c r="L752" s="14">
        <f t="shared" si="23"/>
        <v>0</v>
      </c>
    </row>
    <row r="753" spans="1:12" ht="35.15" customHeight="1" x14ac:dyDescent="0.4">
      <c r="A753" s="11" t="s">
        <v>1556</v>
      </c>
      <c r="B753" s="11" t="s">
        <v>1557</v>
      </c>
      <c r="C753" s="11" t="s">
        <v>67</v>
      </c>
      <c r="D753" s="11" t="s">
        <v>66</v>
      </c>
      <c r="E753" s="18">
        <f>_xlfn.XLOOKUP(A753,'Current Month'!A:A,'Current Month'!I:I,"")</f>
        <v>220.19022000000001</v>
      </c>
      <c r="F753" s="21">
        <f>_xlfn.XLOOKUP(A753,'Prior Month'!A:A,'Prior Month'!I:I,"")</f>
        <v>225.92058</v>
      </c>
      <c r="G753" s="18">
        <f>_xlfn.XLOOKUP(A753,'Year end 2024'!A:A,'Year end 2024'!I:I,"")</f>
        <v>235.43354000000002</v>
      </c>
      <c r="H753" s="19">
        <f>_xlfn.XLOOKUP(A753,'Current Month'!A:A,'Current Month'!E:E,0,0)</f>
        <v>110095.11</v>
      </c>
      <c r="I753" s="32">
        <f>_xlfn.XLOOKUP(A753,'Prior Month'!A:A,'Prior Month'!E:E,0,0)</f>
        <v>112960.29</v>
      </c>
      <c r="J753" s="32">
        <f>_xlfn.XLOOKUP(A753,'Year end 2024'!A:A,'Year end 2024'!E:E,0,0)</f>
        <v>117716.77</v>
      </c>
      <c r="K753" s="14">
        <f t="shared" si="22"/>
        <v>-2865.179999999993</v>
      </c>
      <c r="L753" s="14">
        <f t="shared" si="23"/>
        <v>-7621.6600000000035</v>
      </c>
    </row>
    <row r="754" spans="1:12" ht="35.15" customHeight="1" x14ac:dyDescent="0.4">
      <c r="A754" s="11" t="s">
        <v>1558</v>
      </c>
      <c r="B754" s="11" t="s">
        <v>1559</v>
      </c>
      <c r="C754" s="11" t="s">
        <v>19</v>
      </c>
      <c r="D754" s="11" t="s">
        <v>18</v>
      </c>
      <c r="E754" s="18" t="str">
        <f>_xlfn.XLOOKUP(A754,'Current Month'!A:A,'Current Month'!I:I,"")</f>
        <v/>
      </c>
      <c r="F754" s="21" t="str">
        <f>_xlfn.XLOOKUP(A754,'Prior Month'!A:A,'Prior Month'!I:I,"")</f>
        <v/>
      </c>
      <c r="G754" s="18" t="str">
        <f>_xlfn.XLOOKUP(A754,'Year end 2024'!A:A,'Year end 2024'!I:I,"")</f>
        <v/>
      </c>
      <c r="H754" s="19">
        <f>_xlfn.XLOOKUP(A754,'Current Month'!A:A,'Current Month'!E:E,0,0)</f>
        <v>0</v>
      </c>
      <c r="I754" s="32">
        <f>_xlfn.XLOOKUP(A754,'Prior Month'!A:A,'Prior Month'!E:E,0,0)</f>
        <v>2.85</v>
      </c>
      <c r="J754" s="32">
        <f>_xlfn.XLOOKUP(A754,'Year end 2024'!A:A,'Year end 2024'!E:E,0,0)</f>
        <v>32.85</v>
      </c>
      <c r="K754" s="14">
        <f t="shared" si="22"/>
        <v>-2.85</v>
      </c>
      <c r="L754" s="14">
        <f t="shared" si="23"/>
        <v>-32.85</v>
      </c>
    </row>
    <row r="755" spans="1:12" ht="35.15" customHeight="1" x14ac:dyDescent="0.4">
      <c r="A755" s="11" t="s">
        <v>1560</v>
      </c>
      <c r="B755" s="11" t="s">
        <v>1561</v>
      </c>
      <c r="C755" s="11" t="s">
        <v>19</v>
      </c>
      <c r="D755" s="11" t="s">
        <v>18</v>
      </c>
      <c r="E755" s="18">
        <f>_xlfn.XLOOKUP(A755,'Current Month'!A:A,'Current Month'!I:I,"")</f>
        <v>7.6297077710501496E-2</v>
      </c>
      <c r="F755" s="21">
        <f>_xlfn.XLOOKUP(A755,'Prior Month'!A:A,'Prior Month'!I:I,"")</f>
        <v>7.7142235495911468E-2</v>
      </c>
      <c r="G755" s="18">
        <f>_xlfn.XLOOKUP(A755,'Year end 2024'!A:A,'Year end 2024'!I:I,"")</f>
        <v>5.9669745563982322E-2</v>
      </c>
      <c r="H755" s="19">
        <f>_xlfn.XLOOKUP(A755,'Current Month'!A:A,'Current Month'!E:E,0,0)</f>
        <v>16490.990000000002</v>
      </c>
      <c r="I755" s="32">
        <f>_xlfn.XLOOKUP(A755,'Prior Month'!A:A,'Prior Month'!E:E,0,0)</f>
        <v>16727.78</v>
      </c>
      <c r="J755" s="32">
        <f>_xlfn.XLOOKUP(A755,'Year end 2024'!A:A,'Year end 2024'!E:E,0,0)</f>
        <v>13258.34</v>
      </c>
      <c r="K755" s="14">
        <f t="shared" si="22"/>
        <v>-236.78999999999724</v>
      </c>
      <c r="L755" s="14">
        <f t="shared" si="23"/>
        <v>3232.6500000000015</v>
      </c>
    </row>
    <row r="756" spans="1:12" ht="35.15" customHeight="1" x14ac:dyDescent="0.4">
      <c r="A756" s="11" t="s">
        <v>1562</v>
      </c>
      <c r="B756" s="11" t="s">
        <v>1563</v>
      </c>
      <c r="C756" s="11" t="s">
        <v>457</v>
      </c>
      <c r="D756" s="11" t="s">
        <v>456</v>
      </c>
      <c r="E756" s="18">
        <f>_xlfn.XLOOKUP(A756,'Current Month'!A:A,'Current Month'!I:I,"")</f>
        <v>0</v>
      </c>
      <c r="F756" s="21">
        <f>_xlfn.XLOOKUP(A756,'Prior Month'!A:A,'Prior Month'!I:I,"")</f>
        <v>0</v>
      </c>
      <c r="G756" s="18">
        <f>_xlfn.XLOOKUP(A756,'Year end 2024'!A:A,'Year end 2024'!I:I,"")</f>
        <v>0</v>
      </c>
      <c r="H756" s="19">
        <f>_xlfn.XLOOKUP(A756,'Current Month'!A:A,'Current Month'!E:E,0,0)</f>
        <v>0</v>
      </c>
      <c r="I756" s="32">
        <f>_xlfn.XLOOKUP(A756,'Prior Month'!A:A,'Prior Month'!E:E,0,0)</f>
        <v>0</v>
      </c>
      <c r="J756" s="32">
        <f>_xlfn.XLOOKUP(A756,'Year end 2024'!A:A,'Year end 2024'!E:E,0,0)</f>
        <v>0</v>
      </c>
      <c r="K756" s="14">
        <f t="shared" si="22"/>
        <v>0</v>
      </c>
      <c r="L756" s="14">
        <f t="shared" si="23"/>
        <v>0</v>
      </c>
    </row>
    <row r="757" spans="1:12" ht="35.15" customHeight="1" x14ac:dyDescent="0.4">
      <c r="A757" s="11" t="s">
        <v>1564</v>
      </c>
      <c r="B757" s="11" t="s">
        <v>1565</v>
      </c>
      <c r="C757" s="11" t="s">
        <v>253</v>
      </c>
      <c r="D757" s="11" t="s">
        <v>252</v>
      </c>
      <c r="E757" s="18">
        <f>_xlfn.XLOOKUP(A757,'Current Month'!A:A,'Current Month'!I:I,"")</f>
        <v>0</v>
      </c>
      <c r="F757" s="21">
        <f>_xlfn.XLOOKUP(A757,'Prior Month'!A:A,'Prior Month'!I:I,"")</f>
        <v>0</v>
      </c>
      <c r="G757" s="18">
        <f>_xlfn.XLOOKUP(A757,'Year end 2024'!A:A,'Year end 2024'!I:I,"")</f>
        <v>0</v>
      </c>
      <c r="H757" s="19">
        <f>_xlfn.XLOOKUP(A757,'Current Month'!A:A,'Current Month'!E:E,0,0)</f>
        <v>0</v>
      </c>
      <c r="I757" s="32">
        <f>_xlfn.XLOOKUP(A757,'Prior Month'!A:A,'Prior Month'!E:E,0,0)</f>
        <v>0</v>
      </c>
      <c r="J757" s="32">
        <f>_xlfn.XLOOKUP(A757,'Year end 2024'!A:A,'Year end 2024'!E:E,0,0)</f>
        <v>0</v>
      </c>
      <c r="K757" s="14">
        <f t="shared" si="22"/>
        <v>0</v>
      </c>
      <c r="L757" s="14">
        <f t="shared" si="23"/>
        <v>0</v>
      </c>
    </row>
    <row r="758" spans="1:12" ht="35.15" customHeight="1" x14ac:dyDescent="0.4">
      <c r="A758" s="11" t="s">
        <v>1566</v>
      </c>
      <c r="B758" s="11" t="s">
        <v>1567</v>
      </c>
      <c r="C758" s="11" t="s">
        <v>29</v>
      </c>
      <c r="D758" s="11" t="s">
        <v>28</v>
      </c>
      <c r="E758" s="18">
        <f>_xlfn.XLOOKUP(A758,'Current Month'!A:A,'Current Month'!I:I,"")</f>
        <v>0.438890620918509</v>
      </c>
      <c r="F758" s="21">
        <f>_xlfn.XLOOKUP(A758,'Prior Month'!A:A,'Prior Month'!I:I,"")</f>
        <v>1.1164533359306612</v>
      </c>
      <c r="G758" s="18">
        <f>_xlfn.XLOOKUP(A758,'Year end 2024'!A:A,'Year end 2024'!I:I,"")</f>
        <v>0.40612346509345926</v>
      </c>
      <c r="H758" s="19">
        <f>_xlfn.XLOOKUP(A758,'Current Month'!A:A,'Current Month'!E:E,0,0)</f>
        <v>35771.17</v>
      </c>
      <c r="I758" s="32">
        <f>_xlfn.XLOOKUP(A758,'Prior Month'!A:A,'Prior Month'!E:E,0,0)</f>
        <v>91586.05</v>
      </c>
      <c r="J758" s="32">
        <f>_xlfn.XLOOKUP(A758,'Year end 2024'!A:A,'Year end 2024'!E:E,0,0)</f>
        <v>38549.019999999997</v>
      </c>
      <c r="K758" s="14">
        <f t="shared" si="22"/>
        <v>-55814.880000000005</v>
      </c>
      <c r="L758" s="14">
        <f t="shared" si="23"/>
        <v>-2777.8499999999985</v>
      </c>
    </row>
    <row r="759" spans="1:12" ht="35.15" customHeight="1" x14ac:dyDescent="0.4">
      <c r="A759" s="11" t="s">
        <v>1568</v>
      </c>
      <c r="B759" s="11" t="s">
        <v>1569</v>
      </c>
      <c r="C759" s="11" t="s">
        <v>465</v>
      </c>
      <c r="D759" s="11" t="s">
        <v>464</v>
      </c>
      <c r="E759" s="18">
        <f>_xlfn.XLOOKUP(A759,'Current Month'!A:A,'Current Month'!I:I,"")</f>
        <v>2.7492753269106194</v>
      </c>
      <c r="F759" s="21">
        <f>_xlfn.XLOOKUP(A759,'Prior Month'!A:A,'Prior Month'!I:I,"")</f>
        <v>1.4520386072799332</v>
      </c>
      <c r="G759" s="18">
        <f>_xlfn.XLOOKUP(A759,'Year end 2024'!A:A,'Year end 2024'!I:I,"")</f>
        <v>2.10904489063511</v>
      </c>
      <c r="H759" s="19">
        <f>_xlfn.XLOOKUP(A759,'Current Month'!A:A,'Current Month'!E:E,0,0)</f>
        <v>602030.94999999995</v>
      </c>
      <c r="I759" s="32">
        <f>_xlfn.XLOOKUP(A759,'Prior Month'!A:A,'Prior Month'!E:E,0,0)</f>
        <v>318616.49</v>
      </c>
      <c r="J759" s="32">
        <f>_xlfn.XLOOKUP(A759,'Year end 2024'!A:A,'Year end 2024'!E:E,0,0)</f>
        <v>470845.01</v>
      </c>
      <c r="K759" s="14">
        <f t="shared" si="22"/>
        <v>283414.45999999996</v>
      </c>
      <c r="L759" s="14">
        <f t="shared" si="23"/>
        <v>131185.93999999994</v>
      </c>
    </row>
    <row r="760" spans="1:12" ht="35.15" customHeight="1" x14ac:dyDescent="0.4">
      <c r="A760" s="11" t="s">
        <v>1570</v>
      </c>
      <c r="B760" s="11" t="s">
        <v>1571</v>
      </c>
      <c r="C760" s="11" t="s">
        <v>29</v>
      </c>
      <c r="D760" s="11" t="s">
        <v>28</v>
      </c>
      <c r="E760" s="18">
        <f>_xlfn.XLOOKUP(A760,'Current Month'!A:A,'Current Month'!I:I,"")</f>
        <v>0.56968603773584903</v>
      </c>
      <c r="F760" s="21">
        <f>_xlfn.XLOOKUP(A760,'Prior Month'!A:A,'Prior Month'!I:I,"")</f>
        <v>0.58495396226415097</v>
      </c>
      <c r="G760" s="18">
        <f>_xlfn.XLOOKUP(A760,'Year end 2024'!A:A,'Year end 2024'!I:I,"")</f>
        <v>0.14859905660377359</v>
      </c>
      <c r="H760" s="19">
        <f>_xlfn.XLOOKUP(A760,'Current Month'!A:A,'Current Month'!E:E,0,0)</f>
        <v>30193.360000000001</v>
      </c>
      <c r="I760" s="32">
        <f>_xlfn.XLOOKUP(A760,'Prior Month'!A:A,'Prior Month'!E:E,0,0)</f>
        <v>31002.560000000001</v>
      </c>
      <c r="J760" s="32">
        <f>_xlfn.XLOOKUP(A760,'Year end 2024'!A:A,'Year end 2024'!E:E,0,0)</f>
        <v>7875.75</v>
      </c>
      <c r="K760" s="14">
        <f t="shared" ref="K760:K823" si="24">IFERROR(SUM(H760-I760),H760)</f>
        <v>-809.20000000000073</v>
      </c>
      <c r="L760" s="14">
        <f t="shared" ref="L760:L823" si="25">IFERROR(SUM(H760-J760),H760)</f>
        <v>22317.61</v>
      </c>
    </row>
    <row r="761" spans="1:12" ht="35.15" customHeight="1" x14ac:dyDescent="0.4">
      <c r="A761" s="11" t="s">
        <v>1572</v>
      </c>
      <c r="B761" s="11" t="s">
        <v>1573</v>
      </c>
      <c r="C761" s="11" t="s">
        <v>385</v>
      </c>
      <c r="D761" s="11" t="s">
        <v>384</v>
      </c>
      <c r="E761" s="18">
        <f>_xlfn.XLOOKUP(A761,'Current Month'!A:A,'Current Month'!I:I,"")</f>
        <v>1.6959465</v>
      </c>
      <c r="F761" s="21">
        <f>_xlfn.XLOOKUP(A761,'Prior Month'!A:A,'Prior Month'!I:I,"")</f>
        <v>2.1893153000000001</v>
      </c>
      <c r="G761" s="18">
        <f>_xlfn.XLOOKUP(A761,'Year end 2024'!A:A,'Year end 2024'!I:I,"")</f>
        <v>2.3481676999999999</v>
      </c>
      <c r="H761" s="19">
        <f>_xlfn.XLOOKUP(A761,'Current Month'!A:A,'Current Month'!E:E,0,0)</f>
        <v>169594.65</v>
      </c>
      <c r="I761" s="32">
        <f>_xlfn.XLOOKUP(A761,'Prior Month'!A:A,'Prior Month'!E:E,0,0)</f>
        <v>218931.53</v>
      </c>
      <c r="J761" s="32">
        <f>_xlfn.XLOOKUP(A761,'Year end 2024'!A:A,'Year end 2024'!E:E,0,0)</f>
        <v>234816.77</v>
      </c>
      <c r="K761" s="14">
        <f t="shared" si="24"/>
        <v>-49336.880000000005</v>
      </c>
      <c r="L761" s="14">
        <f t="shared" si="25"/>
        <v>-65222.119999999995</v>
      </c>
    </row>
    <row r="762" spans="1:12" ht="35.15" customHeight="1" x14ac:dyDescent="0.4">
      <c r="A762" s="11" t="s">
        <v>1574</v>
      </c>
      <c r="B762" s="11" t="s">
        <v>1575</v>
      </c>
      <c r="C762" s="11" t="s">
        <v>19</v>
      </c>
      <c r="D762" s="11" t="s">
        <v>18</v>
      </c>
      <c r="E762" s="18" t="str">
        <f>_xlfn.XLOOKUP(A762,'Current Month'!A:A,'Current Month'!I:I,"")</f>
        <v/>
      </c>
      <c r="F762" s="21" t="str">
        <f>_xlfn.XLOOKUP(A762,'Prior Month'!A:A,'Prior Month'!I:I,"")</f>
        <v/>
      </c>
      <c r="G762" s="18" t="str">
        <f>_xlfn.XLOOKUP(A762,'Year end 2024'!A:A,'Year end 2024'!I:I,"")</f>
        <v/>
      </c>
      <c r="H762" s="19">
        <f>_xlfn.XLOOKUP(A762,'Current Month'!A:A,'Current Month'!E:E,0,0)</f>
        <v>5671.2</v>
      </c>
      <c r="I762" s="32">
        <f>_xlfn.XLOOKUP(A762,'Prior Month'!A:A,'Prior Month'!E:E,0,0)</f>
        <v>15699.86</v>
      </c>
      <c r="J762" s="32">
        <f>_xlfn.XLOOKUP(A762,'Year end 2024'!A:A,'Year end 2024'!E:E,0,0)</f>
        <v>13339.85</v>
      </c>
      <c r="K762" s="14">
        <f t="shared" si="24"/>
        <v>-10028.66</v>
      </c>
      <c r="L762" s="14">
        <f t="shared" si="25"/>
        <v>-7668.6500000000005</v>
      </c>
    </row>
    <row r="763" spans="1:12" ht="35.15" customHeight="1" x14ac:dyDescent="0.4">
      <c r="A763" s="11" t="s">
        <v>1576</v>
      </c>
      <c r="B763" s="11" t="s">
        <v>1577</v>
      </c>
      <c r="C763" s="11" t="s">
        <v>15</v>
      </c>
      <c r="D763" s="11" t="s">
        <v>14</v>
      </c>
      <c r="E763" s="18">
        <f>_xlfn.XLOOKUP(A763,'Current Month'!A:A,'Current Month'!I:I,"")</f>
        <v>2.4097931664885868E-2</v>
      </c>
      <c r="F763" s="21">
        <f>_xlfn.XLOOKUP(A763,'Prior Month'!A:A,'Prior Month'!I:I,"")</f>
        <v>2.8854026816724009E-2</v>
      </c>
      <c r="G763" s="18">
        <f>_xlfn.XLOOKUP(A763,'Year end 2024'!A:A,'Year end 2024'!I:I,"")</f>
        <v>2.6599154999999999E-2</v>
      </c>
      <c r="H763" s="19">
        <f>_xlfn.XLOOKUP(A763,'Current Month'!A:A,'Current Month'!E:E,0,0)</f>
        <v>47471.7</v>
      </c>
      <c r="I763" s="32">
        <f>_xlfn.XLOOKUP(A763,'Prior Month'!A:A,'Prior Month'!E:E,0,0)</f>
        <v>56979.72</v>
      </c>
      <c r="J763" s="32">
        <f>_xlfn.XLOOKUP(A763,'Year end 2024'!A:A,'Year end 2024'!E:E,0,0)</f>
        <v>53198.31</v>
      </c>
      <c r="K763" s="14">
        <f t="shared" si="24"/>
        <v>-9508.0200000000041</v>
      </c>
      <c r="L763" s="14">
        <f t="shared" si="25"/>
        <v>-5726.6100000000006</v>
      </c>
    </row>
    <row r="764" spans="1:12" ht="35.15" customHeight="1" x14ac:dyDescent="0.4">
      <c r="A764" s="11" t="s">
        <v>964</v>
      </c>
      <c r="B764" s="11" t="s">
        <v>1578</v>
      </c>
      <c r="C764" s="11" t="s">
        <v>465</v>
      </c>
      <c r="D764" s="11" t="s">
        <v>464</v>
      </c>
      <c r="E764" s="18">
        <f>_xlfn.XLOOKUP(A764,'Current Month'!A:A,'Current Month'!I:I,"")</f>
        <v>3.0195864329469009</v>
      </c>
      <c r="F764" s="21">
        <f>_xlfn.XLOOKUP(A764,'Prior Month'!A:A,'Prior Month'!I:I,"")</f>
        <v>1.8514244071130597</v>
      </c>
      <c r="G764" s="18">
        <f>_xlfn.XLOOKUP(A764,'Year end 2024'!A:A,'Year end 2024'!I:I,"")</f>
        <v>2.9372769757700357</v>
      </c>
      <c r="H764" s="19">
        <f>_xlfn.XLOOKUP(A764,'Current Month'!A:A,'Current Month'!E:E,0,0)</f>
        <v>7997348.8200000003</v>
      </c>
      <c r="I764" s="32">
        <f>_xlfn.XLOOKUP(A764,'Prior Month'!A:A,'Prior Month'!E:E,0,0)</f>
        <v>4921666.9400000004</v>
      </c>
      <c r="J764" s="32">
        <f>_xlfn.XLOOKUP(A764,'Year end 2024'!A:A,'Year end 2024'!E:E,0,0)</f>
        <v>7451016</v>
      </c>
      <c r="K764" s="14">
        <f t="shared" si="24"/>
        <v>3075681.88</v>
      </c>
      <c r="L764" s="14">
        <f t="shared" si="25"/>
        <v>546332.8200000003</v>
      </c>
    </row>
    <row r="765" spans="1:12" ht="35.15" customHeight="1" x14ac:dyDescent="0.4">
      <c r="A765" s="11" t="s">
        <v>212</v>
      </c>
      <c r="B765" s="11" t="s">
        <v>1579</v>
      </c>
      <c r="C765" s="11" t="s">
        <v>19</v>
      </c>
      <c r="D765" s="11" t="s">
        <v>18</v>
      </c>
      <c r="E765" s="18" t="str">
        <f>_xlfn.XLOOKUP(A765,'Current Month'!A:A,'Current Month'!I:I,"")</f>
        <v/>
      </c>
      <c r="F765" s="21" t="str">
        <f>_xlfn.XLOOKUP(A765,'Prior Month'!A:A,'Prior Month'!I:I,"")</f>
        <v/>
      </c>
      <c r="G765" s="18" t="str">
        <f>_xlfn.XLOOKUP(A765,'Year end 2024'!A:A,'Year end 2024'!I:I,"")</f>
        <v/>
      </c>
      <c r="H765" s="19">
        <f>_xlfn.XLOOKUP(A765,'Current Month'!A:A,'Current Month'!E:E,0,0)</f>
        <v>619.23</v>
      </c>
      <c r="I765" s="32">
        <f>_xlfn.XLOOKUP(A765,'Prior Month'!A:A,'Prior Month'!E:E,0,0)</f>
        <v>624.23</v>
      </c>
      <c r="J765" s="32">
        <f>_xlfn.XLOOKUP(A765,'Year end 2024'!A:A,'Year end 2024'!E:E,0,0)</f>
        <v>669.23</v>
      </c>
      <c r="K765" s="14">
        <f t="shared" si="24"/>
        <v>-5</v>
      </c>
      <c r="L765" s="14">
        <f t="shared" si="25"/>
        <v>-50</v>
      </c>
    </row>
    <row r="766" spans="1:12" ht="35.15" customHeight="1" x14ac:dyDescent="0.4">
      <c r="A766" s="11" t="s">
        <v>1580</v>
      </c>
      <c r="B766" s="11" t="s">
        <v>1581</v>
      </c>
      <c r="C766" s="11" t="s">
        <v>19</v>
      </c>
      <c r="D766" s="11" t="s">
        <v>18</v>
      </c>
      <c r="E766" s="18">
        <f>_xlfn.XLOOKUP(A766,'Current Month'!A:A,'Current Month'!I:I,"")</f>
        <v>0.22368491235616103</v>
      </c>
      <c r="F766" s="21">
        <f>_xlfn.XLOOKUP(A766,'Prior Month'!A:A,'Prior Month'!I:I,"")</f>
        <v>0.26114126317717562</v>
      </c>
      <c r="G766" s="18">
        <f>_xlfn.XLOOKUP(A766,'Year end 2024'!A:A,'Year end 2024'!I:I,"")</f>
        <v>1.9657431991360701E-2</v>
      </c>
      <c r="H766" s="19">
        <f>_xlfn.XLOOKUP(A766,'Current Month'!A:A,'Current Month'!E:E,0,0)</f>
        <v>76198.460000000006</v>
      </c>
      <c r="I766" s="32">
        <f>_xlfn.XLOOKUP(A766,'Prior Month'!A:A,'Prior Month'!E:E,0,0)</f>
        <v>89162.54</v>
      </c>
      <c r="J766" s="32">
        <f>_xlfn.XLOOKUP(A766,'Year end 2024'!A:A,'Year end 2024'!E:E,0,0)</f>
        <v>6825.14</v>
      </c>
      <c r="K766" s="14">
        <f t="shared" si="24"/>
        <v>-12964.079999999987</v>
      </c>
      <c r="L766" s="14">
        <f t="shared" si="25"/>
        <v>69373.320000000007</v>
      </c>
    </row>
    <row r="767" spans="1:12" ht="35.15" customHeight="1" x14ac:dyDescent="0.4">
      <c r="A767" s="11" t="s">
        <v>1582</v>
      </c>
      <c r="B767" s="11" t="s">
        <v>1583</v>
      </c>
      <c r="C767" s="11" t="s">
        <v>457</v>
      </c>
      <c r="D767" s="11" t="s">
        <v>456</v>
      </c>
      <c r="E767" s="18">
        <f>_xlfn.XLOOKUP(A767,'Current Month'!A:A,'Current Month'!I:I,"")</f>
        <v>0.10339043993421419</v>
      </c>
      <c r="F767" s="21">
        <f>_xlfn.XLOOKUP(A767,'Prior Month'!A:A,'Prior Month'!I:I,"")</f>
        <v>0.11858539199647074</v>
      </c>
      <c r="G767" s="18">
        <f>_xlfn.XLOOKUP(A767,'Year end 2024'!A:A,'Year end 2024'!I:I,"")</f>
        <v>0.2598766725136244</v>
      </c>
      <c r="H767" s="19">
        <f>_xlfn.XLOOKUP(A767,'Current Month'!A:A,'Current Month'!E:E,0,0)</f>
        <v>220280.49</v>
      </c>
      <c r="I767" s="32">
        <f>_xlfn.XLOOKUP(A767,'Prior Month'!A:A,'Prior Month'!E:E,0,0)</f>
        <v>253514.92</v>
      </c>
      <c r="J767" s="32">
        <f>_xlfn.XLOOKUP(A767,'Year end 2024'!A:A,'Year end 2024'!E:E,0,0)</f>
        <v>565477.71</v>
      </c>
      <c r="K767" s="14">
        <f t="shared" si="24"/>
        <v>-33234.430000000022</v>
      </c>
      <c r="L767" s="14">
        <f t="shared" si="25"/>
        <v>-345197.22</v>
      </c>
    </row>
    <row r="768" spans="1:12" ht="35.15" customHeight="1" x14ac:dyDescent="0.4">
      <c r="A768" s="11" t="s">
        <v>1584</v>
      </c>
      <c r="B768" s="11" t="s">
        <v>1585</v>
      </c>
      <c r="C768" s="11" t="s">
        <v>313</v>
      </c>
      <c r="D768" s="11" t="s">
        <v>312</v>
      </c>
      <c r="E768" s="18" t="str">
        <f>_xlfn.XLOOKUP(A768,'Current Month'!A:A,'Current Month'!I:I,"")</f>
        <v/>
      </c>
      <c r="F768" s="21" t="str">
        <f>_xlfn.XLOOKUP(A768,'Prior Month'!A:A,'Prior Month'!I:I,"")</f>
        <v/>
      </c>
      <c r="G768" s="18">
        <f>_xlfn.XLOOKUP(A768,'Year end 2024'!A:A,'Year end 2024'!I:I,"")</f>
        <v>1.2311388333333333</v>
      </c>
      <c r="H768" s="19">
        <f>_xlfn.XLOOKUP(A768,'Current Month'!A:A,'Current Month'!E:E,0,0)</f>
        <v>25097.39</v>
      </c>
      <c r="I768" s="32">
        <f>_xlfn.XLOOKUP(A768,'Prior Month'!A:A,'Prior Month'!E:E,0,0)</f>
        <v>54618.03</v>
      </c>
      <c r="J768" s="32">
        <f>_xlfn.XLOOKUP(A768,'Year end 2024'!A:A,'Year end 2024'!E:E,0,0)</f>
        <v>73868.33</v>
      </c>
      <c r="K768" s="14">
        <f t="shared" si="24"/>
        <v>-29520.639999999999</v>
      </c>
      <c r="L768" s="14">
        <f t="shared" si="25"/>
        <v>-48770.94</v>
      </c>
    </row>
    <row r="769" spans="1:12" ht="35.15" customHeight="1" x14ac:dyDescent="0.4">
      <c r="A769" s="11" t="s">
        <v>1586</v>
      </c>
      <c r="B769" s="11" t="s">
        <v>1587</v>
      </c>
      <c r="C769" s="11" t="s">
        <v>457</v>
      </c>
      <c r="D769" s="11" t="s">
        <v>456</v>
      </c>
      <c r="E769" s="18">
        <f>_xlfn.XLOOKUP(A769,'Current Month'!A:A,'Current Month'!I:I,"")</f>
        <v>1.1954559311962036E-2</v>
      </c>
      <c r="F769" s="21">
        <f>_xlfn.XLOOKUP(A769,'Prior Month'!A:A,'Prior Month'!I:I,"")</f>
        <v>0.23079911680411766</v>
      </c>
      <c r="G769" s="18">
        <f>_xlfn.XLOOKUP(A769,'Year end 2024'!A:A,'Year end 2024'!I:I,"")</f>
        <v>6.917023553351008E-2</v>
      </c>
      <c r="H769" s="19">
        <f>_xlfn.XLOOKUP(A769,'Current Month'!A:A,'Current Month'!E:E,0,0)</f>
        <v>810.53</v>
      </c>
      <c r="I769" s="32">
        <f>_xlfn.XLOOKUP(A769,'Prior Month'!A:A,'Prior Month'!E:E,0,0)</f>
        <v>15783.89</v>
      </c>
      <c r="J769" s="32">
        <f>_xlfn.XLOOKUP(A769,'Year end 2024'!A:A,'Year end 2024'!E:E,0,0)</f>
        <v>5024.51</v>
      </c>
      <c r="K769" s="14">
        <f t="shared" si="24"/>
        <v>-14973.359999999999</v>
      </c>
      <c r="L769" s="14">
        <f t="shared" si="25"/>
        <v>-4213.9800000000005</v>
      </c>
    </row>
    <row r="770" spans="1:12" ht="35.15" customHeight="1" x14ac:dyDescent="0.4">
      <c r="A770" s="11" t="s">
        <v>1588</v>
      </c>
      <c r="B770" s="11" t="s">
        <v>1589</v>
      </c>
      <c r="C770" s="11" t="s">
        <v>57</v>
      </c>
      <c r="D770" s="11" t="s">
        <v>56</v>
      </c>
      <c r="E770" s="18">
        <f>_xlfn.XLOOKUP(A770,'Current Month'!A:A,'Current Month'!I:I,"")</f>
        <v>0.61601277777761621</v>
      </c>
      <c r="F770" s="21">
        <f>_xlfn.XLOOKUP(A770,'Prior Month'!A:A,'Prior Month'!I:I,"")</f>
        <v>1.1283759206837598</v>
      </c>
      <c r="G770" s="18">
        <f>_xlfn.XLOOKUP(A770,'Year end 2024'!A:A,'Year end 2024'!I:I,"")</f>
        <v>1.0824153996697907</v>
      </c>
      <c r="H770" s="19">
        <f>_xlfn.XLOOKUP(A770,'Current Month'!A:A,'Current Month'!E:E,0,0)</f>
        <v>63551.95</v>
      </c>
      <c r="I770" s="32">
        <f>_xlfn.XLOOKUP(A770,'Prior Month'!A:A,'Prior Month'!E:E,0,0)</f>
        <v>117199.6</v>
      </c>
      <c r="J770" s="32">
        <f>_xlfn.XLOOKUP(A770,'Year end 2024'!A:A,'Year end 2024'!E:E,0,0)</f>
        <v>118878.75</v>
      </c>
      <c r="K770" s="14">
        <f t="shared" si="24"/>
        <v>-53647.650000000009</v>
      </c>
      <c r="L770" s="14">
        <f t="shared" si="25"/>
        <v>-55326.8</v>
      </c>
    </row>
    <row r="771" spans="1:12" ht="35.15" customHeight="1" x14ac:dyDescent="0.4">
      <c r="A771" s="11" t="s">
        <v>1590</v>
      </c>
      <c r="B771" s="11" t="s">
        <v>1591</v>
      </c>
      <c r="C771" s="11" t="s">
        <v>465</v>
      </c>
      <c r="D771" s="11" t="s">
        <v>464</v>
      </c>
      <c r="E771" s="18">
        <f>_xlfn.XLOOKUP(A771,'Current Month'!A:A,'Current Month'!I:I,"")</f>
        <v>1.2891068485142605E-2</v>
      </c>
      <c r="F771" s="21">
        <f>_xlfn.XLOOKUP(A771,'Prior Month'!A:A,'Prior Month'!I:I,"")</f>
        <v>1.1175925446242194E-2</v>
      </c>
      <c r="G771" s="18">
        <f>_xlfn.XLOOKUP(A771,'Year end 2024'!A:A,'Year end 2024'!I:I,"")</f>
        <v>9.2959903647151752E-3</v>
      </c>
      <c r="H771" s="19">
        <f>_xlfn.XLOOKUP(A771,'Current Month'!A:A,'Current Month'!E:E,0,0)</f>
        <v>22615.99</v>
      </c>
      <c r="I771" s="32">
        <f>_xlfn.XLOOKUP(A771,'Prior Month'!A:A,'Prior Month'!E:E,0,0)</f>
        <v>19661.37</v>
      </c>
      <c r="J771" s="32">
        <f>_xlfn.XLOOKUP(A771,'Year end 2024'!A:A,'Year end 2024'!E:E,0,0)</f>
        <v>17608.97</v>
      </c>
      <c r="K771" s="14">
        <f t="shared" si="24"/>
        <v>2954.6200000000026</v>
      </c>
      <c r="L771" s="14">
        <f t="shared" si="25"/>
        <v>5007.0200000000004</v>
      </c>
    </row>
    <row r="772" spans="1:12" ht="35.15" customHeight="1" x14ac:dyDescent="0.4">
      <c r="A772" s="11" t="s">
        <v>456</v>
      </c>
      <c r="B772" s="11" t="s">
        <v>1592</v>
      </c>
      <c r="C772" s="11" t="s">
        <v>185</v>
      </c>
      <c r="D772" s="11" t="s">
        <v>184</v>
      </c>
      <c r="E772" s="18">
        <f>_xlfn.XLOOKUP(A772,'Current Month'!A:A,'Current Month'!I:I,"")</f>
        <v>1.0243100320041967E-3</v>
      </c>
      <c r="F772" s="21">
        <f>_xlfn.XLOOKUP(A772,'Prior Month'!A:A,'Prior Month'!I:I,"")</f>
        <v>1.2231609257014752E-2</v>
      </c>
      <c r="G772" s="18">
        <f>_xlfn.XLOOKUP(A772,'Year end 2024'!A:A,'Year end 2024'!I:I,"")</f>
        <v>1.8970056071940276E-2</v>
      </c>
      <c r="H772" s="19">
        <f>_xlfn.XLOOKUP(A772,'Current Month'!A:A,'Current Month'!E:E,0,0)</f>
        <v>897.61</v>
      </c>
      <c r="I772" s="32">
        <f>_xlfn.XLOOKUP(A772,'Prior Month'!A:A,'Prior Month'!E:E,0,0)</f>
        <v>10771.69</v>
      </c>
      <c r="J772" s="32">
        <f>_xlfn.XLOOKUP(A772,'Year end 2024'!A:A,'Year end 2024'!E:E,0,0)</f>
        <v>17362.16</v>
      </c>
      <c r="K772" s="14">
        <f t="shared" si="24"/>
        <v>-9874.08</v>
      </c>
      <c r="L772" s="14">
        <f t="shared" si="25"/>
        <v>-16464.55</v>
      </c>
    </row>
    <row r="773" spans="1:12" ht="35.15" customHeight="1" x14ac:dyDescent="0.4">
      <c r="A773" s="11" t="s">
        <v>1593</v>
      </c>
      <c r="B773" s="11" t="s">
        <v>1594</v>
      </c>
      <c r="C773" s="11" t="s">
        <v>253</v>
      </c>
      <c r="D773" s="11" t="s">
        <v>252</v>
      </c>
      <c r="E773" s="18">
        <f>_xlfn.XLOOKUP(A773,'Current Month'!A:A,'Current Month'!I:I,"")</f>
        <v>2.7961470588235295E-3</v>
      </c>
      <c r="F773" s="21">
        <f>_xlfn.XLOOKUP(A773,'Prior Month'!A:A,'Prior Month'!I:I,"")</f>
        <v>0</v>
      </c>
      <c r="G773" s="18">
        <f>_xlfn.XLOOKUP(A773,'Year end 2024'!A:A,'Year end 2024'!I:I,"")</f>
        <v>0</v>
      </c>
      <c r="H773" s="19">
        <f>_xlfn.XLOOKUP(A773,'Current Month'!A:A,'Current Month'!E:E,0,0)</f>
        <v>950.69</v>
      </c>
      <c r="I773" s="32">
        <f>_xlfn.XLOOKUP(A773,'Prior Month'!A:A,'Prior Month'!E:E,0,0)</f>
        <v>0</v>
      </c>
      <c r="J773" s="32">
        <f>_xlfn.XLOOKUP(A773,'Year end 2024'!A:A,'Year end 2024'!E:E,0,0)</f>
        <v>0</v>
      </c>
      <c r="K773" s="14">
        <f t="shared" si="24"/>
        <v>950.69</v>
      </c>
      <c r="L773" s="14">
        <f t="shared" si="25"/>
        <v>950.69</v>
      </c>
    </row>
    <row r="774" spans="1:12" ht="35.15" customHeight="1" x14ac:dyDescent="0.4">
      <c r="A774" s="11" t="s">
        <v>1595</v>
      </c>
      <c r="B774" s="11" t="s">
        <v>1596</v>
      </c>
      <c r="C774" s="11" t="s">
        <v>15</v>
      </c>
      <c r="D774" s="11" t="s">
        <v>14</v>
      </c>
      <c r="E774" s="18">
        <f>_xlfn.XLOOKUP(A774,'Current Month'!A:A,'Current Month'!I:I,"")</f>
        <v>5.1979174897505663E-2</v>
      </c>
      <c r="F774" s="21">
        <f>_xlfn.XLOOKUP(A774,'Prior Month'!A:A,'Prior Month'!I:I,"")</f>
        <v>4.0866869674674872E-2</v>
      </c>
      <c r="G774" s="18">
        <f>_xlfn.XLOOKUP(A774,'Year end 2024'!A:A,'Year end 2024'!I:I,"")</f>
        <v>0.4780509078882289</v>
      </c>
      <c r="H774" s="19">
        <f>_xlfn.XLOOKUP(A774,'Current Month'!A:A,'Current Month'!E:E,0,0)</f>
        <v>52488.3</v>
      </c>
      <c r="I774" s="32">
        <f>_xlfn.XLOOKUP(A774,'Prior Month'!A:A,'Prior Month'!E:E,0,0)</f>
        <v>41498.300000000003</v>
      </c>
      <c r="J774" s="32">
        <f>_xlfn.XLOOKUP(A774,'Year end 2024'!A:A,'Year end 2024'!E:E,0,0)</f>
        <v>507628.3</v>
      </c>
      <c r="K774" s="14">
        <f t="shared" si="24"/>
        <v>10990</v>
      </c>
      <c r="L774" s="14">
        <f t="shared" si="25"/>
        <v>-455140</v>
      </c>
    </row>
    <row r="775" spans="1:12" ht="35.15" customHeight="1" x14ac:dyDescent="0.4">
      <c r="A775" s="11" t="s">
        <v>1597</v>
      </c>
      <c r="B775" s="11" t="s">
        <v>1598</v>
      </c>
      <c r="C775" s="11" t="s">
        <v>19</v>
      </c>
      <c r="D775" s="11" t="s">
        <v>18</v>
      </c>
      <c r="E775" s="18">
        <f>_xlfn.XLOOKUP(A775,'Current Month'!A:A,'Current Month'!I:I,"")</f>
        <v>9.4845536480686693E-2</v>
      </c>
      <c r="F775" s="21">
        <f>_xlfn.XLOOKUP(A775,'Prior Month'!A:A,'Prior Month'!I:I,"")</f>
        <v>0.50949394849785401</v>
      </c>
      <c r="G775" s="18">
        <f>_xlfn.XLOOKUP(A775,'Year end 2024'!A:A,'Year end 2024'!I:I,"")</f>
        <v>0.16213339055793993</v>
      </c>
      <c r="H775" s="19">
        <f>_xlfn.XLOOKUP(A775,'Current Month'!A:A,'Current Month'!E:E,0,0)</f>
        <v>22099.01</v>
      </c>
      <c r="I775" s="32">
        <f>_xlfn.XLOOKUP(A775,'Prior Month'!A:A,'Prior Month'!E:E,0,0)</f>
        <v>118712.09</v>
      </c>
      <c r="J775" s="32">
        <f>_xlfn.XLOOKUP(A775,'Year end 2024'!A:A,'Year end 2024'!E:E,0,0)</f>
        <v>37777.08</v>
      </c>
      <c r="K775" s="14">
        <f t="shared" si="24"/>
        <v>-96613.08</v>
      </c>
      <c r="L775" s="14">
        <f t="shared" si="25"/>
        <v>-15678.070000000003</v>
      </c>
    </row>
    <row r="776" spans="1:12" ht="35.15" customHeight="1" x14ac:dyDescent="0.4">
      <c r="A776" s="11" t="s">
        <v>1599</v>
      </c>
      <c r="B776" s="11" t="s">
        <v>1600</v>
      </c>
      <c r="C776" s="11" t="s">
        <v>385</v>
      </c>
      <c r="D776" s="11" t="s">
        <v>384</v>
      </c>
      <c r="E776" s="18">
        <f>_xlfn.XLOOKUP(A776,'Current Month'!A:A,'Current Month'!I:I,"")</f>
        <v>8.2412272727272737E-2</v>
      </c>
      <c r="F776" s="21">
        <f>_xlfn.XLOOKUP(A776,'Prior Month'!A:A,'Prior Month'!I:I,"")</f>
        <v>9.1460909090909093E-2</v>
      </c>
      <c r="G776" s="18">
        <f>_xlfn.XLOOKUP(A776,'Year end 2024'!A:A,'Year end 2024'!I:I,"")</f>
        <v>5.7743636363636365E-2</v>
      </c>
      <c r="H776" s="19">
        <f>_xlfn.XLOOKUP(A776,'Current Month'!A:A,'Current Month'!E:E,0,0)</f>
        <v>9065.35</v>
      </c>
      <c r="I776" s="32">
        <f>_xlfn.XLOOKUP(A776,'Prior Month'!A:A,'Prior Month'!E:E,0,0)</f>
        <v>10060.700000000001</v>
      </c>
      <c r="J776" s="32">
        <f>_xlfn.XLOOKUP(A776,'Year end 2024'!A:A,'Year end 2024'!E:E,0,0)</f>
        <v>6351.8</v>
      </c>
      <c r="K776" s="14">
        <f t="shared" si="24"/>
        <v>-995.35000000000036</v>
      </c>
      <c r="L776" s="14">
        <f t="shared" si="25"/>
        <v>2713.55</v>
      </c>
    </row>
    <row r="777" spans="1:12" ht="35.15" customHeight="1" x14ac:dyDescent="0.4">
      <c r="A777" s="11" t="s">
        <v>1601</v>
      </c>
      <c r="B777" s="11" t="s">
        <v>1602</v>
      </c>
      <c r="C777" s="11" t="s">
        <v>33</v>
      </c>
      <c r="D777" s="11" t="s">
        <v>32</v>
      </c>
      <c r="E777" s="18">
        <f>_xlfn.XLOOKUP(A777,'Current Month'!A:A,'Current Month'!I:I,"")</f>
        <v>0.28972964388071126</v>
      </c>
      <c r="F777" s="21">
        <f>_xlfn.XLOOKUP(A777,'Prior Month'!A:A,'Prior Month'!I:I,"")</f>
        <v>0.31751202341635731</v>
      </c>
      <c r="G777" s="18">
        <f>_xlfn.XLOOKUP(A777,'Year end 2024'!A:A,'Year end 2024'!I:I,"")</f>
        <v>0.50623122857142855</v>
      </c>
      <c r="H777" s="19">
        <f>_xlfn.XLOOKUP(A777,'Current Month'!A:A,'Current Month'!E:E,0,0)</f>
        <v>50167.05</v>
      </c>
      <c r="I777" s="32">
        <f>_xlfn.XLOOKUP(A777,'Prior Month'!A:A,'Prior Month'!E:E,0,0)</f>
        <v>55799.69</v>
      </c>
      <c r="J777" s="32">
        <f>_xlfn.XLOOKUP(A777,'Year end 2024'!A:A,'Year end 2024'!E:E,0,0)</f>
        <v>177180.93</v>
      </c>
      <c r="K777" s="14">
        <f t="shared" si="24"/>
        <v>-5632.6399999999994</v>
      </c>
      <c r="L777" s="14">
        <f t="shared" si="25"/>
        <v>-127013.87999999999</v>
      </c>
    </row>
    <row r="778" spans="1:12" ht="35.15" customHeight="1" x14ac:dyDescent="0.4">
      <c r="A778" s="11" t="s">
        <v>1603</v>
      </c>
      <c r="B778" s="11" t="s">
        <v>1604</v>
      </c>
      <c r="C778" s="11" t="s">
        <v>41</v>
      </c>
      <c r="D778" s="11" t="s">
        <v>40</v>
      </c>
      <c r="E778" s="18">
        <f>_xlfn.XLOOKUP(A778,'Current Month'!A:A,'Current Month'!I:I,"")</f>
        <v>0</v>
      </c>
      <c r="F778" s="21">
        <f>_xlfn.XLOOKUP(A778,'Prior Month'!A:A,'Prior Month'!I:I,"")</f>
        <v>0</v>
      </c>
      <c r="G778" s="18">
        <f>_xlfn.XLOOKUP(A778,'Year end 2024'!A:A,'Year end 2024'!I:I,"")</f>
        <v>0</v>
      </c>
      <c r="H778" s="19">
        <f>_xlfn.XLOOKUP(A778,'Current Month'!A:A,'Current Month'!E:E,0,0)</f>
        <v>0</v>
      </c>
      <c r="I778" s="32">
        <f>_xlfn.XLOOKUP(A778,'Prior Month'!A:A,'Prior Month'!E:E,0,0)</f>
        <v>0</v>
      </c>
      <c r="J778" s="32">
        <f>_xlfn.XLOOKUP(A778,'Year end 2024'!A:A,'Year end 2024'!E:E,0,0)</f>
        <v>0</v>
      </c>
      <c r="K778" s="14">
        <f t="shared" si="24"/>
        <v>0</v>
      </c>
      <c r="L778" s="14">
        <f t="shared" si="25"/>
        <v>0</v>
      </c>
    </row>
    <row r="779" spans="1:12" ht="35.15" customHeight="1" x14ac:dyDescent="0.4">
      <c r="A779" s="11" t="s">
        <v>1605</v>
      </c>
      <c r="B779" s="11" t="s">
        <v>1606</v>
      </c>
      <c r="C779" s="11" t="s">
        <v>51</v>
      </c>
      <c r="D779" s="11" t="s">
        <v>50</v>
      </c>
      <c r="E779" s="18">
        <f>_xlfn.XLOOKUP(A779,'Current Month'!A:A,'Current Month'!I:I,"")</f>
        <v>0.40412059750149065</v>
      </c>
      <c r="F779" s="21">
        <f>_xlfn.XLOOKUP(A779,'Prior Month'!A:A,'Prior Month'!I:I,"")</f>
        <v>0.27535735615027862</v>
      </c>
      <c r="G779" s="18">
        <f>_xlfn.XLOOKUP(A779,'Year end 2024'!A:A,'Year end 2024'!I:I,"")</f>
        <v>0.45480548370033835</v>
      </c>
      <c r="H779" s="19">
        <f>_xlfn.XLOOKUP(A779,'Current Month'!A:A,'Current Month'!E:E,0,0)</f>
        <v>16869</v>
      </c>
      <c r="I779" s="32">
        <f>_xlfn.XLOOKUP(A779,'Prior Month'!A:A,'Prior Month'!E:E,0,0)</f>
        <v>11563.5</v>
      </c>
      <c r="J779" s="32">
        <f>_xlfn.XLOOKUP(A779,'Year end 2024'!A:A,'Year end 2024'!E:E,0,0)</f>
        <v>20085.52</v>
      </c>
      <c r="K779" s="14">
        <f t="shared" si="24"/>
        <v>5305.5</v>
      </c>
      <c r="L779" s="14">
        <f t="shared" si="25"/>
        <v>-3216.5200000000004</v>
      </c>
    </row>
    <row r="780" spans="1:12" ht="35.15" customHeight="1" x14ac:dyDescent="0.4">
      <c r="A780" s="11" t="s">
        <v>1607</v>
      </c>
      <c r="B780" s="11" t="s">
        <v>1608</v>
      </c>
      <c r="C780" s="11" t="s">
        <v>213</v>
      </c>
      <c r="D780" s="11" t="s">
        <v>212</v>
      </c>
      <c r="E780" s="18">
        <f>_xlfn.XLOOKUP(A780,'Current Month'!A:A,'Current Month'!I:I,"")</f>
        <v>4.0635459854481755E-2</v>
      </c>
      <c r="F780" s="21">
        <f>_xlfn.XLOOKUP(A780,'Prior Month'!A:A,'Prior Month'!I:I,"")</f>
        <v>6.291151868754323E-2</v>
      </c>
      <c r="G780" s="18">
        <f>_xlfn.XLOOKUP(A780,'Year end 2024'!A:A,'Year end 2024'!I:I,"")</f>
        <v>2.0225976969206642E-2</v>
      </c>
      <c r="H780" s="19">
        <f>_xlfn.XLOOKUP(A780,'Current Month'!A:A,'Current Month'!E:E,0,0)</f>
        <v>14006.39</v>
      </c>
      <c r="I780" s="32">
        <f>_xlfn.XLOOKUP(A780,'Prior Month'!A:A,'Prior Month'!E:E,0,0)</f>
        <v>21723.84</v>
      </c>
      <c r="J780" s="32">
        <f>_xlfn.XLOOKUP(A780,'Year end 2024'!A:A,'Year end 2024'!E:E,0,0)</f>
        <v>7042.49</v>
      </c>
      <c r="K780" s="14">
        <f t="shared" si="24"/>
        <v>-7717.4500000000007</v>
      </c>
      <c r="L780" s="14">
        <f t="shared" si="25"/>
        <v>6963.9</v>
      </c>
    </row>
    <row r="781" spans="1:12" ht="35.15" customHeight="1" x14ac:dyDescent="0.4">
      <c r="A781" s="11" t="s">
        <v>1609</v>
      </c>
      <c r="B781" s="11" t="s">
        <v>1610</v>
      </c>
      <c r="C781" s="11" t="s">
        <v>51</v>
      </c>
      <c r="D781" s="11" t="s">
        <v>50</v>
      </c>
      <c r="E781" s="18">
        <f>_xlfn.XLOOKUP(A781,'Current Month'!A:A,'Current Month'!I:I,"")</f>
        <v>3.7761713003985977</v>
      </c>
      <c r="F781" s="21">
        <f>_xlfn.XLOOKUP(A781,'Prior Month'!A:A,'Prior Month'!I:I,"")</f>
        <v>3.7776055027767592</v>
      </c>
      <c r="G781" s="18">
        <f>_xlfn.XLOOKUP(A781,'Year end 2024'!A:A,'Year end 2024'!I:I,"")</f>
        <v>1.1285009673052959</v>
      </c>
      <c r="H781" s="19">
        <f>_xlfn.XLOOKUP(A781,'Current Month'!A:A,'Current Month'!E:E,0,0)</f>
        <v>25825.16</v>
      </c>
      <c r="I781" s="32">
        <f>_xlfn.XLOOKUP(A781,'Prior Month'!A:A,'Prior Month'!E:E,0,0)</f>
        <v>26800.6</v>
      </c>
      <c r="J781" s="32">
        <f>_xlfn.XLOOKUP(A781,'Year end 2024'!A:A,'Year end 2024'!E:E,0,0)</f>
        <v>10488.13</v>
      </c>
      <c r="K781" s="14">
        <f t="shared" si="24"/>
        <v>-975.43999999999869</v>
      </c>
      <c r="L781" s="14">
        <f t="shared" si="25"/>
        <v>15337.03</v>
      </c>
    </row>
    <row r="782" spans="1:12" ht="35.15" customHeight="1" x14ac:dyDescent="0.4">
      <c r="A782" s="11" t="s">
        <v>1611</v>
      </c>
      <c r="B782" s="11" t="s">
        <v>1612</v>
      </c>
      <c r="C782" s="11" t="s">
        <v>109</v>
      </c>
      <c r="D782" s="11" t="s">
        <v>108</v>
      </c>
      <c r="E782" s="18" t="str">
        <f>_xlfn.XLOOKUP(A782,'Current Month'!A:A,'Current Month'!I:I,"")</f>
        <v/>
      </c>
      <c r="F782" s="21" t="str">
        <f>_xlfn.XLOOKUP(A782,'Prior Month'!A:A,'Prior Month'!I:I,"")</f>
        <v/>
      </c>
      <c r="G782" s="18" t="str">
        <f>_xlfn.XLOOKUP(A782,'Year end 2024'!A:A,'Year end 2024'!I:I,"")</f>
        <v/>
      </c>
      <c r="H782" s="19">
        <f>_xlfn.XLOOKUP(A782,'Current Month'!A:A,'Current Month'!E:E,0,0)</f>
        <v>10863.98</v>
      </c>
      <c r="I782" s="32">
        <f>_xlfn.XLOOKUP(A782,'Prior Month'!A:A,'Prior Month'!E:E,0,0)</f>
        <v>15089.85</v>
      </c>
      <c r="J782" s="32">
        <f>_xlfn.XLOOKUP(A782,'Year end 2024'!A:A,'Year end 2024'!E:E,0,0)</f>
        <v>12876.69</v>
      </c>
      <c r="K782" s="14">
        <f t="shared" si="24"/>
        <v>-4225.8700000000008</v>
      </c>
      <c r="L782" s="14">
        <f t="shared" si="25"/>
        <v>-2012.7100000000009</v>
      </c>
    </row>
    <row r="783" spans="1:12" ht="35.15" customHeight="1" x14ac:dyDescent="0.4">
      <c r="A783" s="11" t="s">
        <v>1613</v>
      </c>
      <c r="B783" s="11" t="s">
        <v>1614</v>
      </c>
      <c r="C783" s="11" t="s">
        <v>385</v>
      </c>
      <c r="D783" s="11" t="s">
        <v>384</v>
      </c>
      <c r="E783" s="18">
        <f>_xlfn.XLOOKUP(A783,'Current Month'!A:A,'Current Month'!I:I,"")</f>
        <v>9.849794375703036</v>
      </c>
      <c r="F783" s="21">
        <f>_xlfn.XLOOKUP(A783,'Prior Month'!A:A,'Prior Month'!I:I,"")</f>
        <v>14.27893025871766</v>
      </c>
      <c r="G783" s="18">
        <f>_xlfn.XLOOKUP(A783,'Year end 2024'!A:A,'Year end 2024'!I:I,"")</f>
        <v>71.017037232845894</v>
      </c>
      <c r="H783" s="19">
        <f>_xlfn.XLOOKUP(A783,'Current Month'!A:A,'Current Month'!E:E,0,0)</f>
        <v>875646.72</v>
      </c>
      <c r="I783" s="32">
        <f>_xlfn.XLOOKUP(A783,'Prior Month'!A:A,'Prior Month'!E:E,0,0)</f>
        <v>1269396.8999999999</v>
      </c>
      <c r="J783" s="32">
        <f>_xlfn.XLOOKUP(A783,'Year end 2024'!A:A,'Year end 2024'!E:E,0,0)</f>
        <v>6313414.6100000003</v>
      </c>
      <c r="K783" s="14">
        <f t="shared" si="24"/>
        <v>-393750.17999999993</v>
      </c>
      <c r="L783" s="14">
        <f t="shared" si="25"/>
        <v>-5437767.8900000006</v>
      </c>
    </row>
    <row r="784" spans="1:12" ht="35.15" customHeight="1" x14ac:dyDescent="0.4">
      <c r="A784" s="11" t="s">
        <v>1615</v>
      </c>
      <c r="B784" s="11" t="s">
        <v>1616</v>
      </c>
      <c r="C784" s="11" t="s">
        <v>33</v>
      </c>
      <c r="D784" s="11" t="s">
        <v>32</v>
      </c>
      <c r="E784" s="18">
        <f>_xlfn.XLOOKUP(A784,'Current Month'!A:A,'Current Month'!I:I,"")</f>
        <v>1.2793834377174669</v>
      </c>
      <c r="F784" s="21">
        <f>_xlfn.XLOOKUP(A784,'Prior Month'!A:A,'Prior Month'!I:I,"")</f>
        <v>1.1754573371944239</v>
      </c>
      <c r="G784" s="18">
        <f>_xlfn.XLOOKUP(A784,'Year end 2024'!A:A,'Year end 2024'!I:I,"")</f>
        <v>2.4837153594583743</v>
      </c>
      <c r="H784" s="19">
        <f>_xlfn.XLOOKUP(A784,'Current Month'!A:A,'Current Month'!E:E,0,0)</f>
        <v>284963.46999999997</v>
      </c>
      <c r="I784" s="32">
        <f>_xlfn.XLOOKUP(A784,'Prior Month'!A:A,'Prior Month'!E:E,0,0)</f>
        <v>261815.49</v>
      </c>
      <c r="J784" s="32">
        <f>_xlfn.XLOOKUP(A784,'Year end 2024'!A:A,'Year end 2024'!E:E,0,0)</f>
        <v>346309.4</v>
      </c>
      <c r="K784" s="14">
        <f t="shared" si="24"/>
        <v>23147.979999999981</v>
      </c>
      <c r="L784" s="14">
        <f t="shared" si="25"/>
        <v>-61345.930000000051</v>
      </c>
    </row>
    <row r="785" spans="1:12" ht="35.15" customHeight="1" x14ac:dyDescent="0.4">
      <c r="A785" s="11" t="s">
        <v>1617</v>
      </c>
      <c r="B785" s="11" t="s">
        <v>1618</v>
      </c>
      <c r="C785" s="11" t="s">
        <v>457</v>
      </c>
      <c r="D785" s="11" t="s">
        <v>456</v>
      </c>
      <c r="E785" s="18">
        <f>_xlfn.XLOOKUP(A785,'Current Month'!A:A,'Current Month'!I:I,"")</f>
        <v>0</v>
      </c>
      <c r="F785" s="21">
        <f>_xlfn.XLOOKUP(A785,'Prior Month'!A:A,'Prior Month'!I:I,"")</f>
        <v>0</v>
      </c>
      <c r="G785" s="18">
        <f>_xlfn.XLOOKUP(A785,'Year end 2024'!A:A,'Year end 2024'!I:I,"")</f>
        <v>0</v>
      </c>
      <c r="H785" s="19">
        <f>_xlfn.XLOOKUP(A785,'Current Month'!A:A,'Current Month'!E:E,0,0)</f>
        <v>0</v>
      </c>
      <c r="I785" s="32">
        <f>_xlfn.XLOOKUP(A785,'Prior Month'!A:A,'Prior Month'!E:E,0,0)</f>
        <v>0</v>
      </c>
      <c r="J785" s="32">
        <f>_xlfn.XLOOKUP(A785,'Year end 2024'!A:A,'Year end 2024'!E:E,0,0)</f>
        <v>0</v>
      </c>
      <c r="K785" s="14">
        <f t="shared" si="24"/>
        <v>0</v>
      </c>
      <c r="L785" s="14">
        <f t="shared" si="25"/>
        <v>0</v>
      </c>
    </row>
    <row r="786" spans="1:12" ht="35.15" customHeight="1" x14ac:dyDescent="0.4">
      <c r="A786" s="11" t="s">
        <v>22</v>
      </c>
      <c r="B786" s="11" t="s">
        <v>1619</v>
      </c>
      <c r="C786" s="11" t="s">
        <v>259</v>
      </c>
      <c r="D786" s="11" t="s">
        <v>258</v>
      </c>
      <c r="E786" s="18">
        <f>_xlfn.XLOOKUP(A786,'Current Month'!A:A,'Current Month'!I:I,"")</f>
        <v>1.740190983299877</v>
      </c>
      <c r="F786" s="21">
        <f>_xlfn.XLOOKUP(A786,'Prior Month'!A:A,'Prior Month'!I:I,"")</f>
        <v>1.9769997915396051</v>
      </c>
      <c r="G786" s="18">
        <f>_xlfn.XLOOKUP(A786,'Year end 2024'!A:A,'Year end 2024'!I:I,"")</f>
        <v>1.2649244966434563</v>
      </c>
      <c r="H786" s="19">
        <f>_xlfn.XLOOKUP(A786,'Current Month'!A:A,'Current Month'!E:E,0,0)</f>
        <v>268226.06</v>
      </c>
      <c r="I786" s="32">
        <f>_xlfn.XLOOKUP(A786,'Prior Month'!A:A,'Prior Month'!E:E,0,0)</f>
        <v>337054.78</v>
      </c>
      <c r="J786" s="32">
        <f>_xlfn.XLOOKUP(A786,'Year end 2024'!A:A,'Year end 2024'!E:E,0,0)</f>
        <v>252985.38</v>
      </c>
      <c r="K786" s="14">
        <f t="shared" si="24"/>
        <v>-68828.72000000003</v>
      </c>
      <c r="L786" s="14">
        <f t="shared" si="25"/>
        <v>15240.679999999993</v>
      </c>
    </row>
    <row r="787" spans="1:12" ht="35.15" customHeight="1" x14ac:dyDescent="0.4">
      <c r="A787" s="11" t="s">
        <v>470</v>
      </c>
      <c r="B787" s="11" t="s">
        <v>1620</v>
      </c>
      <c r="C787" s="11" t="s">
        <v>101</v>
      </c>
      <c r="D787" s="11" t="s">
        <v>100</v>
      </c>
      <c r="E787" s="18">
        <f>_xlfn.XLOOKUP(A787,'Current Month'!A:A,'Current Month'!I:I,"")</f>
        <v>0.13516931077257868</v>
      </c>
      <c r="F787" s="21">
        <f>_xlfn.XLOOKUP(A787,'Prior Month'!A:A,'Prior Month'!I:I,"")</f>
        <v>0.16174328977693841</v>
      </c>
      <c r="G787" s="18">
        <f>_xlfn.XLOOKUP(A787,'Year end 2024'!A:A,'Year end 2024'!I:I,"")</f>
        <v>0</v>
      </c>
      <c r="H787" s="19">
        <f>_xlfn.XLOOKUP(A787,'Current Month'!A:A,'Current Month'!E:E,0,0)</f>
        <v>72591.72</v>
      </c>
      <c r="I787" s="32">
        <f>_xlfn.XLOOKUP(A787,'Prior Month'!A:A,'Prior Month'!E:E,0,0)</f>
        <v>87265.919999999998</v>
      </c>
      <c r="J787" s="32">
        <f>_xlfn.XLOOKUP(A787,'Year end 2024'!A:A,'Year end 2024'!E:E,0,0)</f>
        <v>0</v>
      </c>
      <c r="K787" s="14">
        <f t="shared" si="24"/>
        <v>-14674.199999999997</v>
      </c>
      <c r="L787" s="14">
        <f t="shared" si="25"/>
        <v>72591.72</v>
      </c>
    </row>
    <row r="788" spans="1:12" ht="35.15" customHeight="1" x14ac:dyDescent="0.4">
      <c r="A788" s="11" t="s">
        <v>1621</v>
      </c>
      <c r="B788" s="11" t="s">
        <v>1622</v>
      </c>
      <c r="C788" s="11" t="s">
        <v>213</v>
      </c>
      <c r="D788" s="11" t="s">
        <v>212</v>
      </c>
      <c r="E788" s="18">
        <f>_xlfn.XLOOKUP(A788,'Current Month'!A:A,'Current Month'!I:I,"")</f>
        <v>1.9666894514584216E-2</v>
      </c>
      <c r="F788" s="21">
        <f>_xlfn.XLOOKUP(A788,'Prior Month'!A:A,'Prior Month'!I:I,"")</f>
        <v>2.1024242836963195E-2</v>
      </c>
      <c r="G788" s="18">
        <f>_xlfn.XLOOKUP(A788,'Year end 2024'!A:A,'Year end 2024'!I:I,"")</f>
        <v>1.7506855100103778E-2</v>
      </c>
      <c r="H788" s="19">
        <f>_xlfn.XLOOKUP(A788,'Current Month'!A:A,'Current Month'!E:E,0,0)</f>
        <v>47373.61</v>
      </c>
      <c r="I788" s="32">
        <f>_xlfn.XLOOKUP(A788,'Prior Month'!A:A,'Prior Month'!E:E,0,0)</f>
        <v>50743.01</v>
      </c>
      <c r="J788" s="32">
        <f>_xlfn.XLOOKUP(A788,'Year end 2024'!A:A,'Year end 2024'!E:E,0,0)</f>
        <v>47328.6</v>
      </c>
      <c r="K788" s="14">
        <f t="shared" si="24"/>
        <v>-3369.4000000000015</v>
      </c>
      <c r="L788" s="14">
        <f t="shared" si="25"/>
        <v>45.010000000002037</v>
      </c>
    </row>
    <row r="789" spans="1:12" ht="35.15" customHeight="1" x14ac:dyDescent="0.4">
      <c r="A789" s="11" t="s">
        <v>1623</v>
      </c>
      <c r="B789" s="11" t="s">
        <v>1624</v>
      </c>
      <c r="C789" s="11" t="s">
        <v>259</v>
      </c>
      <c r="D789" s="11" t="s">
        <v>258</v>
      </c>
      <c r="E789" s="18">
        <f>_xlfn.XLOOKUP(A789,'Current Month'!A:A,'Current Month'!I:I,"")</f>
        <v>0</v>
      </c>
      <c r="F789" s="21">
        <f>_xlfn.XLOOKUP(A789,'Prior Month'!A:A,'Prior Month'!I:I,"")</f>
        <v>0</v>
      </c>
      <c r="G789" s="18">
        <f>_xlfn.XLOOKUP(A789,'Year end 2024'!A:A,'Year end 2024'!I:I,"")</f>
        <v>3.2668542502908508E-2</v>
      </c>
      <c r="H789" s="19">
        <f>_xlfn.XLOOKUP(A789,'Current Month'!A:A,'Current Month'!E:E,0,0)</f>
        <v>0</v>
      </c>
      <c r="I789" s="32">
        <f>_xlfn.XLOOKUP(A789,'Prior Month'!A:A,'Prior Month'!E:E,0,0)</f>
        <v>0</v>
      </c>
      <c r="J789" s="32">
        <f>_xlfn.XLOOKUP(A789,'Year end 2024'!A:A,'Year end 2024'!E:E,0,0)</f>
        <v>152595.73000000001</v>
      </c>
      <c r="K789" s="14">
        <f t="shared" si="24"/>
        <v>0</v>
      </c>
      <c r="L789" s="14">
        <f t="shared" si="25"/>
        <v>-152595.73000000001</v>
      </c>
    </row>
    <row r="790" spans="1:12" ht="35.15" customHeight="1" x14ac:dyDescent="0.4">
      <c r="A790" s="11" t="s">
        <v>1625</v>
      </c>
      <c r="B790" s="11" t="s">
        <v>1626</v>
      </c>
      <c r="C790" s="11" t="s">
        <v>457</v>
      </c>
      <c r="D790" s="11" t="s">
        <v>456</v>
      </c>
      <c r="E790" s="18">
        <f>_xlfn.XLOOKUP(A790,'Current Month'!A:A,'Current Month'!I:I,"")</f>
        <v>3.6236579058214209E-4</v>
      </c>
      <c r="F790" s="21">
        <f>_xlfn.XLOOKUP(A790,'Prior Month'!A:A,'Prior Month'!I:I,"")</f>
        <v>3.7962240098641083E-4</v>
      </c>
      <c r="G790" s="18">
        <f>_xlfn.XLOOKUP(A790,'Year end 2024'!A:A,'Year end 2024'!I:I,"")</f>
        <v>5.540109975171886E-4</v>
      </c>
      <c r="H790" s="19">
        <f>_xlfn.XLOOKUP(A790,'Current Month'!A:A,'Current Month'!E:E,0,0)</f>
        <v>75</v>
      </c>
      <c r="I790" s="32">
        <f>_xlfn.XLOOKUP(A790,'Prior Month'!A:A,'Prior Month'!E:E,0,0)</f>
        <v>80</v>
      </c>
      <c r="J790" s="32">
        <f>_xlfn.XLOOKUP(A790,'Year end 2024'!A:A,'Year end 2024'!E:E,0,0)</f>
        <v>125</v>
      </c>
      <c r="K790" s="14">
        <f t="shared" si="24"/>
        <v>-5</v>
      </c>
      <c r="L790" s="14">
        <f t="shared" si="25"/>
        <v>-50</v>
      </c>
    </row>
    <row r="791" spans="1:12" ht="35.15" customHeight="1" x14ac:dyDescent="0.4">
      <c r="A791" s="11" t="s">
        <v>404</v>
      </c>
      <c r="B791" s="11" t="s">
        <v>1627</v>
      </c>
      <c r="C791" s="11" t="s">
        <v>465</v>
      </c>
      <c r="D791" s="11" t="s">
        <v>464</v>
      </c>
      <c r="E791" s="18">
        <f>_xlfn.XLOOKUP(A791,'Current Month'!A:A,'Current Month'!I:I,"")</f>
        <v>8.2536436393157803E-2</v>
      </c>
      <c r="F791" s="21">
        <f>_xlfn.XLOOKUP(A791,'Prior Month'!A:A,'Prior Month'!I:I,"")</f>
        <v>8.9744577198590511E-2</v>
      </c>
      <c r="G791" s="18">
        <f>_xlfn.XLOOKUP(A791,'Year end 2024'!A:A,'Year end 2024'!I:I,"")</f>
        <v>0.12682422114553454</v>
      </c>
      <c r="H791" s="19">
        <f>_xlfn.XLOOKUP(A791,'Current Month'!A:A,'Current Month'!E:E,0,0)</f>
        <v>96013.32</v>
      </c>
      <c r="I791" s="32">
        <f>_xlfn.XLOOKUP(A791,'Prior Month'!A:A,'Prior Month'!E:E,0,0)</f>
        <v>106276.87</v>
      </c>
      <c r="J791" s="32">
        <f>_xlfn.XLOOKUP(A791,'Year end 2024'!A:A,'Year end 2024'!E:E,0,0)</f>
        <v>167579.82</v>
      </c>
      <c r="K791" s="14">
        <f t="shared" si="24"/>
        <v>-10263.549999999988</v>
      </c>
      <c r="L791" s="14">
        <f t="shared" si="25"/>
        <v>-71566.5</v>
      </c>
    </row>
    <row r="792" spans="1:12" ht="35.15" customHeight="1" x14ac:dyDescent="0.4">
      <c r="A792" s="11" t="s">
        <v>599</v>
      </c>
      <c r="B792" s="11" t="s">
        <v>1628</v>
      </c>
      <c r="C792" s="11" t="s">
        <v>29</v>
      </c>
      <c r="D792" s="11" t="s">
        <v>28</v>
      </c>
      <c r="E792" s="18">
        <f>_xlfn.XLOOKUP(A792,'Current Month'!A:A,'Current Month'!I:I,"")</f>
        <v>1.346199331879824E-2</v>
      </c>
      <c r="F792" s="21">
        <f>_xlfn.XLOOKUP(A792,'Prior Month'!A:A,'Prior Month'!I:I,"")</f>
        <v>1.3263342709414315E-2</v>
      </c>
      <c r="G792" s="18">
        <f>_xlfn.XLOOKUP(A792,'Year end 2024'!A:A,'Year end 2024'!I:I,"")</f>
        <v>1.1829823468065732E-2</v>
      </c>
      <c r="H792" s="19">
        <f>_xlfn.XLOOKUP(A792,'Current Month'!A:A,'Current Month'!E:E,0,0)</f>
        <v>1860</v>
      </c>
      <c r="I792" s="32">
        <f>_xlfn.XLOOKUP(A792,'Prior Month'!A:A,'Prior Month'!E:E,0,0)</f>
        <v>1865</v>
      </c>
      <c r="J792" s="32">
        <f>_xlfn.XLOOKUP(A792,'Year end 2024'!A:A,'Year end 2024'!E:E,0,0)</f>
        <v>1910</v>
      </c>
      <c r="K792" s="14">
        <f t="shared" si="24"/>
        <v>-5</v>
      </c>
      <c r="L792" s="14">
        <f t="shared" si="25"/>
        <v>-50</v>
      </c>
    </row>
    <row r="793" spans="1:12" ht="35.15" customHeight="1" x14ac:dyDescent="0.4">
      <c r="A793" s="11" t="s">
        <v>1629</v>
      </c>
      <c r="B793" s="11" t="s">
        <v>1630</v>
      </c>
      <c r="C793" s="11" t="s">
        <v>259</v>
      </c>
      <c r="D793" s="11" t="s">
        <v>258</v>
      </c>
      <c r="E793" s="18">
        <f>_xlfn.XLOOKUP(A793,'Current Month'!A:A,'Current Month'!I:I,"")</f>
        <v>0.33406578077925525</v>
      </c>
      <c r="F793" s="21">
        <f>_xlfn.XLOOKUP(A793,'Prior Month'!A:A,'Prior Month'!I:I,"")</f>
        <v>0.45666422072165513</v>
      </c>
      <c r="G793" s="18">
        <f>_xlfn.XLOOKUP(A793,'Year end 2024'!A:A,'Year end 2024'!I:I,"")</f>
        <v>0.33356562152050956</v>
      </c>
      <c r="H793" s="19">
        <f>_xlfn.XLOOKUP(A793,'Current Month'!A:A,'Current Month'!E:E,0,0)</f>
        <v>527451.31999999995</v>
      </c>
      <c r="I793" s="32">
        <f>_xlfn.XLOOKUP(A793,'Prior Month'!A:A,'Prior Month'!E:E,0,0)</f>
        <v>726111.19</v>
      </c>
      <c r="J793" s="32">
        <f>_xlfn.XLOOKUP(A793,'Year end 2024'!A:A,'Year end 2024'!E:E,0,0)</f>
        <v>563007.37</v>
      </c>
      <c r="K793" s="14">
        <f t="shared" si="24"/>
        <v>-198659.87</v>
      </c>
      <c r="L793" s="14">
        <f t="shared" si="25"/>
        <v>-35556.050000000047</v>
      </c>
    </row>
    <row r="794" spans="1:12" ht="35.15" customHeight="1" x14ac:dyDescent="0.4">
      <c r="A794" s="11" t="s">
        <v>1631</v>
      </c>
      <c r="B794" s="11" t="s">
        <v>1632</v>
      </c>
      <c r="C794" s="11" t="s">
        <v>41</v>
      </c>
      <c r="D794" s="11" t="s">
        <v>40</v>
      </c>
      <c r="E794" s="18">
        <f>_xlfn.XLOOKUP(A794,'Current Month'!A:A,'Current Month'!I:I,"")</f>
        <v>1.0824234285714287</v>
      </c>
      <c r="F794" s="21">
        <f>_xlfn.XLOOKUP(A794,'Prior Month'!A:A,'Prior Month'!I:I,"")</f>
        <v>0.71934111428571434</v>
      </c>
      <c r="G794" s="18">
        <f>_xlfn.XLOOKUP(A794,'Year end 2024'!A:A,'Year end 2024'!I:I,"")</f>
        <v>0.92805108571428574</v>
      </c>
      <c r="H794" s="19">
        <f>_xlfn.XLOOKUP(A794,'Current Month'!A:A,'Current Month'!E:E,0,0)</f>
        <v>378848.2</v>
      </c>
      <c r="I794" s="32">
        <f>_xlfn.XLOOKUP(A794,'Prior Month'!A:A,'Prior Month'!E:E,0,0)</f>
        <v>251769.39</v>
      </c>
      <c r="J794" s="32">
        <f>_xlfn.XLOOKUP(A794,'Year end 2024'!A:A,'Year end 2024'!E:E,0,0)</f>
        <v>324817.88</v>
      </c>
      <c r="K794" s="14">
        <f t="shared" si="24"/>
        <v>127078.81</v>
      </c>
      <c r="L794" s="14">
        <f t="shared" si="25"/>
        <v>54030.320000000007</v>
      </c>
    </row>
    <row r="795" spans="1:12" ht="35.15" customHeight="1" x14ac:dyDescent="0.4">
      <c r="A795" s="11" t="s">
        <v>1633</v>
      </c>
      <c r="B795" s="11" t="s">
        <v>1634</v>
      </c>
      <c r="C795" s="11" t="s">
        <v>457</v>
      </c>
      <c r="D795" s="11" t="s">
        <v>456</v>
      </c>
      <c r="E795" s="18">
        <f>_xlfn.XLOOKUP(A795,'Current Month'!A:A,'Current Month'!I:I,"")</f>
        <v>0.14630091089952471</v>
      </c>
      <c r="F795" s="21">
        <f>_xlfn.XLOOKUP(A795,'Prior Month'!A:A,'Prior Month'!I:I,"")</f>
        <v>0.14610590602578091</v>
      </c>
      <c r="G795" s="18">
        <f>_xlfn.XLOOKUP(A795,'Year end 2024'!A:A,'Year end 2024'!I:I,"")</f>
        <v>0.19269000552135684</v>
      </c>
      <c r="H795" s="19">
        <f>_xlfn.XLOOKUP(A795,'Current Month'!A:A,'Current Month'!E:E,0,0)</f>
        <v>301134.78000000003</v>
      </c>
      <c r="I795" s="32">
        <f>_xlfn.XLOOKUP(A795,'Prior Month'!A:A,'Prior Month'!E:E,0,0)</f>
        <v>301139.78000000003</v>
      </c>
      <c r="J795" s="32">
        <f>_xlfn.XLOOKUP(A795,'Year end 2024'!A:A,'Year end 2024'!E:E,0,0)</f>
        <v>400961.95</v>
      </c>
      <c r="K795" s="14">
        <f t="shared" si="24"/>
        <v>-5</v>
      </c>
      <c r="L795" s="14">
        <f t="shared" si="25"/>
        <v>-99827.169999999984</v>
      </c>
    </row>
    <row r="796" spans="1:12" ht="35.15" customHeight="1" x14ac:dyDescent="0.4">
      <c r="A796" s="11" t="s">
        <v>1635</v>
      </c>
      <c r="B796" s="11" t="s">
        <v>1636</v>
      </c>
      <c r="C796" s="11" t="s">
        <v>213</v>
      </c>
      <c r="D796" s="11" t="s">
        <v>212</v>
      </c>
      <c r="E796" s="18">
        <f>_xlfn.XLOOKUP(A796,'Current Month'!A:A,'Current Month'!I:I,"")</f>
        <v>1.0339291711300019E-2</v>
      </c>
      <c r="F796" s="21">
        <f>_xlfn.XLOOKUP(A796,'Prior Month'!A:A,'Prior Month'!I:I,"")</f>
        <v>7.395250958658766E-3</v>
      </c>
      <c r="G796" s="18">
        <f>_xlfn.XLOOKUP(A796,'Year end 2024'!A:A,'Year end 2024'!I:I,"")</f>
        <v>1.0908476890789817E-2</v>
      </c>
      <c r="H796" s="19">
        <f>_xlfn.XLOOKUP(A796,'Current Month'!A:A,'Current Month'!E:E,0,0)</f>
        <v>1850.3</v>
      </c>
      <c r="I796" s="32">
        <f>_xlfn.XLOOKUP(A796,'Prior Month'!A:A,'Prior Month'!E:E,0,0)</f>
        <v>1358.31</v>
      </c>
      <c r="J796" s="32">
        <f>_xlfn.XLOOKUP(A796,'Year end 2024'!A:A,'Year end 2024'!E:E,0,0)</f>
        <v>2222.33</v>
      </c>
      <c r="K796" s="14">
        <f t="shared" si="24"/>
        <v>491.99</v>
      </c>
      <c r="L796" s="14">
        <f t="shared" si="25"/>
        <v>-372.03</v>
      </c>
    </row>
    <row r="797" spans="1:12" ht="35.15" customHeight="1" x14ac:dyDescent="0.4">
      <c r="A797" s="11" t="s">
        <v>1637</v>
      </c>
      <c r="B797" s="11" t="s">
        <v>1638</v>
      </c>
      <c r="C797" s="11" t="s">
        <v>67</v>
      </c>
      <c r="D797" s="11" t="s">
        <v>66</v>
      </c>
      <c r="E797" s="18">
        <f>_xlfn.XLOOKUP(A797,'Current Month'!A:A,'Current Month'!I:I,"")</f>
        <v>0.35590657142857146</v>
      </c>
      <c r="F797" s="21">
        <f>_xlfn.XLOOKUP(A797,'Prior Month'!A:A,'Prior Month'!I:I,"")</f>
        <v>0.29803400000000002</v>
      </c>
      <c r="G797" s="18" t="str">
        <f>_xlfn.XLOOKUP(A797,'Year end 2024'!A:A,'Year end 2024'!I:I,"")</f>
        <v/>
      </c>
      <c r="H797" s="19">
        <f>_xlfn.XLOOKUP(A797,'Current Month'!A:A,'Current Month'!E:E,0,0)</f>
        <v>186850.95</v>
      </c>
      <c r="I797" s="32">
        <f>_xlfn.XLOOKUP(A797,'Prior Month'!A:A,'Prior Month'!E:E,0,0)</f>
        <v>156467.85</v>
      </c>
      <c r="J797" s="32">
        <f>_xlfn.XLOOKUP(A797,'Year end 2024'!A:A,'Year end 2024'!E:E,0,0)</f>
        <v>630567.6</v>
      </c>
      <c r="K797" s="14">
        <f t="shared" si="24"/>
        <v>30383.100000000006</v>
      </c>
      <c r="L797" s="14">
        <f t="shared" si="25"/>
        <v>-443716.64999999997</v>
      </c>
    </row>
    <row r="798" spans="1:12" ht="35.15" customHeight="1" x14ac:dyDescent="0.4">
      <c r="A798" s="11" t="s">
        <v>1639</v>
      </c>
      <c r="B798" s="11" t="s">
        <v>1640</v>
      </c>
      <c r="C798" s="11" t="s">
        <v>101</v>
      </c>
      <c r="D798" s="11" t="s">
        <v>100</v>
      </c>
      <c r="E798" s="18">
        <f>_xlfn.XLOOKUP(A798,'Current Month'!A:A,'Current Month'!I:I,"")</f>
        <v>6.0030518646769837E-2</v>
      </c>
      <c r="F798" s="21">
        <f>_xlfn.XLOOKUP(A798,'Prior Month'!A:A,'Prior Month'!I:I,"")</f>
        <v>6.1053605260472509E-2</v>
      </c>
      <c r="G798" s="18">
        <f>_xlfn.XLOOKUP(A798,'Year end 2024'!A:A,'Year end 2024'!I:I,"")</f>
        <v>6.3489974286470921E-2</v>
      </c>
      <c r="H798" s="19">
        <f>_xlfn.XLOOKUP(A798,'Current Month'!A:A,'Current Month'!E:E,0,0)</f>
        <v>91301.97</v>
      </c>
      <c r="I798" s="32">
        <f>_xlfn.XLOOKUP(A798,'Prior Month'!A:A,'Prior Month'!E:E,0,0)</f>
        <v>93514.58</v>
      </c>
      <c r="J798" s="32">
        <f>_xlfn.XLOOKUP(A798,'Year end 2024'!A:A,'Year end 2024'!E:E,0,0)</f>
        <v>91959.679999999993</v>
      </c>
      <c r="K798" s="14">
        <f t="shared" si="24"/>
        <v>-2212.6100000000006</v>
      </c>
      <c r="L798" s="14">
        <f t="shared" si="25"/>
        <v>-657.70999999999185</v>
      </c>
    </row>
    <row r="799" spans="1:12" ht="35.15" customHeight="1" x14ac:dyDescent="0.4">
      <c r="A799" s="11" t="s">
        <v>1641</v>
      </c>
      <c r="B799" s="11" t="s">
        <v>1642</v>
      </c>
      <c r="C799" s="11" t="s">
        <v>487</v>
      </c>
      <c r="D799" s="11" t="s">
        <v>486</v>
      </c>
      <c r="E799" s="18">
        <f>_xlfn.XLOOKUP(A799,'Current Month'!A:A,'Current Month'!I:I,"")</f>
        <v>0.14275345368935755</v>
      </c>
      <c r="F799" s="21">
        <f>_xlfn.XLOOKUP(A799,'Prior Month'!A:A,'Prior Month'!I:I,"")</f>
        <v>9.7203412912410594E-2</v>
      </c>
      <c r="G799" s="18">
        <f>_xlfn.XLOOKUP(A799,'Year end 2024'!A:A,'Year end 2024'!I:I,"")</f>
        <v>0.10866921866666666</v>
      </c>
      <c r="H799" s="19">
        <f>_xlfn.XLOOKUP(A799,'Current Month'!A:A,'Current Month'!E:E,0,0)</f>
        <v>1070379.23</v>
      </c>
      <c r="I799" s="32">
        <f>_xlfn.XLOOKUP(A799,'Prior Month'!A:A,'Prior Month'!E:E,0,0)</f>
        <v>728840.61</v>
      </c>
      <c r="J799" s="32">
        <f>_xlfn.XLOOKUP(A799,'Year end 2024'!A:A,'Year end 2024'!E:E,0,0)</f>
        <v>815019.14</v>
      </c>
      <c r="K799" s="14">
        <f t="shared" si="24"/>
        <v>341538.62</v>
      </c>
      <c r="L799" s="14">
        <f t="shared" si="25"/>
        <v>255360.08999999997</v>
      </c>
    </row>
    <row r="800" spans="1:12" ht="35.15" customHeight="1" x14ac:dyDescent="0.4">
      <c r="A800" s="11" t="s">
        <v>1643</v>
      </c>
      <c r="B800" s="11" t="s">
        <v>1644</v>
      </c>
      <c r="C800" s="11" t="s">
        <v>15</v>
      </c>
      <c r="D800" s="11" t="s">
        <v>14</v>
      </c>
      <c r="E800" s="18">
        <f>_xlfn.XLOOKUP(A800,'Current Month'!A:A,'Current Month'!I:I,"")</f>
        <v>1.8751042493966075E-2</v>
      </c>
      <c r="F800" s="21">
        <f>_xlfn.XLOOKUP(A800,'Prior Month'!A:A,'Prior Month'!I:I,"")</f>
        <v>1.7948266238224268E-2</v>
      </c>
      <c r="G800" s="18">
        <f>_xlfn.XLOOKUP(A800,'Year end 2024'!A:A,'Year end 2024'!I:I,"")</f>
        <v>2.1192616101287677E-2</v>
      </c>
      <c r="H800" s="19">
        <f>_xlfn.XLOOKUP(A800,'Current Month'!A:A,'Current Month'!E:E,0,0)</f>
        <v>67373.740000000005</v>
      </c>
      <c r="I800" s="32">
        <f>_xlfn.XLOOKUP(A800,'Prior Month'!A:A,'Prior Month'!E:E,0,0)</f>
        <v>64581</v>
      </c>
      <c r="J800" s="32">
        <f>_xlfn.XLOOKUP(A800,'Year end 2024'!A:A,'Year end 2024'!E:E,0,0)</f>
        <v>77142.64</v>
      </c>
      <c r="K800" s="14">
        <f t="shared" si="24"/>
        <v>2792.7400000000052</v>
      </c>
      <c r="L800" s="14">
        <f t="shared" si="25"/>
        <v>-9768.8999999999942</v>
      </c>
    </row>
    <row r="801" spans="1:12" ht="35.15" customHeight="1" x14ac:dyDescent="0.4">
      <c r="A801" s="11" t="s">
        <v>1645</v>
      </c>
      <c r="B801" s="11" t="s">
        <v>1646</v>
      </c>
      <c r="C801" s="11" t="s">
        <v>253</v>
      </c>
      <c r="D801" s="11" t="s">
        <v>252</v>
      </c>
      <c r="E801" s="18">
        <f>_xlfn.XLOOKUP(A801,'Current Month'!A:A,'Current Month'!I:I,"")</f>
        <v>1.4283992897894856E-2</v>
      </c>
      <c r="F801" s="21">
        <f>_xlfn.XLOOKUP(A801,'Prior Month'!A:A,'Prior Month'!I:I,"")</f>
        <v>1.3969374561380159E-2</v>
      </c>
      <c r="G801" s="18">
        <f>_xlfn.XLOOKUP(A801,'Year end 2024'!A:A,'Year end 2024'!I:I,"")</f>
        <v>2.5769449856260333E-2</v>
      </c>
      <c r="H801" s="19">
        <f>_xlfn.XLOOKUP(A801,'Current Month'!A:A,'Current Month'!E:E,0,0)</f>
        <v>19173.009999999998</v>
      </c>
      <c r="I801" s="32">
        <f>_xlfn.XLOOKUP(A801,'Prior Month'!A:A,'Prior Month'!E:E,0,0)</f>
        <v>18793.189999999999</v>
      </c>
      <c r="J801" s="32">
        <f>_xlfn.XLOOKUP(A801,'Year end 2024'!A:A,'Year end 2024'!E:E,0,0)</f>
        <v>35374.81</v>
      </c>
      <c r="K801" s="14">
        <f t="shared" si="24"/>
        <v>379.81999999999971</v>
      </c>
      <c r="L801" s="14">
        <f t="shared" si="25"/>
        <v>-16201.8</v>
      </c>
    </row>
    <row r="802" spans="1:12" ht="35.15" customHeight="1" x14ac:dyDescent="0.4">
      <c r="A802" s="11" t="s">
        <v>1647</v>
      </c>
      <c r="B802" s="11" t="s">
        <v>1648</v>
      </c>
      <c r="C802" s="11" t="s">
        <v>259</v>
      </c>
      <c r="D802" s="11" t="s">
        <v>258</v>
      </c>
      <c r="E802" s="18">
        <f>_xlfn.XLOOKUP(A802,'Current Month'!A:A,'Current Month'!I:I,"")</f>
        <v>0.52042453881626327</v>
      </c>
      <c r="F802" s="21">
        <f>_xlfn.XLOOKUP(A802,'Prior Month'!A:A,'Prior Month'!I:I,"")</f>
        <v>0.53958012656915344</v>
      </c>
      <c r="G802" s="18">
        <f>_xlfn.XLOOKUP(A802,'Year end 2024'!A:A,'Year end 2024'!I:I,"")</f>
        <v>0.20919447193955087</v>
      </c>
      <c r="H802" s="19">
        <f>_xlfn.XLOOKUP(A802,'Current Month'!A:A,'Current Month'!E:E,0,0)</f>
        <v>282736.92</v>
      </c>
      <c r="I802" s="32">
        <f>_xlfn.XLOOKUP(A802,'Prior Month'!A:A,'Prior Month'!E:E,0,0)</f>
        <v>295010.81</v>
      </c>
      <c r="J802" s="32">
        <f>_xlfn.XLOOKUP(A802,'Year end 2024'!A:A,'Year end 2024'!E:E,0,0)</f>
        <v>212370.18</v>
      </c>
      <c r="K802" s="14">
        <f t="shared" si="24"/>
        <v>-12273.890000000014</v>
      </c>
      <c r="L802" s="14">
        <f t="shared" si="25"/>
        <v>70366.739999999991</v>
      </c>
    </row>
    <row r="803" spans="1:12" ht="35.15" customHeight="1" x14ac:dyDescent="0.4">
      <c r="A803" s="11" t="s">
        <v>1649</v>
      </c>
      <c r="B803" s="11" t="s">
        <v>1650</v>
      </c>
      <c r="C803" s="11" t="s">
        <v>457</v>
      </c>
      <c r="D803" s="11" t="s">
        <v>456</v>
      </c>
      <c r="E803" s="18">
        <f>_xlfn.XLOOKUP(A803,'Current Month'!A:A,'Current Month'!I:I,"")</f>
        <v>5.4663720774510262E-3</v>
      </c>
      <c r="F803" s="21">
        <f>_xlfn.XLOOKUP(A803,'Prior Month'!A:A,'Prior Month'!I:I,"")</f>
        <v>0.19521464634029237</v>
      </c>
      <c r="G803" s="18">
        <f>_xlfn.XLOOKUP(A803,'Year end 2024'!A:A,'Year end 2024'!I:I,"")</f>
        <v>7.8067233150461938E-3</v>
      </c>
      <c r="H803" s="19">
        <f>_xlfn.XLOOKUP(A803,'Current Month'!A:A,'Current Month'!E:E,0,0)</f>
        <v>702.23</v>
      </c>
      <c r="I803" s="32">
        <f>_xlfn.XLOOKUP(A803,'Prior Month'!A:A,'Prior Month'!E:E,0,0)</f>
        <v>25370.97</v>
      </c>
      <c r="J803" s="32">
        <f>_xlfn.XLOOKUP(A803,'Year end 2024'!A:A,'Year end 2024'!E:E,0,0)</f>
        <v>3143</v>
      </c>
      <c r="K803" s="14">
        <f t="shared" si="24"/>
        <v>-24668.74</v>
      </c>
      <c r="L803" s="14">
        <f t="shared" si="25"/>
        <v>-2440.77</v>
      </c>
    </row>
    <row r="804" spans="1:12" ht="35.15" customHeight="1" x14ac:dyDescent="0.4">
      <c r="A804" s="11" t="s">
        <v>1651</v>
      </c>
      <c r="B804" s="11" t="s">
        <v>1652</v>
      </c>
      <c r="C804" s="11" t="s">
        <v>73</v>
      </c>
      <c r="D804" s="11" t="s">
        <v>72</v>
      </c>
      <c r="E804" s="18" t="str">
        <f>_xlfn.XLOOKUP(A804,'Current Month'!A:A,'Current Month'!I:I,"")</f>
        <v/>
      </c>
      <c r="F804" s="21" t="str">
        <f>_xlfn.XLOOKUP(A804,'Prior Month'!A:A,'Prior Month'!I:I,"")</f>
        <v/>
      </c>
      <c r="G804" s="18" t="str">
        <f>_xlfn.XLOOKUP(A804,'Year end 2024'!A:A,'Year end 2024'!I:I,"")</f>
        <v/>
      </c>
      <c r="H804" s="19">
        <f>_xlfn.XLOOKUP(A804,'Current Month'!A:A,'Current Month'!E:E,0,0)</f>
        <v>3424.53</v>
      </c>
      <c r="I804" s="32">
        <f>_xlfn.XLOOKUP(A804,'Prior Month'!A:A,'Prior Month'!E:E,0,0)</f>
        <v>8270.86</v>
      </c>
      <c r="J804" s="32">
        <f>_xlfn.XLOOKUP(A804,'Year end 2024'!A:A,'Year end 2024'!E:E,0,0)</f>
        <v>5684.31</v>
      </c>
      <c r="K804" s="14">
        <f t="shared" si="24"/>
        <v>-4846.33</v>
      </c>
      <c r="L804" s="14">
        <f t="shared" si="25"/>
        <v>-2259.7800000000002</v>
      </c>
    </row>
    <row r="805" spans="1:12" ht="35.15" customHeight="1" x14ac:dyDescent="0.4">
      <c r="A805" s="11" t="s">
        <v>1653</v>
      </c>
      <c r="B805" s="11" t="s">
        <v>1654</v>
      </c>
      <c r="C805" s="11" t="s">
        <v>487</v>
      </c>
      <c r="D805" s="11" t="s">
        <v>486</v>
      </c>
      <c r="E805" s="18">
        <f>_xlfn.XLOOKUP(A805,'Current Month'!A:A,'Current Month'!I:I,"")</f>
        <v>4.8891811995062012E-2</v>
      </c>
      <c r="F805" s="21">
        <f>_xlfn.XLOOKUP(A805,'Prior Month'!A:A,'Prior Month'!I:I,"")</f>
        <v>5.6095352461795867E-2</v>
      </c>
      <c r="G805" s="18">
        <f>_xlfn.XLOOKUP(A805,'Year end 2024'!A:A,'Year end 2024'!I:I,"")</f>
        <v>1.1757305107959502E-2</v>
      </c>
      <c r="H805" s="19">
        <f>_xlfn.XLOOKUP(A805,'Current Month'!A:A,'Current Month'!E:E,0,0)</f>
        <v>35656.07</v>
      </c>
      <c r="I805" s="32">
        <f>_xlfn.XLOOKUP(A805,'Prior Month'!A:A,'Prior Month'!E:E,0,0)</f>
        <v>41285.49</v>
      </c>
      <c r="J805" s="32">
        <f>_xlfn.XLOOKUP(A805,'Year end 2024'!A:A,'Year end 2024'!E:E,0,0)</f>
        <v>9280.01</v>
      </c>
      <c r="K805" s="14">
        <f t="shared" si="24"/>
        <v>-5629.4199999999983</v>
      </c>
      <c r="L805" s="14">
        <f t="shared" si="25"/>
        <v>26376.059999999998</v>
      </c>
    </row>
    <row r="806" spans="1:12" ht="35.15" customHeight="1" x14ac:dyDescent="0.4">
      <c r="A806" s="11" t="s">
        <v>1655</v>
      </c>
      <c r="B806" s="11" t="s">
        <v>1656</v>
      </c>
      <c r="C806" s="11" t="s">
        <v>259</v>
      </c>
      <c r="D806" s="11" t="s">
        <v>258</v>
      </c>
      <c r="E806" s="18">
        <f>_xlfn.XLOOKUP(A806,'Current Month'!A:A,'Current Month'!I:I,"")</f>
        <v>0.15248632732695344</v>
      </c>
      <c r="F806" s="21">
        <f>_xlfn.XLOOKUP(A806,'Prior Month'!A:A,'Prior Month'!I:I,"")</f>
        <v>0.1456131968311255</v>
      </c>
      <c r="G806" s="18">
        <f>_xlfn.XLOOKUP(A806,'Year end 2024'!A:A,'Year end 2024'!I:I,"")</f>
        <v>9.005469796076751E-2</v>
      </c>
      <c r="H806" s="19">
        <f>_xlfn.XLOOKUP(A806,'Current Month'!A:A,'Current Month'!E:E,0,0)</f>
        <v>92846.52</v>
      </c>
      <c r="I806" s="32">
        <f>_xlfn.XLOOKUP(A806,'Prior Month'!A:A,'Prior Month'!E:E,0,0)</f>
        <v>90612.4</v>
      </c>
      <c r="J806" s="32">
        <f>_xlfn.XLOOKUP(A806,'Year end 2024'!A:A,'Year end 2024'!E:E,0,0)</f>
        <v>66353.03</v>
      </c>
      <c r="K806" s="14">
        <f t="shared" si="24"/>
        <v>2234.1200000000099</v>
      </c>
      <c r="L806" s="14">
        <f t="shared" si="25"/>
        <v>26493.490000000005</v>
      </c>
    </row>
    <row r="807" spans="1:12" ht="35.15" customHeight="1" x14ac:dyDescent="0.4">
      <c r="A807" s="11" t="s">
        <v>1657</v>
      </c>
      <c r="B807" s="11" t="s">
        <v>1658</v>
      </c>
      <c r="C807" s="11" t="s">
        <v>213</v>
      </c>
      <c r="D807" s="11" t="s">
        <v>212</v>
      </c>
      <c r="E807" s="18">
        <f>_xlfn.XLOOKUP(A807,'Current Month'!A:A,'Current Month'!I:I,"")</f>
        <v>2.6582999999999997E-3</v>
      </c>
      <c r="F807" s="21">
        <f>_xlfn.XLOOKUP(A807,'Prior Month'!A:A,'Prior Month'!I:I,"")</f>
        <v>2.2315E-3</v>
      </c>
      <c r="G807" s="18">
        <f>_xlfn.XLOOKUP(A807,'Year end 2024'!A:A,'Year end 2024'!I:I,"")</f>
        <v>9.5633599999999999E-2</v>
      </c>
      <c r="H807" s="19">
        <f>_xlfn.XLOOKUP(A807,'Current Month'!A:A,'Current Month'!E:E,0,0)</f>
        <v>265.83</v>
      </c>
      <c r="I807" s="32">
        <f>_xlfn.XLOOKUP(A807,'Prior Month'!A:A,'Prior Month'!E:E,0,0)</f>
        <v>223.15</v>
      </c>
      <c r="J807" s="32">
        <f>_xlfn.XLOOKUP(A807,'Year end 2024'!A:A,'Year end 2024'!E:E,0,0)</f>
        <v>9563.36</v>
      </c>
      <c r="K807" s="14">
        <f t="shared" si="24"/>
        <v>42.679999999999978</v>
      </c>
      <c r="L807" s="14">
        <f t="shared" si="25"/>
        <v>-9297.5300000000007</v>
      </c>
    </row>
    <row r="808" spans="1:12" ht="35.15" customHeight="1" x14ac:dyDescent="0.4">
      <c r="A808" s="11" t="s">
        <v>1659</v>
      </c>
      <c r="B808" s="11" t="s">
        <v>1660</v>
      </c>
      <c r="C808" s="11" t="s">
        <v>29</v>
      </c>
      <c r="D808" s="11" t="s">
        <v>28</v>
      </c>
      <c r="E808" s="18">
        <f>_xlfn.XLOOKUP(A808,'Current Month'!A:A,'Current Month'!I:I,"")</f>
        <v>1.00424E-2</v>
      </c>
      <c r="F808" s="21">
        <f>_xlfn.XLOOKUP(A808,'Prior Month'!A:A,'Prior Month'!I:I,"")</f>
        <v>6.5484000000000002E-3</v>
      </c>
      <c r="G808" s="18">
        <f>_xlfn.XLOOKUP(A808,'Year end 2024'!A:A,'Year end 2024'!I:I,"")</f>
        <v>9.589961470189803E-3</v>
      </c>
      <c r="H808" s="19">
        <f>_xlfn.XLOOKUP(A808,'Current Month'!A:A,'Current Month'!E:E,0,0)</f>
        <v>1004.24</v>
      </c>
      <c r="I808" s="32">
        <f>_xlfn.XLOOKUP(A808,'Prior Month'!A:A,'Prior Month'!E:E,0,0)</f>
        <v>654.84</v>
      </c>
      <c r="J808" s="32">
        <f>_xlfn.XLOOKUP(A808,'Year end 2024'!A:A,'Year end 2024'!E:E,0,0)</f>
        <v>3711.53</v>
      </c>
      <c r="K808" s="14">
        <f t="shared" si="24"/>
        <v>349.4</v>
      </c>
      <c r="L808" s="14">
        <f t="shared" si="25"/>
        <v>-2707.29</v>
      </c>
    </row>
    <row r="809" spans="1:12" ht="35.15" customHeight="1" x14ac:dyDescent="0.4">
      <c r="A809" s="11" t="s">
        <v>1661</v>
      </c>
      <c r="B809" s="11" t="s">
        <v>1662</v>
      </c>
      <c r="C809" s="11" t="s">
        <v>19</v>
      </c>
      <c r="D809" s="11" t="s">
        <v>18</v>
      </c>
      <c r="E809" s="18" t="str">
        <f>_xlfn.XLOOKUP(A809,'Current Month'!A:A,'Current Month'!I:I,"")</f>
        <v/>
      </c>
      <c r="F809" s="21" t="str">
        <f>_xlfn.XLOOKUP(A809,'Prior Month'!A:A,'Prior Month'!I:I,"")</f>
        <v/>
      </c>
      <c r="G809" s="18" t="str">
        <f>_xlfn.XLOOKUP(A809,'Year end 2024'!A:A,'Year end 2024'!I:I,"")</f>
        <v/>
      </c>
      <c r="H809" s="19">
        <f>_xlfn.XLOOKUP(A809,'Current Month'!A:A,'Current Month'!E:E,0,0)</f>
        <v>8272.9</v>
      </c>
      <c r="I809" s="32">
        <f>_xlfn.XLOOKUP(A809,'Prior Month'!A:A,'Prior Month'!E:E,0,0)</f>
        <v>8124.06</v>
      </c>
      <c r="J809" s="32">
        <f>_xlfn.XLOOKUP(A809,'Year end 2024'!A:A,'Year end 2024'!E:E,0,0)</f>
        <v>9519.7000000000007</v>
      </c>
      <c r="K809" s="14">
        <f t="shared" si="24"/>
        <v>148.83999999999924</v>
      </c>
      <c r="L809" s="14">
        <f t="shared" si="25"/>
        <v>-1246.8000000000011</v>
      </c>
    </row>
    <row r="810" spans="1:12" ht="35.15" customHeight="1" x14ac:dyDescent="0.4">
      <c r="A810" s="11" t="s">
        <v>1663</v>
      </c>
      <c r="B810" s="11" t="s">
        <v>1664</v>
      </c>
      <c r="C810" s="11" t="s">
        <v>253</v>
      </c>
      <c r="D810" s="11" t="s">
        <v>252</v>
      </c>
      <c r="E810" s="18">
        <f>_xlfn.XLOOKUP(A810,'Current Month'!A:A,'Current Month'!I:I,"")</f>
        <v>0</v>
      </c>
      <c r="F810" s="21">
        <f>_xlfn.XLOOKUP(A810,'Prior Month'!A:A,'Prior Month'!I:I,"")</f>
        <v>0</v>
      </c>
      <c r="G810" s="18">
        <f>_xlfn.XLOOKUP(A810,'Year end 2024'!A:A,'Year end 2024'!I:I,"")</f>
        <v>0</v>
      </c>
      <c r="H810" s="19">
        <f>_xlfn.XLOOKUP(A810,'Current Month'!A:A,'Current Month'!E:E,0,0)</f>
        <v>0</v>
      </c>
      <c r="I810" s="32">
        <f>_xlfn.XLOOKUP(A810,'Prior Month'!A:A,'Prior Month'!E:E,0,0)</f>
        <v>0</v>
      </c>
      <c r="J810" s="32">
        <f>_xlfn.XLOOKUP(A810,'Year end 2024'!A:A,'Year end 2024'!E:E,0,0)</f>
        <v>0</v>
      </c>
      <c r="K810" s="14">
        <f t="shared" si="24"/>
        <v>0</v>
      </c>
      <c r="L810" s="14">
        <f t="shared" si="25"/>
        <v>0</v>
      </c>
    </row>
    <row r="811" spans="1:12" ht="35.15" customHeight="1" x14ac:dyDescent="0.4">
      <c r="A811" s="11" t="s">
        <v>1665</v>
      </c>
      <c r="B811" s="11" t="s">
        <v>1666</v>
      </c>
      <c r="C811" s="11" t="s">
        <v>385</v>
      </c>
      <c r="D811" s="11" t="s">
        <v>384</v>
      </c>
      <c r="E811" s="18">
        <f>_xlfn.XLOOKUP(A811,'Current Month'!A:A,'Current Month'!I:I,"")</f>
        <v>8.10548E-3</v>
      </c>
      <c r="F811" s="21">
        <f>_xlfn.XLOOKUP(A811,'Prior Month'!A:A,'Prior Month'!I:I,"")</f>
        <v>1.019932E-2</v>
      </c>
      <c r="G811" s="18">
        <f>_xlfn.XLOOKUP(A811,'Year end 2024'!A:A,'Year end 2024'!I:I,"")</f>
        <v>1.2225120000000001E-2</v>
      </c>
      <c r="H811" s="19">
        <f>_xlfn.XLOOKUP(A811,'Current Month'!A:A,'Current Month'!E:E,0,0)</f>
        <v>2026.37</v>
      </c>
      <c r="I811" s="32">
        <f>_xlfn.XLOOKUP(A811,'Prior Month'!A:A,'Prior Month'!E:E,0,0)</f>
        <v>2549.83</v>
      </c>
      <c r="J811" s="32">
        <f>_xlfn.XLOOKUP(A811,'Year end 2024'!A:A,'Year end 2024'!E:E,0,0)</f>
        <v>3056.28</v>
      </c>
      <c r="K811" s="14">
        <f t="shared" si="24"/>
        <v>-523.46</v>
      </c>
      <c r="L811" s="14">
        <f t="shared" si="25"/>
        <v>-1029.9100000000003</v>
      </c>
    </row>
    <row r="812" spans="1:12" ht="35.15" customHeight="1" x14ac:dyDescent="0.4">
      <c r="A812" s="11" t="s">
        <v>1667</v>
      </c>
      <c r="B812" s="11" t="s">
        <v>1668</v>
      </c>
      <c r="C812" s="11" t="s">
        <v>33</v>
      </c>
      <c r="D812" s="11" t="s">
        <v>32</v>
      </c>
      <c r="E812" s="18">
        <f>_xlfn.XLOOKUP(A812,'Current Month'!A:A,'Current Month'!I:I,"")</f>
        <v>2.40111644</v>
      </c>
      <c r="F812" s="21">
        <f>_xlfn.XLOOKUP(A812,'Prior Month'!A:A,'Prior Month'!I:I,"")</f>
        <v>1.9687752000000001</v>
      </c>
      <c r="G812" s="18">
        <f>_xlfn.XLOOKUP(A812,'Year end 2024'!A:A,'Year end 2024'!I:I,"")</f>
        <v>1.1123256399999999</v>
      </c>
      <c r="H812" s="19">
        <f>_xlfn.XLOOKUP(A812,'Current Month'!A:A,'Current Month'!E:E,0,0)</f>
        <v>600279.11</v>
      </c>
      <c r="I812" s="32">
        <f>_xlfn.XLOOKUP(A812,'Prior Month'!A:A,'Prior Month'!E:E,0,0)</f>
        <v>492193.8</v>
      </c>
      <c r="J812" s="32">
        <f>_xlfn.XLOOKUP(A812,'Year end 2024'!A:A,'Year end 2024'!E:E,0,0)</f>
        <v>278081.40999999997</v>
      </c>
      <c r="K812" s="14">
        <f t="shared" si="24"/>
        <v>108085.31</v>
      </c>
      <c r="L812" s="14">
        <f t="shared" si="25"/>
        <v>322197.7</v>
      </c>
    </row>
    <row r="813" spans="1:12" ht="35.15" customHeight="1" x14ac:dyDescent="0.4">
      <c r="A813" s="11" t="s">
        <v>1669</v>
      </c>
      <c r="B813" s="11" t="s">
        <v>1670</v>
      </c>
      <c r="C813" s="11" t="s">
        <v>487</v>
      </c>
      <c r="D813" s="11" t="s">
        <v>486</v>
      </c>
      <c r="E813" s="18">
        <f>_xlfn.XLOOKUP(A813,'Current Month'!A:A,'Current Month'!I:I,"")</f>
        <v>0.46169785441011274</v>
      </c>
      <c r="F813" s="21">
        <f>_xlfn.XLOOKUP(A813,'Prior Month'!A:A,'Prior Month'!I:I,"")</f>
        <v>0.4747429086865696</v>
      </c>
      <c r="G813" s="18">
        <f>_xlfn.XLOOKUP(A813,'Year end 2024'!A:A,'Year end 2024'!I:I,"")</f>
        <v>0.4542705038906476</v>
      </c>
      <c r="H813" s="19">
        <f>_xlfn.XLOOKUP(A813,'Current Month'!A:A,'Current Month'!E:E,0,0)</f>
        <v>660862.18000000005</v>
      </c>
      <c r="I813" s="32">
        <f>_xlfn.XLOOKUP(A813,'Prior Month'!A:A,'Prior Month'!E:E,0,0)</f>
        <v>685071.07</v>
      </c>
      <c r="J813" s="32">
        <f>_xlfn.XLOOKUP(A813,'Year end 2024'!A:A,'Year end 2024'!E:E,0,0)</f>
        <v>701001.35</v>
      </c>
      <c r="K813" s="14">
        <f t="shared" si="24"/>
        <v>-24208.889999999898</v>
      </c>
      <c r="L813" s="14">
        <f t="shared" si="25"/>
        <v>-40139.169999999925</v>
      </c>
    </row>
    <row r="814" spans="1:12" ht="35.15" customHeight="1" x14ac:dyDescent="0.4">
      <c r="A814" s="11" t="s">
        <v>1671</v>
      </c>
      <c r="B814" s="11" t="s">
        <v>1672</v>
      </c>
      <c r="C814" s="11" t="s">
        <v>259</v>
      </c>
      <c r="D814" s="11" t="s">
        <v>258</v>
      </c>
      <c r="E814" s="18">
        <f>_xlfn.XLOOKUP(A814,'Current Month'!A:A,'Current Month'!I:I,"")</f>
        <v>0.16169529716308634</v>
      </c>
      <c r="F814" s="21">
        <f>_xlfn.XLOOKUP(A814,'Prior Month'!A:A,'Prior Month'!I:I,"")</f>
        <v>0.1394984476011227</v>
      </c>
      <c r="G814" s="18">
        <f>_xlfn.XLOOKUP(A814,'Year end 2024'!A:A,'Year end 2024'!I:I,"")</f>
        <v>0.14166043961764144</v>
      </c>
      <c r="H814" s="19">
        <f>_xlfn.XLOOKUP(A814,'Current Month'!A:A,'Current Month'!E:E,0,0)</f>
        <v>108836.33</v>
      </c>
      <c r="I814" s="32">
        <f>_xlfn.XLOOKUP(A814,'Prior Month'!A:A,'Prior Month'!E:E,0,0)</f>
        <v>94315.63</v>
      </c>
      <c r="J814" s="32">
        <f>_xlfn.XLOOKUP(A814,'Year end 2024'!A:A,'Year end 2024'!E:E,0,0)</f>
        <v>99196.03</v>
      </c>
      <c r="K814" s="14">
        <f t="shared" si="24"/>
        <v>14520.699999999997</v>
      </c>
      <c r="L814" s="14">
        <f t="shared" si="25"/>
        <v>9640.3000000000029</v>
      </c>
    </row>
    <row r="815" spans="1:12" ht="35.15" customHeight="1" x14ac:dyDescent="0.4">
      <c r="A815" s="11" t="s">
        <v>1673</v>
      </c>
      <c r="B815" s="11" t="s">
        <v>1674</v>
      </c>
      <c r="C815" s="11" t="s">
        <v>19</v>
      </c>
      <c r="D815" s="11" t="s">
        <v>18</v>
      </c>
      <c r="E815" s="18">
        <f>_xlfn.XLOOKUP(A815,'Current Month'!A:A,'Current Month'!I:I,"")</f>
        <v>0.37996907734700647</v>
      </c>
      <c r="F815" s="21">
        <f>_xlfn.XLOOKUP(A815,'Prior Month'!A:A,'Prior Month'!I:I,"")</f>
        <v>0.42960098863292051</v>
      </c>
      <c r="G815" s="18">
        <f>_xlfn.XLOOKUP(A815,'Year end 2024'!A:A,'Year end 2024'!I:I,"")</f>
        <v>0.35397570083265045</v>
      </c>
      <c r="H815" s="19">
        <f>_xlfn.XLOOKUP(A815,'Current Month'!A:A,'Current Month'!E:E,0,0)</f>
        <v>176272.34</v>
      </c>
      <c r="I815" s="32">
        <f>_xlfn.XLOOKUP(A815,'Prior Month'!A:A,'Prior Month'!E:E,0,0)</f>
        <v>200034.61</v>
      </c>
      <c r="J815" s="32">
        <f>_xlfn.XLOOKUP(A815,'Year end 2024'!A:A,'Year end 2024'!E:E,0,0)</f>
        <v>169743.72</v>
      </c>
      <c r="K815" s="14">
        <f t="shared" si="24"/>
        <v>-23762.26999999999</v>
      </c>
      <c r="L815" s="14">
        <f t="shared" si="25"/>
        <v>6528.6199999999953</v>
      </c>
    </row>
    <row r="816" spans="1:12" ht="35.15" customHeight="1" x14ac:dyDescent="0.4">
      <c r="A816" s="11" t="s">
        <v>1675</v>
      </c>
      <c r="B816" s="11" t="s">
        <v>1676</v>
      </c>
      <c r="C816" s="11" t="s">
        <v>77</v>
      </c>
      <c r="D816" s="11" t="s">
        <v>76</v>
      </c>
      <c r="E816" s="18">
        <f>_xlfn.XLOOKUP(A816,'Current Month'!A:A,'Current Month'!I:I,"")</f>
        <v>6.335106791868432E-2</v>
      </c>
      <c r="F816" s="21">
        <f>_xlfn.XLOOKUP(A816,'Prior Month'!A:A,'Prior Month'!I:I,"")</f>
        <v>6.2498086067002363E-2</v>
      </c>
      <c r="G816" s="18">
        <f>_xlfn.XLOOKUP(A816,'Year end 2024'!A:A,'Year end 2024'!I:I,"")</f>
        <v>7.9122658208889959E-2</v>
      </c>
      <c r="H816" s="19">
        <f>_xlfn.XLOOKUP(A816,'Current Month'!A:A,'Current Month'!E:E,0,0)</f>
        <v>24937.84</v>
      </c>
      <c r="I816" s="32">
        <f>_xlfn.XLOOKUP(A816,'Prior Month'!A:A,'Prior Month'!E:E,0,0)</f>
        <v>24735.61</v>
      </c>
      <c r="J816" s="32">
        <f>_xlfn.XLOOKUP(A816,'Year end 2024'!A:A,'Year end 2024'!E:E,0,0)</f>
        <v>32712.13</v>
      </c>
      <c r="K816" s="14">
        <f t="shared" si="24"/>
        <v>202.22999999999956</v>
      </c>
      <c r="L816" s="14">
        <f t="shared" si="25"/>
        <v>-7774.2900000000009</v>
      </c>
    </row>
    <row r="817" spans="1:12" ht="35.15" customHeight="1" x14ac:dyDescent="0.4">
      <c r="A817" s="11" t="s">
        <v>1677</v>
      </c>
      <c r="B817" s="11" t="s">
        <v>1678</v>
      </c>
      <c r="C817" s="11" t="s">
        <v>1679</v>
      </c>
      <c r="D817" s="11" t="s">
        <v>1621</v>
      </c>
      <c r="E817" s="18">
        <f>_xlfn.XLOOKUP(A817,'Current Month'!A:A,'Current Month'!I:I,"")</f>
        <v>0</v>
      </c>
      <c r="F817" s="21">
        <f>_xlfn.XLOOKUP(A817,'Prior Month'!A:A,'Prior Month'!I:I,"")</f>
        <v>0</v>
      </c>
      <c r="G817" s="18">
        <f>_xlfn.XLOOKUP(A817,'Year end 2024'!A:A,'Year end 2024'!I:I,"")</f>
        <v>0</v>
      </c>
      <c r="H817" s="19">
        <f>_xlfn.XLOOKUP(A817,'Current Month'!A:A,'Current Month'!E:E,0,0)</f>
        <v>0</v>
      </c>
      <c r="I817" s="32">
        <f>_xlfn.XLOOKUP(A817,'Prior Month'!A:A,'Prior Month'!E:E,0,0)</f>
        <v>0</v>
      </c>
      <c r="J817" s="32">
        <f>_xlfn.XLOOKUP(A817,'Year end 2024'!A:A,'Year end 2024'!E:E,0,0)</f>
        <v>0</v>
      </c>
      <c r="K817" s="14">
        <f t="shared" si="24"/>
        <v>0</v>
      </c>
      <c r="L817" s="14">
        <f t="shared" si="25"/>
        <v>0</v>
      </c>
    </row>
    <row r="818" spans="1:12" ht="35.15" customHeight="1" x14ac:dyDescent="0.4">
      <c r="A818" s="11" t="s">
        <v>120</v>
      </c>
      <c r="B818" s="11" t="s">
        <v>1680</v>
      </c>
      <c r="C818" s="11" t="s">
        <v>51</v>
      </c>
      <c r="D818" s="11" t="s">
        <v>50</v>
      </c>
      <c r="E818" s="18" t="str">
        <f>_xlfn.XLOOKUP(A818,'Current Month'!A:A,'Current Month'!I:I,"")</f>
        <v/>
      </c>
      <c r="F818" s="21" t="str">
        <f>_xlfn.XLOOKUP(A818,'Prior Month'!A:A,'Prior Month'!I:I,"")</f>
        <v/>
      </c>
      <c r="G818" s="18">
        <f>_xlfn.XLOOKUP(A818,'Year end 2024'!A:A,'Year end 2024'!I:I,"")</f>
        <v>2.2258631333333332</v>
      </c>
      <c r="H818" s="19">
        <f>_xlfn.XLOOKUP(A818,'Current Month'!A:A,'Current Month'!E:E,0,0)</f>
        <v>65123.51</v>
      </c>
      <c r="I818" s="32">
        <f>_xlfn.XLOOKUP(A818,'Prior Month'!A:A,'Prior Month'!E:E,0,0)</f>
        <v>109854.5</v>
      </c>
      <c r="J818" s="32">
        <f>_xlfn.XLOOKUP(A818,'Year end 2024'!A:A,'Year end 2024'!E:E,0,0)</f>
        <v>333879.46999999997</v>
      </c>
      <c r="K818" s="14">
        <f t="shared" si="24"/>
        <v>-44730.99</v>
      </c>
      <c r="L818" s="14">
        <f t="shared" si="25"/>
        <v>-268755.95999999996</v>
      </c>
    </row>
    <row r="819" spans="1:12" ht="35.15" customHeight="1" x14ac:dyDescent="0.4">
      <c r="A819" s="11" t="s">
        <v>1681</v>
      </c>
      <c r="B819" s="11" t="s">
        <v>1682</v>
      </c>
      <c r="C819" s="11" t="s">
        <v>41</v>
      </c>
      <c r="D819" s="11" t="s">
        <v>40</v>
      </c>
      <c r="E819" s="18">
        <f>_xlfn.XLOOKUP(A819,'Current Month'!A:A,'Current Month'!I:I,"")</f>
        <v>4.2377273470480863E-2</v>
      </c>
      <c r="F819" s="21">
        <f>_xlfn.XLOOKUP(A819,'Prior Month'!A:A,'Prior Month'!I:I,"")</f>
        <v>5.0600127379959697E-2</v>
      </c>
      <c r="G819" s="18">
        <f>_xlfn.XLOOKUP(A819,'Year end 2024'!A:A,'Year end 2024'!I:I,"")</f>
        <v>0.45502854206149718</v>
      </c>
      <c r="H819" s="19">
        <f>_xlfn.XLOOKUP(A819,'Current Month'!A:A,'Current Month'!E:E,0,0)</f>
        <v>11696.75</v>
      </c>
      <c r="I819" s="32">
        <f>_xlfn.XLOOKUP(A819,'Prior Month'!A:A,'Prior Month'!E:E,0,0)</f>
        <v>14078.9</v>
      </c>
      <c r="J819" s="32">
        <f>_xlfn.XLOOKUP(A819,'Year end 2024'!A:A,'Year end 2024'!E:E,0,0)</f>
        <v>135395.49</v>
      </c>
      <c r="K819" s="14">
        <f t="shared" si="24"/>
        <v>-2382.1499999999996</v>
      </c>
      <c r="L819" s="14">
        <f t="shared" si="25"/>
        <v>-123698.73999999999</v>
      </c>
    </row>
    <row r="820" spans="1:12" ht="35.15" customHeight="1" x14ac:dyDescent="0.4">
      <c r="A820" s="11" t="s">
        <v>1683</v>
      </c>
      <c r="B820" s="11" t="s">
        <v>1684</v>
      </c>
      <c r="C820" s="11" t="s">
        <v>19</v>
      </c>
      <c r="D820" s="11" t="s">
        <v>18</v>
      </c>
      <c r="E820" s="18" t="str">
        <f>_xlfn.XLOOKUP(A820,'Current Month'!A:A,'Current Month'!I:I,"")</f>
        <v/>
      </c>
      <c r="F820" s="21" t="str">
        <f>_xlfn.XLOOKUP(A820,'Prior Month'!A:A,'Prior Month'!I:I,"")</f>
        <v/>
      </c>
      <c r="G820" s="18" t="str">
        <f>_xlfn.XLOOKUP(A820,'Year end 2024'!A:A,'Year end 2024'!I:I,"")</f>
        <v/>
      </c>
      <c r="H820" s="19">
        <f>_xlfn.XLOOKUP(A820,'Current Month'!A:A,'Current Month'!E:E,0,0)</f>
        <v>93755.14</v>
      </c>
      <c r="I820" s="32">
        <f>_xlfn.XLOOKUP(A820,'Prior Month'!A:A,'Prior Month'!E:E,0,0)</f>
        <v>98399.02</v>
      </c>
      <c r="J820" s="32">
        <f>_xlfn.XLOOKUP(A820,'Year end 2024'!A:A,'Year end 2024'!E:E,0,0)</f>
        <v>108658.11</v>
      </c>
      <c r="K820" s="14">
        <f t="shared" si="24"/>
        <v>-4643.8800000000047</v>
      </c>
      <c r="L820" s="14">
        <f t="shared" si="25"/>
        <v>-14902.970000000001</v>
      </c>
    </row>
    <row r="821" spans="1:12" ht="35.15" customHeight="1" x14ac:dyDescent="0.4">
      <c r="A821" s="11" t="s">
        <v>1685</v>
      </c>
      <c r="B821" s="11" t="s">
        <v>1686</v>
      </c>
      <c r="C821" s="11" t="s">
        <v>29</v>
      </c>
      <c r="D821" s="11" t="s">
        <v>28</v>
      </c>
      <c r="E821" s="18">
        <f>_xlfn.XLOOKUP(A821,'Current Month'!A:A,'Current Month'!I:I,"")</f>
        <v>0.37379657142857142</v>
      </c>
      <c r="F821" s="21">
        <f>_xlfn.XLOOKUP(A821,'Prior Month'!A:A,'Prior Month'!I:I,"")</f>
        <v>0.5675568571428572</v>
      </c>
      <c r="G821" s="18">
        <f>_xlfn.XLOOKUP(A821,'Year end 2024'!A:A,'Year end 2024'!I:I,"")</f>
        <v>0.50522780952380952</v>
      </c>
      <c r="H821" s="19">
        <f>_xlfn.XLOOKUP(A821,'Current Month'!A:A,'Current Month'!E:E,0,0)</f>
        <v>78497.279999999999</v>
      </c>
      <c r="I821" s="32">
        <f>_xlfn.XLOOKUP(A821,'Prior Month'!A:A,'Prior Month'!E:E,0,0)</f>
        <v>119186.94</v>
      </c>
      <c r="J821" s="32">
        <f>_xlfn.XLOOKUP(A821,'Year end 2024'!A:A,'Year end 2024'!E:E,0,0)</f>
        <v>106097.84</v>
      </c>
      <c r="K821" s="14">
        <f t="shared" si="24"/>
        <v>-40689.660000000003</v>
      </c>
      <c r="L821" s="14">
        <f t="shared" si="25"/>
        <v>-27600.559999999998</v>
      </c>
    </row>
    <row r="822" spans="1:12" ht="35.15" customHeight="1" x14ac:dyDescent="0.4">
      <c r="A822" s="11" t="s">
        <v>1687</v>
      </c>
      <c r="B822" s="11" t="s">
        <v>1688</v>
      </c>
      <c r="C822" s="11" t="s">
        <v>109</v>
      </c>
      <c r="D822" s="11" t="s">
        <v>108</v>
      </c>
      <c r="E822" s="18">
        <f>_xlfn.XLOOKUP(A822,'Current Month'!A:A,'Current Month'!I:I,"")</f>
        <v>9.8595599999999992E-2</v>
      </c>
      <c r="F822" s="21">
        <f>_xlfn.XLOOKUP(A822,'Prior Month'!A:A,'Prior Month'!I:I,"")</f>
        <v>0.16462299999999999</v>
      </c>
      <c r="G822" s="18">
        <f>_xlfn.XLOOKUP(A822,'Year end 2024'!A:A,'Year end 2024'!I:I,"")</f>
        <v>0.39311199999999996</v>
      </c>
      <c r="H822" s="19">
        <f>_xlfn.XLOOKUP(A822,'Current Month'!A:A,'Current Month'!E:E,0,0)</f>
        <v>4929.78</v>
      </c>
      <c r="I822" s="32">
        <f>_xlfn.XLOOKUP(A822,'Prior Month'!A:A,'Prior Month'!E:E,0,0)</f>
        <v>8231.15</v>
      </c>
      <c r="J822" s="32">
        <f>_xlfn.XLOOKUP(A822,'Year end 2024'!A:A,'Year end 2024'!E:E,0,0)</f>
        <v>19655.599999999999</v>
      </c>
      <c r="K822" s="14">
        <f t="shared" si="24"/>
        <v>-3301.37</v>
      </c>
      <c r="L822" s="14">
        <f t="shared" si="25"/>
        <v>-14725.82</v>
      </c>
    </row>
    <row r="823" spans="1:12" ht="35.15" customHeight="1" x14ac:dyDescent="0.4">
      <c r="A823" s="11" t="s">
        <v>1689</v>
      </c>
      <c r="B823" s="11" t="s">
        <v>1690</v>
      </c>
      <c r="C823" s="11" t="s">
        <v>19</v>
      </c>
      <c r="D823" s="11" t="s">
        <v>18</v>
      </c>
      <c r="E823" s="18" t="str">
        <f>_xlfn.XLOOKUP(A823,'Current Month'!A:A,'Current Month'!I:I,"")</f>
        <v/>
      </c>
      <c r="F823" s="21" t="str">
        <f>_xlfn.XLOOKUP(A823,'Prior Month'!A:A,'Prior Month'!I:I,"")</f>
        <v/>
      </c>
      <c r="G823" s="18" t="str">
        <f>_xlfn.XLOOKUP(A823,'Year end 2024'!A:A,'Year end 2024'!I:I,"")</f>
        <v/>
      </c>
      <c r="H823" s="19">
        <f>_xlfn.XLOOKUP(A823,'Current Month'!A:A,'Current Month'!E:E,0,0)</f>
        <v>19948.87</v>
      </c>
      <c r="I823" s="32">
        <f>_xlfn.XLOOKUP(A823,'Prior Month'!A:A,'Prior Month'!E:E,0,0)</f>
        <v>73809.78</v>
      </c>
      <c r="J823" s="32">
        <f>_xlfn.XLOOKUP(A823,'Year end 2024'!A:A,'Year end 2024'!E:E,0,0)</f>
        <v>69567.399999999994</v>
      </c>
      <c r="K823" s="14">
        <f t="shared" si="24"/>
        <v>-53860.91</v>
      </c>
      <c r="L823" s="14">
        <f t="shared" si="25"/>
        <v>-49618.53</v>
      </c>
    </row>
    <row r="824" spans="1:12" ht="35.15" customHeight="1" x14ac:dyDescent="0.4">
      <c r="A824" s="11" t="s">
        <v>1691</v>
      </c>
      <c r="B824" s="11" t="s">
        <v>1692</v>
      </c>
      <c r="C824" s="11" t="s">
        <v>457</v>
      </c>
      <c r="D824" s="11" t="s">
        <v>456</v>
      </c>
      <c r="E824" s="18">
        <f>_xlfn.XLOOKUP(A824,'Current Month'!A:A,'Current Month'!I:I,"")</f>
        <v>0.46203580370672737</v>
      </c>
      <c r="F824" s="21">
        <f>_xlfn.XLOOKUP(A824,'Prior Month'!A:A,'Prior Month'!I:I,"")</f>
        <v>0.60765632481921528</v>
      </c>
      <c r="G824" s="18">
        <f>_xlfn.XLOOKUP(A824,'Year end 2024'!A:A,'Year end 2024'!I:I,"")</f>
        <v>0.34968763807464187</v>
      </c>
      <c r="H824" s="19">
        <f>_xlfn.XLOOKUP(A824,'Current Month'!A:A,'Current Month'!E:E,0,0)</f>
        <v>460146.47</v>
      </c>
      <c r="I824" s="32">
        <f>_xlfn.XLOOKUP(A824,'Prior Month'!A:A,'Prior Month'!E:E,0,0)</f>
        <v>606853.06999999995</v>
      </c>
      <c r="J824" s="32">
        <f>_xlfn.XLOOKUP(A824,'Year end 2024'!A:A,'Year end 2024'!E:E,0,0)</f>
        <v>356542.39</v>
      </c>
      <c r="K824" s="14">
        <f t="shared" ref="K824:K887" si="26">IFERROR(SUM(H824-I824),H824)</f>
        <v>-146706.59999999998</v>
      </c>
      <c r="L824" s="14">
        <f t="shared" ref="L824:L887" si="27">IFERROR(SUM(H824-J824),H824)</f>
        <v>103604.07999999996</v>
      </c>
    </row>
    <row r="825" spans="1:12" ht="35.15" customHeight="1" x14ac:dyDescent="0.4">
      <c r="A825" s="11" t="s">
        <v>1693</v>
      </c>
      <c r="B825" s="11" t="s">
        <v>1694</v>
      </c>
      <c r="C825" s="11" t="s">
        <v>109</v>
      </c>
      <c r="D825" s="11" t="s">
        <v>108</v>
      </c>
      <c r="E825" s="18" t="str">
        <f>_xlfn.XLOOKUP(A825,'Current Month'!A:A,'Current Month'!I:I,"")</f>
        <v/>
      </c>
      <c r="F825" s="21" t="str">
        <f>_xlfn.XLOOKUP(A825,'Prior Month'!A:A,'Prior Month'!I:I,"")</f>
        <v/>
      </c>
      <c r="G825" s="18" t="str">
        <f>_xlfn.XLOOKUP(A825,'Year end 2024'!A:A,'Year end 2024'!I:I,"")</f>
        <v/>
      </c>
      <c r="H825" s="19">
        <f>_xlfn.XLOOKUP(A825,'Current Month'!A:A,'Current Month'!E:E,0,0)</f>
        <v>150449.26999999999</v>
      </c>
      <c r="I825" s="32">
        <f>_xlfn.XLOOKUP(A825,'Prior Month'!A:A,'Prior Month'!E:E,0,0)</f>
        <v>29762.36</v>
      </c>
      <c r="J825" s="32">
        <f>_xlfn.XLOOKUP(A825,'Year end 2024'!A:A,'Year end 2024'!E:E,0,0)</f>
        <v>66952.08</v>
      </c>
      <c r="K825" s="14">
        <f t="shared" si="26"/>
        <v>120686.90999999999</v>
      </c>
      <c r="L825" s="14">
        <f t="shared" si="27"/>
        <v>83497.189999999988</v>
      </c>
    </row>
    <row r="826" spans="1:12" ht="35.15" customHeight="1" x14ac:dyDescent="0.4">
      <c r="A826" s="11" t="s">
        <v>1695</v>
      </c>
      <c r="B826" s="11" t="s">
        <v>1696</v>
      </c>
      <c r="C826" s="11" t="s">
        <v>67</v>
      </c>
      <c r="D826" s="11" t="s">
        <v>66</v>
      </c>
      <c r="E826" s="18" t="str">
        <f>_xlfn.XLOOKUP(A826,'Current Month'!A:A,'Current Month'!I:I,"")</f>
        <v/>
      </c>
      <c r="F826" s="21" t="str">
        <f>_xlfn.XLOOKUP(A826,'Prior Month'!A:A,'Prior Month'!I:I,"")</f>
        <v/>
      </c>
      <c r="G826" s="18" t="str">
        <f>_xlfn.XLOOKUP(A826,'Year end 2024'!A:A,'Year end 2024'!I:I,"")</f>
        <v/>
      </c>
      <c r="H826" s="19">
        <f>_xlfn.XLOOKUP(A826,'Current Month'!A:A,'Current Month'!E:E,0,0)</f>
        <v>256651.59</v>
      </c>
      <c r="I826" s="32">
        <f>_xlfn.XLOOKUP(A826,'Prior Month'!A:A,'Prior Month'!E:E,0,0)</f>
        <v>256378.08</v>
      </c>
      <c r="J826" s="32">
        <f>_xlfn.XLOOKUP(A826,'Year end 2024'!A:A,'Year end 2024'!E:E,0,0)</f>
        <v>253992.23</v>
      </c>
      <c r="K826" s="14">
        <f t="shared" si="26"/>
        <v>273.51000000000931</v>
      </c>
      <c r="L826" s="14">
        <f t="shared" si="27"/>
        <v>2659.359999999986</v>
      </c>
    </row>
    <row r="827" spans="1:12" ht="35.15" customHeight="1" x14ac:dyDescent="0.4">
      <c r="A827" s="11" t="s">
        <v>1697</v>
      </c>
      <c r="B827" s="11" t="s">
        <v>1698</v>
      </c>
      <c r="C827" s="11" t="s">
        <v>213</v>
      </c>
      <c r="D827" s="11" t="s">
        <v>212</v>
      </c>
      <c r="E827" s="18">
        <f>_xlfn.XLOOKUP(A827,'Current Month'!A:A,'Current Month'!I:I,"")</f>
        <v>0</v>
      </c>
      <c r="F827" s="21">
        <f>_xlfn.XLOOKUP(A827,'Prior Month'!A:A,'Prior Month'!I:I,"")</f>
        <v>0</v>
      </c>
      <c r="G827" s="18">
        <f>_xlfn.XLOOKUP(A827,'Year end 2024'!A:A,'Year end 2024'!I:I,"")</f>
        <v>1.394E-4</v>
      </c>
      <c r="H827" s="19">
        <f>_xlfn.XLOOKUP(A827,'Current Month'!A:A,'Current Month'!E:E,0,0)</f>
        <v>0</v>
      </c>
      <c r="I827" s="32">
        <f>_xlfn.XLOOKUP(A827,'Prior Month'!A:A,'Prior Month'!E:E,0,0)</f>
        <v>0</v>
      </c>
      <c r="J827" s="32">
        <f>_xlfn.XLOOKUP(A827,'Year end 2024'!A:A,'Year end 2024'!E:E,0,0)</f>
        <v>6.97</v>
      </c>
      <c r="K827" s="14">
        <f t="shared" si="26"/>
        <v>0</v>
      </c>
      <c r="L827" s="14">
        <f t="shared" si="27"/>
        <v>-6.97</v>
      </c>
    </row>
    <row r="828" spans="1:12" ht="35.15" customHeight="1" x14ac:dyDescent="0.4">
      <c r="A828" s="11" t="s">
        <v>1699</v>
      </c>
      <c r="B828" s="11" t="s">
        <v>1700</v>
      </c>
      <c r="C828" s="11" t="s">
        <v>259</v>
      </c>
      <c r="D828" s="11" t="s">
        <v>258</v>
      </c>
      <c r="E828" s="18">
        <f>_xlfn.XLOOKUP(A828,'Current Month'!A:A,'Current Month'!I:I,"")</f>
        <v>0.65502943148253345</v>
      </c>
      <c r="F828" s="21">
        <f>_xlfn.XLOOKUP(A828,'Prior Month'!A:A,'Prior Month'!I:I,"")</f>
        <v>0.92148608407901222</v>
      </c>
      <c r="G828" s="18">
        <f>_xlfn.XLOOKUP(A828,'Year end 2024'!A:A,'Year end 2024'!I:I,"")</f>
        <v>0.43045735163029303</v>
      </c>
      <c r="H828" s="19">
        <f>_xlfn.XLOOKUP(A828,'Current Month'!A:A,'Current Month'!E:E,0,0)</f>
        <v>1307047.28</v>
      </c>
      <c r="I828" s="32">
        <f>_xlfn.XLOOKUP(A828,'Prior Month'!A:A,'Prior Month'!E:E,0,0)</f>
        <v>1842857.48</v>
      </c>
      <c r="J828" s="32">
        <f>_xlfn.XLOOKUP(A828,'Year end 2024'!A:A,'Year end 2024'!E:E,0,0)</f>
        <v>875236.82</v>
      </c>
      <c r="K828" s="14">
        <f t="shared" si="26"/>
        <v>-535810.19999999995</v>
      </c>
      <c r="L828" s="14">
        <f t="shared" si="27"/>
        <v>431810.46000000008</v>
      </c>
    </row>
    <row r="829" spans="1:12" ht="35.15" customHeight="1" x14ac:dyDescent="0.4">
      <c r="A829" s="11" t="s">
        <v>1701</v>
      </c>
      <c r="B829" s="11" t="s">
        <v>1702</v>
      </c>
      <c r="C829" s="11" t="s">
        <v>101</v>
      </c>
      <c r="D829" s="11" t="s">
        <v>100</v>
      </c>
      <c r="E829" s="18">
        <f>_xlfn.XLOOKUP(A829,'Current Month'!A:A,'Current Month'!I:I,"")</f>
        <v>1.7564217509458153</v>
      </c>
      <c r="F829" s="21">
        <f>_xlfn.XLOOKUP(A829,'Prior Month'!A:A,'Prior Month'!I:I,"")</f>
        <v>1.6805866134864675</v>
      </c>
      <c r="G829" s="18">
        <f>_xlfn.XLOOKUP(A829,'Year end 2024'!A:A,'Year end 2024'!I:I,"")</f>
        <v>1.5044323156526018</v>
      </c>
      <c r="H829" s="19">
        <f>_xlfn.XLOOKUP(A829,'Current Month'!A:A,'Current Month'!E:E,0,0)</f>
        <v>8826248.0899999999</v>
      </c>
      <c r="I829" s="32">
        <f>_xlfn.XLOOKUP(A829,'Prior Month'!A:A,'Prior Month'!E:E,0,0)</f>
        <v>8521951.6400000006</v>
      </c>
      <c r="J829" s="32">
        <f>_xlfn.XLOOKUP(A829,'Year end 2024'!A:A,'Year end 2024'!E:E,0,0)</f>
        <v>8222270.7599999998</v>
      </c>
      <c r="K829" s="14">
        <f t="shared" si="26"/>
        <v>304296.44999999925</v>
      </c>
      <c r="L829" s="14">
        <f t="shared" si="27"/>
        <v>603977.33000000007</v>
      </c>
    </row>
    <row r="830" spans="1:12" ht="35.15" customHeight="1" x14ac:dyDescent="0.4">
      <c r="A830" s="11" t="s">
        <v>1703</v>
      </c>
      <c r="B830" s="11" t="s">
        <v>1704</v>
      </c>
      <c r="C830" s="11" t="s">
        <v>11</v>
      </c>
      <c r="D830" s="11" t="s">
        <v>10</v>
      </c>
      <c r="E830" s="18">
        <f>_xlfn.XLOOKUP(A830,'Current Month'!A:A,'Current Month'!I:I,"")</f>
        <v>3.3983833333333332E-3</v>
      </c>
      <c r="F830" s="21">
        <f>_xlfn.XLOOKUP(A830,'Prior Month'!A:A,'Prior Month'!I:I,"")</f>
        <v>2.3171666666666667E-4</v>
      </c>
      <c r="G830" s="18">
        <f>_xlfn.XLOOKUP(A830,'Year end 2024'!A:A,'Year end 2024'!I:I,"")</f>
        <v>0.11209153333333333</v>
      </c>
      <c r="H830" s="19">
        <f>_xlfn.XLOOKUP(A830,'Current Month'!A:A,'Current Month'!E:E,0,0)</f>
        <v>2039.03</v>
      </c>
      <c r="I830" s="32">
        <f>_xlfn.XLOOKUP(A830,'Prior Month'!A:A,'Prior Month'!E:E,0,0)</f>
        <v>139.03</v>
      </c>
      <c r="J830" s="32">
        <f>_xlfn.XLOOKUP(A830,'Year end 2024'!A:A,'Year end 2024'!E:E,0,0)</f>
        <v>67254.92</v>
      </c>
      <c r="K830" s="14">
        <f t="shared" si="26"/>
        <v>1900</v>
      </c>
      <c r="L830" s="14">
        <f t="shared" si="27"/>
        <v>-65215.89</v>
      </c>
    </row>
    <row r="831" spans="1:12" ht="35.15" customHeight="1" x14ac:dyDescent="0.4">
      <c r="A831" s="11" t="s">
        <v>1705</v>
      </c>
      <c r="B831" s="11" t="s">
        <v>1706</v>
      </c>
      <c r="C831" s="11" t="s">
        <v>15</v>
      </c>
      <c r="D831" s="11" t="s">
        <v>14</v>
      </c>
      <c r="E831" s="18">
        <f>_xlfn.XLOOKUP(A831,'Current Month'!A:A,'Current Month'!I:I,"")</f>
        <v>0.17119627251760078</v>
      </c>
      <c r="F831" s="21">
        <f>_xlfn.XLOOKUP(A831,'Prior Month'!A:A,'Prior Month'!I:I,"")</f>
        <v>0.14730525030289274</v>
      </c>
      <c r="G831" s="18">
        <f>_xlfn.XLOOKUP(A831,'Year end 2024'!A:A,'Year end 2024'!I:I,"")</f>
        <v>0.22122632603642367</v>
      </c>
      <c r="H831" s="19">
        <f>_xlfn.XLOOKUP(A831,'Current Month'!A:A,'Current Month'!E:E,0,0)</f>
        <v>601779.67000000004</v>
      </c>
      <c r="I831" s="32">
        <f>_xlfn.XLOOKUP(A831,'Prior Month'!A:A,'Prior Month'!E:E,0,0)</f>
        <v>520305.38</v>
      </c>
      <c r="J831" s="32">
        <f>_xlfn.XLOOKUP(A831,'Year end 2024'!A:A,'Year end 2024'!E:E,0,0)</f>
        <v>814131.35</v>
      </c>
      <c r="K831" s="14">
        <f t="shared" si="26"/>
        <v>81474.290000000037</v>
      </c>
      <c r="L831" s="14">
        <f t="shared" si="27"/>
        <v>-212351.67999999993</v>
      </c>
    </row>
    <row r="832" spans="1:12" ht="35.15" customHeight="1" x14ac:dyDescent="0.4">
      <c r="A832" s="11" t="s">
        <v>1707</v>
      </c>
      <c r="B832" s="11" t="s">
        <v>1708</v>
      </c>
      <c r="C832" s="11" t="s">
        <v>77</v>
      </c>
      <c r="D832" s="11" t="s">
        <v>76</v>
      </c>
      <c r="E832" s="18">
        <f>_xlfn.XLOOKUP(A832,'Current Month'!A:A,'Current Month'!I:I,"")</f>
        <v>0.22865099999999999</v>
      </c>
      <c r="F832" s="21">
        <f>_xlfn.XLOOKUP(A832,'Prior Month'!A:A,'Prior Month'!I:I,"")</f>
        <v>0.1646069</v>
      </c>
      <c r="G832" s="18">
        <f>_xlfn.XLOOKUP(A832,'Year end 2024'!A:A,'Year end 2024'!I:I,"")</f>
        <v>0.3720271</v>
      </c>
      <c r="H832" s="19">
        <f>_xlfn.XLOOKUP(A832,'Current Month'!A:A,'Current Month'!E:E,0,0)</f>
        <v>22865.1</v>
      </c>
      <c r="I832" s="32">
        <f>_xlfn.XLOOKUP(A832,'Prior Month'!A:A,'Prior Month'!E:E,0,0)</f>
        <v>16460.689999999999</v>
      </c>
      <c r="J832" s="32">
        <f>_xlfn.XLOOKUP(A832,'Year end 2024'!A:A,'Year end 2024'!E:E,0,0)</f>
        <v>37202.71</v>
      </c>
      <c r="K832" s="14">
        <f t="shared" si="26"/>
        <v>6404.41</v>
      </c>
      <c r="L832" s="14">
        <f t="shared" si="27"/>
        <v>-14337.61</v>
      </c>
    </row>
    <row r="833" spans="1:12" ht="35.15" customHeight="1" x14ac:dyDescent="0.4">
      <c r="A833" s="11" t="s">
        <v>1709</v>
      </c>
      <c r="B833" s="11" t="s">
        <v>1710</v>
      </c>
      <c r="C833" s="11" t="s">
        <v>101</v>
      </c>
      <c r="D833" s="11" t="s">
        <v>100</v>
      </c>
      <c r="E833" s="18">
        <f>_xlfn.XLOOKUP(A833,'Current Month'!A:A,'Current Month'!I:I,"")</f>
        <v>1.5008487431920194E-3</v>
      </c>
      <c r="F833" s="21">
        <f>_xlfn.XLOOKUP(A833,'Prior Month'!A:A,'Prior Month'!I:I,"")</f>
        <v>9.7546339336879988E-3</v>
      </c>
      <c r="G833" s="18">
        <f>_xlfn.XLOOKUP(A833,'Year end 2024'!A:A,'Year end 2024'!I:I,"")</f>
        <v>6.2011841011713113E-4</v>
      </c>
      <c r="H833" s="19">
        <f>_xlfn.XLOOKUP(A833,'Current Month'!A:A,'Current Month'!E:E,0,0)</f>
        <v>810.12</v>
      </c>
      <c r="I833" s="32">
        <f>_xlfn.XLOOKUP(A833,'Prior Month'!A:A,'Prior Month'!E:E,0,0)</f>
        <v>5275.84</v>
      </c>
      <c r="J833" s="32">
        <f>_xlfn.XLOOKUP(A833,'Year end 2024'!A:A,'Year end 2024'!E:E,0,0)</f>
        <v>339.07</v>
      </c>
      <c r="K833" s="14">
        <f t="shared" si="26"/>
        <v>-4465.72</v>
      </c>
      <c r="L833" s="14">
        <f t="shared" si="27"/>
        <v>471.05</v>
      </c>
    </row>
    <row r="834" spans="1:12" ht="35.15" customHeight="1" x14ac:dyDescent="0.4">
      <c r="A834" s="11" t="s">
        <v>1711</v>
      </c>
      <c r="B834" s="11" t="s">
        <v>1712</v>
      </c>
      <c r="C834" s="11" t="s">
        <v>385</v>
      </c>
      <c r="D834" s="11" t="s">
        <v>384</v>
      </c>
      <c r="E834" s="18">
        <f>_xlfn.XLOOKUP(A834,'Current Month'!A:A,'Current Month'!I:I,"")</f>
        <v>0.72358175848381123</v>
      </c>
      <c r="F834" s="21">
        <f>_xlfn.XLOOKUP(A834,'Prior Month'!A:A,'Prior Month'!I:I,"")</f>
        <v>0.67595651589996686</v>
      </c>
      <c r="G834" s="18">
        <f>_xlfn.XLOOKUP(A834,'Year end 2024'!A:A,'Year end 2024'!I:I,"")</f>
        <v>0.53171182661003635</v>
      </c>
      <c r="H834" s="19">
        <f>_xlfn.XLOOKUP(A834,'Current Month'!A:A,'Current Month'!E:E,0,0)</f>
        <v>70134.789999999994</v>
      </c>
      <c r="I834" s="32">
        <f>_xlfn.XLOOKUP(A834,'Prior Month'!A:A,'Prior Month'!E:E,0,0)</f>
        <v>66336.98</v>
      </c>
      <c r="J834" s="32">
        <f>_xlfn.XLOOKUP(A834,'Year end 2024'!A:A,'Year end 2024'!E:E,0,0)</f>
        <v>57608.27</v>
      </c>
      <c r="K834" s="14">
        <f t="shared" si="26"/>
        <v>3797.8099999999977</v>
      </c>
      <c r="L834" s="14">
        <f t="shared" si="27"/>
        <v>12526.519999999997</v>
      </c>
    </row>
    <row r="835" spans="1:12" ht="35.15" customHeight="1" x14ac:dyDescent="0.4">
      <c r="A835" s="11" t="s">
        <v>1713</v>
      </c>
      <c r="B835" s="11" t="s">
        <v>1714</v>
      </c>
      <c r="C835" s="11" t="s">
        <v>29</v>
      </c>
      <c r="D835" s="11" t="s">
        <v>28</v>
      </c>
      <c r="E835" s="18">
        <f>_xlfn.XLOOKUP(A835,'Current Month'!A:A,'Current Month'!I:I,"")</f>
        <v>103.58448388959374</v>
      </c>
      <c r="F835" s="21">
        <f>_xlfn.XLOOKUP(A835,'Prior Month'!A:A,'Prior Month'!I:I,"")</f>
        <v>88.947879626672346</v>
      </c>
      <c r="G835" s="18">
        <f>_xlfn.XLOOKUP(A835,'Year end 2024'!A:A,'Year end 2024'!I:I,"")</f>
        <v>0.33109014559399463</v>
      </c>
      <c r="H835" s="19">
        <f>_xlfn.XLOOKUP(A835,'Current Month'!A:A,'Current Month'!E:E,0,0)</f>
        <v>263712.63</v>
      </c>
      <c r="I835" s="32">
        <f>_xlfn.XLOOKUP(A835,'Prior Month'!A:A,'Prior Month'!E:E,0,0)</f>
        <v>250646.23</v>
      </c>
      <c r="J835" s="32">
        <f>_xlfn.XLOOKUP(A835,'Year end 2024'!A:A,'Year end 2024'!E:E,0,0)</f>
        <v>84503.33</v>
      </c>
      <c r="K835" s="14">
        <f t="shared" si="26"/>
        <v>13066.399999999994</v>
      </c>
      <c r="L835" s="14">
        <f t="shared" si="27"/>
        <v>179209.3</v>
      </c>
    </row>
    <row r="836" spans="1:12" ht="35.15" customHeight="1" x14ac:dyDescent="0.4">
      <c r="A836" s="11" t="s">
        <v>1715</v>
      </c>
      <c r="B836" s="11" t="s">
        <v>1716</v>
      </c>
      <c r="C836" s="11" t="s">
        <v>33</v>
      </c>
      <c r="D836" s="11" t="s">
        <v>32</v>
      </c>
      <c r="E836" s="18" t="str">
        <f>_xlfn.XLOOKUP(A836,'Current Month'!A:A,'Current Month'!I:I,"")</f>
        <v/>
      </c>
      <c r="F836" s="21" t="str">
        <f>_xlfn.XLOOKUP(A836,'Prior Month'!A:A,'Prior Month'!I:I,"")</f>
        <v/>
      </c>
      <c r="G836" s="18" t="str">
        <f>_xlfn.XLOOKUP(A836,'Year end 2024'!A:A,'Year end 2024'!I:I,"")</f>
        <v/>
      </c>
      <c r="H836" s="19">
        <f>_xlfn.XLOOKUP(A836,'Current Month'!A:A,'Current Month'!E:E,0,0)</f>
        <v>105.72</v>
      </c>
      <c r="I836" s="32">
        <f>_xlfn.XLOOKUP(A836,'Prior Month'!A:A,'Prior Month'!E:E,0,0)</f>
        <v>105.72</v>
      </c>
      <c r="J836" s="32">
        <f>_xlfn.XLOOKUP(A836,'Year end 2024'!A:A,'Year end 2024'!E:E,0,0)</f>
        <v>105.66</v>
      </c>
      <c r="K836" s="14">
        <f t="shared" si="26"/>
        <v>0</v>
      </c>
      <c r="L836" s="14">
        <f t="shared" si="27"/>
        <v>6.0000000000002274E-2</v>
      </c>
    </row>
    <row r="837" spans="1:12" ht="35.15" customHeight="1" x14ac:dyDescent="0.4">
      <c r="A837" s="11" t="s">
        <v>1717</v>
      </c>
      <c r="B837" s="11" t="s">
        <v>1718</v>
      </c>
      <c r="C837" s="11" t="s">
        <v>385</v>
      </c>
      <c r="D837" s="11" t="s">
        <v>384</v>
      </c>
      <c r="E837" s="18">
        <f>_xlfn.XLOOKUP(A837,'Current Month'!A:A,'Current Month'!I:I,"")</f>
        <v>0.16568292817679559</v>
      </c>
      <c r="F837" s="21">
        <f>_xlfn.XLOOKUP(A837,'Prior Month'!A:A,'Prior Month'!I:I,"")</f>
        <v>0.17455563535911603</v>
      </c>
      <c r="G837" s="18">
        <f>_xlfn.XLOOKUP(A837,'Year end 2024'!A:A,'Year end 2024'!I:I,"")</f>
        <v>0.22593419889502761</v>
      </c>
      <c r="H837" s="19">
        <f>_xlfn.XLOOKUP(A837,'Current Month'!A:A,'Current Month'!E:E,0,0)</f>
        <v>59977.22</v>
      </c>
      <c r="I837" s="32">
        <f>_xlfn.XLOOKUP(A837,'Prior Month'!A:A,'Prior Month'!E:E,0,0)</f>
        <v>63189.14</v>
      </c>
      <c r="J837" s="32">
        <f>_xlfn.XLOOKUP(A837,'Year end 2024'!A:A,'Year end 2024'!E:E,0,0)</f>
        <v>81788.179999999993</v>
      </c>
      <c r="K837" s="14">
        <f t="shared" si="26"/>
        <v>-3211.9199999999983</v>
      </c>
      <c r="L837" s="14">
        <f t="shared" si="27"/>
        <v>-21810.959999999992</v>
      </c>
    </row>
    <row r="838" spans="1:12" ht="35.15" customHeight="1" x14ac:dyDescent="0.4">
      <c r="A838" s="11" t="s">
        <v>1719</v>
      </c>
      <c r="B838" s="11" t="s">
        <v>1720</v>
      </c>
      <c r="C838" s="11" t="s">
        <v>471</v>
      </c>
      <c r="D838" s="11" t="s">
        <v>470</v>
      </c>
      <c r="E838" s="18" t="str">
        <f>_xlfn.XLOOKUP(A838,'Current Month'!A:A,'Current Month'!I:I,"")</f>
        <v/>
      </c>
      <c r="F838" s="21" t="str">
        <f>_xlfn.XLOOKUP(A838,'Prior Month'!A:A,'Prior Month'!I:I,"")</f>
        <v/>
      </c>
      <c r="G838" s="18" t="str">
        <f>_xlfn.XLOOKUP(A838,'Year end 2024'!A:A,'Year end 2024'!I:I,"")</f>
        <v/>
      </c>
      <c r="H838" s="19">
        <f>_xlfn.XLOOKUP(A838,'Current Month'!A:A,'Current Month'!E:E,0,0)</f>
        <v>44976.18</v>
      </c>
      <c r="I838" s="32">
        <f>_xlfn.XLOOKUP(A838,'Prior Month'!A:A,'Prior Month'!E:E,0,0)</f>
        <v>24205.96</v>
      </c>
      <c r="J838" s="32">
        <f>_xlfn.XLOOKUP(A838,'Year end 2024'!A:A,'Year end 2024'!E:E,0,0)</f>
        <v>41494.54</v>
      </c>
      <c r="K838" s="14">
        <f t="shared" si="26"/>
        <v>20770.22</v>
      </c>
      <c r="L838" s="14">
        <f t="shared" si="27"/>
        <v>3481.6399999999994</v>
      </c>
    </row>
    <row r="839" spans="1:12" ht="35.15" customHeight="1" x14ac:dyDescent="0.4">
      <c r="A839" s="11" t="s">
        <v>1721</v>
      </c>
      <c r="B839" s="11" t="s">
        <v>1722</v>
      </c>
      <c r="C839" s="11" t="s">
        <v>19</v>
      </c>
      <c r="D839" s="11" t="s">
        <v>18</v>
      </c>
      <c r="E839" s="18">
        <f>_xlfn.XLOOKUP(A839,'Current Month'!A:A,'Current Month'!I:I,"")</f>
        <v>0.26245459999999998</v>
      </c>
      <c r="F839" s="21">
        <f>_xlfn.XLOOKUP(A839,'Prior Month'!A:A,'Prior Month'!I:I,"")</f>
        <v>0.4421696</v>
      </c>
      <c r="G839" s="18">
        <f>_xlfn.XLOOKUP(A839,'Year end 2024'!A:A,'Year end 2024'!I:I,"")</f>
        <v>0.7640422</v>
      </c>
      <c r="H839" s="19">
        <f>_xlfn.XLOOKUP(A839,'Current Month'!A:A,'Current Month'!E:E,0,0)</f>
        <v>13122.73</v>
      </c>
      <c r="I839" s="32">
        <f>_xlfn.XLOOKUP(A839,'Prior Month'!A:A,'Prior Month'!E:E,0,0)</f>
        <v>22108.48</v>
      </c>
      <c r="J839" s="32">
        <f>_xlfn.XLOOKUP(A839,'Year end 2024'!A:A,'Year end 2024'!E:E,0,0)</f>
        <v>38202.11</v>
      </c>
      <c r="K839" s="14">
        <f t="shared" si="26"/>
        <v>-8985.75</v>
      </c>
      <c r="L839" s="14">
        <f t="shared" si="27"/>
        <v>-25079.38</v>
      </c>
    </row>
    <row r="840" spans="1:12" ht="35.15" customHeight="1" x14ac:dyDescent="0.4">
      <c r="A840" s="11" t="s">
        <v>1723</v>
      </c>
      <c r="B840" s="11" t="s">
        <v>1724</v>
      </c>
      <c r="C840" s="11" t="s">
        <v>213</v>
      </c>
      <c r="D840" s="11" t="s">
        <v>212</v>
      </c>
      <c r="E840" s="18">
        <f>_xlfn.XLOOKUP(A840,'Current Month'!A:A,'Current Month'!I:I,"")</f>
        <v>3.8181936418294586E-3</v>
      </c>
      <c r="F840" s="21">
        <f>_xlfn.XLOOKUP(A840,'Prior Month'!A:A,'Prior Month'!I:I,"")</f>
        <v>0</v>
      </c>
      <c r="G840" s="18">
        <f>_xlfn.XLOOKUP(A840,'Year end 2024'!A:A,'Year end 2024'!I:I,"")</f>
        <v>0.25026927289368417</v>
      </c>
      <c r="H840" s="19">
        <f>_xlfn.XLOOKUP(A840,'Current Month'!A:A,'Current Month'!E:E,0,0)</f>
        <v>1467.27</v>
      </c>
      <c r="I840" s="32">
        <f>_xlfn.XLOOKUP(A840,'Prior Month'!A:A,'Prior Month'!E:E,0,0)</f>
        <v>0</v>
      </c>
      <c r="J840" s="32">
        <f>_xlfn.XLOOKUP(A840,'Year end 2024'!A:A,'Year end 2024'!E:E,0,0)</f>
        <v>166899.38</v>
      </c>
      <c r="K840" s="14">
        <f t="shared" si="26"/>
        <v>1467.27</v>
      </c>
      <c r="L840" s="14">
        <f t="shared" si="27"/>
        <v>-165432.11000000002</v>
      </c>
    </row>
    <row r="841" spans="1:12" ht="35.15" customHeight="1" x14ac:dyDescent="0.4">
      <c r="A841" s="11" t="s">
        <v>1725</v>
      </c>
      <c r="B841" s="11" t="s">
        <v>1726</v>
      </c>
      <c r="C841" s="11" t="s">
        <v>33</v>
      </c>
      <c r="D841" s="11" t="s">
        <v>32</v>
      </c>
      <c r="E841" s="18">
        <f>_xlfn.XLOOKUP(A841,'Current Month'!A:A,'Current Month'!I:I,"")</f>
        <v>1.2890857142857143E-2</v>
      </c>
      <c r="F841" s="21">
        <f>_xlfn.XLOOKUP(A841,'Prior Month'!A:A,'Prior Month'!I:I,"")</f>
        <v>1.2890857142857143E-2</v>
      </c>
      <c r="G841" s="18">
        <f>_xlfn.XLOOKUP(A841,'Year end 2024'!A:A,'Year end 2024'!I:I,"")</f>
        <v>9.6051428571428572E-3</v>
      </c>
      <c r="H841" s="19">
        <f>_xlfn.XLOOKUP(A841,'Current Month'!A:A,'Current Month'!E:E,0,0)</f>
        <v>902.36</v>
      </c>
      <c r="I841" s="32">
        <f>_xlfn.XLOOKUP(A841,'Prior Month'!A:A,'Prior Month'!E:E,0,0)</f>
        <v>902.36</v>
      </c>
      <c r="J841" s="32">
        <f>_xlfn.XLOOKUP(A841,'Year end 2024'!A:A,'Year end 2024'!E:E,0,0)</f>
        <v>672.36</v>
      </c>
      <c r="K841" s="14">
        <f t="shared" si="26"/>
        <v>0</v>
      </c>
      <c r="L841" s="14">
        <f t="shared" si="27"/>
        <v>230</v>
      </c>
    </row>
    <row r="842" spans="1:12" ht="35.15" customHeight="1" x14ac:dyDescent="0.4">
      <c r="A842" s="11" t="s">
        <v>1727</v>
      </c>
      <c r="B842" s="11" t="s">
        <v>1728</v>
      </c>
      <c r="C842" s="11" t="s">
        <v>29</v>
      </c>
      <c r="D842" s="11" t="s">
        <v>28</v>
      </c>
      <c r="E842" s="18">
        <f>_xlfn.XLOOKUP(A842,'Current Month'!A:A,'Current Month'!I:I,"")</f>
        <v>0.74374845169128767</v>
      </c>
      <c r="F842" s="21">
        <f>_xlfn.XLOOKUP(A842,'Prior Month'!A:A,'Prior Month'!I:I,"")</f>
        <v>0.61488103923022241</v>
      </c>
      <c r="G842" s="18">
        <f>_xlfn.XLOOKUP(A842,'Year end 2024'!A:A,'Year end 2024'!I:I,"")</f>
        <v>0.63359650240272791</v>
      </c>
      <c r="H842" s="19">
        <f>_xlfn.XLOOKUP(A842,'Current Month'!A:A,'Current Month'!E:E,0,0)</f>
        <v>180856.24</v>
      </c>
      <c r="I842" s="32">
        <f>_xlfn.XLOOKUP(A842,'Prior Month'!A:A,'Prior Month'!E:E,0,0)</f>
        <v>149941.41</v>
      </c>
      <c r="J842" s="32">
        <f>_xlfn.XLOOKUP(A842,'Year end 2024'!A:A,'Year end 2024'!E:E,0,0)</f>
        <v>161593.32</v>
      </c>
      <c r="K842" s="14">
        <f t="shared" si="26"/>
        <v>30914.829999999987</v>
      </c>
      <c r="L842" s="14">
        <f t="shared" si="27"/>
        <v>19262.919999999984</v>
      </c>
    </row>
    <row r="843" spans="1:12" ht="35.15" customHeight="1" x14ac:dyDescent="0.4">
      <c r="A843" s="11" t="s">
        <v>1729</v>
      </c>
      <c r="B843" s="11" t="s">
        <v>1730</v>
      </c>
      <c r="C843" s="11" t="s">
        <v>213</v>
      </c>
      <c r="D843" s="11" t="s">
        <v>212</v>
      </c>
      <c r="E843" s="18">
        <f>_xlfn.XLOOKUP(A843,'Current Month'!A:A,'Current Month'!I:I,"")</f>
        <v>1.656292108902541E-2</v>
      </c>
      <c r="F843" s="21">
        <f>_xlfn.XLOOKUP(A843,'Prior Month'!A:A,'Prior Month'!I:I,"")</f>
        <v>1.656292108902541E-2</v>
      </c>
      <c r="G843" s="18">
        <f>_xlfn.XLOOKUP(A843,'Year end 2024'!A:A,'Year end 2024'!I:I,"")</f>
        <v>2.3716262835975603E-3</v>
      </c>
      <c r="H843" s="19">
        <f>_xlfn.XLOOKUP(A843,'Current Month'!A:A,'Current Month'!E:E,0,0)</f>
        <v>4649.47</v>
      </c>
      <c r="I843" s="32">
        <f>_xlfn.XLOOKUP(A843,'Prior Month'!A:A,'Prior Month'!E:E,0,0)</f>
        <v>4649.47</v>
      </c>
      <c r="J843" s="32">
        <f>_xlfn.XLOOKUP(A843,'Year end 2024'!A:A,'Year end 2024'!E:E,0,0)</f>
        <v>144.4</v>
      </c>
      <c r="K843" s="14">
        <f t="shared" si="26"/>
        <v>0</v>
      </c>
      <c r="L843" s="14">
        <f t="shared" si="27"/>
        <v>4505.0700000000006</v>
      </c>
    </row>
    <row r="844" spans="1:12" ht="35.15" customHeight="1" x14ac:dyDescent="0.4">
      <c r="A844" s="11" t="s">
        <v>1731</v>
      </c>
      <c r="B844" s="11" t="s">
        <v>1732</v>
      </c>
      <c r="C844" s="11" t="s">
        <v>57</v>
      </c>
      <c r="D844" s="11" t="s">
        <v>56</v>
      </c>
      <c r="E844" s="18">
        <f>_xlfn.XLOOKUP(A844,'Current Month'!A:A,'Current Month'!I:I,"")</f>
        <v>0.17221333333333333</v>
      </c>
      <c r="F844" s="21">
        <f>_xlfn.XLOOKUP(A844,'Prior Month'!A:A,'Prior Month'!I:I,"")</f>
        <v>0.15268933333333334</v>
      </c>
      <c r="G844" s="18">
        <f>_xlfn.XLOOKUP(A844,'Year end 2024'!A:A,'Year end 2024'!I:I,"")</f>
        <v>8.2327333333333336E-2</v>
      </c>
      <c r="H844" s="19">
        <f>_xlfn.XLOOKUP(A844,'Current Month'!A:A,'Current Month'!E:E,0,0)</f>
        <v>2583.1999999999998</v>
      </c>
      <c r="I844" s="32">
        <f>_xlfn.XLOOKUP(A844,'Prior Month'!A:A,'Prior Month'!E:E,0,0)</f>
        <v>2290.34</v>
      </c>
      <c r="J844" s="32">
        <f>_xlfn.XLOOKUP(A844,'Year end 2024'!A:A,'Year end 2024'!E:E,0,0)</f>
        <v>1234.9100000000001</v>
      </c>
      <c r="K844" s="14">
        <f t="shared" si="26"/>
        <v>292.85999999999967</v>
      </c>
      <c r="L844" s="14">
        <f t="shared" si="27"/>
        <v>1348.2899999999997</v>
      </c>
    </row>
    <row r="845" spans="1:12" ht="35.15" customHeight="1" x14ac:dyDescent="0.4">
      <c r="A845" s="11" t="s">
        <v>1733</v>
      </c>
      <c r="B845" s="11" t="s">
        <v>1734</v>
      </c>
      <c r="C845" s="11" t="s">
        <v>385</v>
      </c>
      <c r="D845" s="11" t="s">
        <v>384</v>
      </c>
      <c r="E845" s="18">
        <f>_xlfn.XLOOKUP(A845,'Current Month'!A:A,'Current Month'!I:I,"")</f>
        <v>0.22532904347826088</v>
      </c>
      <c r="F845" s="21">
        <f>_xlfn.XLOOKUP(A845,'Prior Month'!A:A,'Prior Month'!I:I,"")</f>
        <v>0.11037808695652174</v>
      </c>
      <c r="G845" s="18">
        <f>_xlfn.XLOOKUP(A845,'Year end 2024'!A:A,'Year end 2024'!I:I,"")</f>
        <v>3.3116869565217394E-2</v>
      </c>
      <c r="H845" s="19">
        <f>_xlfn.XLOOKUP(A845,'Current Month'!A:A,'Current Month'!E:E,0,0)</f>
        <v>25912.84</v>
      </c>
      <c r="I845" s="32">
        <f>_xlfn.XLOOKUP(A845,'Prior Month'!A:A,'Prior Month'!E:E,0,0)</f>
        <v>12693.48</v>
      </c>
      <c r="J845" s="32">
        <f>_xlfn.XLOOKUP(A845,'Year end 2024'!A:A,'Year end 2024'!E:E,0,0)</f>
        <v>3808.44</v>
      </c>
      <c r="K845" s="14">
        <f t="shared" si="26"/>
        <v>13219.36</v>
      </c>
      <c r="L845" s="14">
        <f t="shared" si="27"/>
        <v>22104.400000000001</v>
      </c>
    </row>
    <row r="846" spans="1:12" ht="35.15" customHeight="1" x14ac:dyDescent="0.4">
      <c r="A846" s="11" t="s">
        <v>1735</v>
      </c>
      <c r="B846" s="11" t="s">
        <v>1736</v>
      </c>
      <c r="C846" s="11" t="s">
        <v>57</v>
      </c>
      <c r="D846" s="11" t="s">
        <v>56</v>
      </c>
      <c r="E846" s="18">
        <f>_xlfn.XLOOKUP(A846,'Current Month'!A:A,'Current Month'!I:I,"")</f>
        <v>0.31651686217008801</v>
      </c>
      <c r="F846" s="21">
        <f>_xlfn.XLOOKUP(A846,'Prior Month'!A:A,'Prior Month'!I:I,"")</f>
        <v>0.2858148093841642</v>
      </c>
      <c r="G846" s="18">
        <f>_xlfn.XLOOKUP(A846,'Year end 2024'!A:A,'Year end 2024'!I:I,"")</f>
        <v>1.2548963343108503</v>
      </c>
      <c r="H846" s="19">
        <f>_xlfn.XLOOKUP(A846,'Current Month'!A:A,'Current Month'!E:E,0,0)</f>
        <v>21586.45</v>
      </c>
      <c r="I846" s="32">
        <f>_xlfn.XLOOKUP(A846,'Prior Month'!A:A,'Prior Month'!E:E,0,0)</f>
        <v>19492.57</v>
      </c>
      <c r="J846" s="32">
        <f>_xlfn.XLOOKUP(A846,'Year end 2024'!A:A,'Year end 2024'!E:E,0,0)</f>
        <v>85583.93</v>
      </c>
      <c r="K846" s="14">
        <f t="shared" si="26"/>
        <v>2093.880000000001</v>
      </c>
      <c r="L846" s="14">
        <f t="shared" si="27"/>
        <v>-63997.479999999996</v>
      </c>
    </row>
    <row r="847" spans="1:12" ht="35.15" customHeight="1" x14ac:dyDescent="0.4">
      <c r="A847" s="11" t="s">
        <v>1737</v>
      </c>
      <c r="B847" s="11" t="s">
        <v>1738</v>
      </c>
      <c r="C847" s="11" t="s">
        <v>33</v>
      </c>
      <c r="D847" s="11" t="s">
        <v>32</v>
      </c>
      <c r="E847" s="18">
        <f>_xlfn.XLOOKUP(A847,'Current Month'!A:A,'Current Month'!I:I,"")</f>
        <v>0.96118374933616568</v>
      </c>
      <c r="F847" s="21">
        <f>_xlfn.XLOOKUP(A847,'Prior Month'!A:A,'Prior Month'!I:I,"")</f>
        <v>0.85653462559745086</v>
      </c>
      <c r="G847" s="18">
        <f>_xlfn.XLOOKUP(A847,'Year end 2024'!A:A,'Year end 2024'!I:I,"")</f>
        <v>1.9871062665958577</v>
      </c>
      <c r="H847" s="19">
        <f>_xlfn.XLOOKUP(A847,'Current Month'!A:A,'Current Month'!E:E,0,0)</f>
        <v>180990.9</v>
      </c>
      <c r="I847" s="32">
        <f>_xlfn.XLOOKUP(A847,'Prior Month'!A:A,'Prior Month'!E:E,0,0)</f>
        <v>161285.47</v>
      </c>
      <c r="J847" s="32">
        <f>_xlfn.XLOOKUP(A847,'Year end 2024'!A:A,'Year end 2024'!E:E,0,0)</f>
        <v>374172.11</v>
      </c>
      <c r="K847" s="14">
        <f t="shared" si="26"/>
        <v>19705.429999999993</v>
      </c>
      <c r="L847" s="14">
        <f t="shared" si="27"/>
        <v>-193181.21</v>
      </c>
    </row>
    <row r="848" spans="1:12" ht="35.15" customHeight="1" x14ac:dyDescent="0.4">
      <c r="A848" s="11" t="s">
        <v>1739</v>
      </c>
      <c r="B848" s="11" t="s">
        <v>1740</v>
      </c>
      <c r="C848" s="11" t="s">
        <v>457</v>
      </c>
      <c r="D848" s="11" t="s">
        <v>456</v>
      </c>
      <c r="E848" s="18">
        <f>_xlfn.XLOOKUP(A848,'Current Month'!A:A,'Current Month'!I:I,"")</f>
        <v>2.4126137560369548E-2</v>
      </c>
      <c r="F848" s="21">
        <f>_xlfn.XLOOKUP(A848,'Prior Month'!A:A,'Prior Month'!I:I,"")</f>
        <v>2.0058197864790291E-2</v>
      </c>
      <c r="G848" s="18">
        <f>_xlfn.XLOOKUP(A848,'Year end 2024'!A:A,'Year end 2024'!I:I,"")</f>
        <v>8.7778924269129519E-3</v>
      </c>
      <c r="H848" s="19">
        <f>_xlfn.XLOOKUP(A848,'Current Month'!A:A,'Current Month'!E:E,0,0)</f>
        <v>32080.97</v>
      </c>
      <c r="I848" s="32">
        <f>_xlfn.XLOOKUP(A848,'Prior Month'!A:A,'Prior Month'!E:E,0,0)</f>
        <v>26744.28</v>
      </c>
      <c r="J848" s="32">
        <f>_xlfn.XLOOKUP(A848,'Year end 2024'!A:A,'Year end 2024'!E:E,0,0)</f>
        <v>11946.82</v>
      </c>
      <c r="K848" s="14">
        <f t="shared" si="26"/>
        <v>5336.6900000000023</v>
      </c>
      <c r="L848" s="14">
        <f t="shared" si="27"/>
        <v>20134.150000000001</v>
      </c>
    </row>
    <row r="849" spans="1:12" ht="35.15" customHeight="1" x14ac:dyDescent="0.4">
      <c r="A849" s="11" t="s">
        <v>1741</v>
      </c>
      <c r="B849" s="11" t="s">
        <v>1742</v>
      </c>
      <c r="C849" s="11" t="s">
        <v>57</v>
      </c>
      <c r="D849" s="11" t="s">
        <v>56</v>
      </c>
      <c r="E849" s="18">
        <f>_xlfn.XLOOKUP(A849,'Current Month'!A:A,'Current Month'!I:I,"")</f>
        <v>0.11843143696223368</v>
      </c>
      <c r="F849" s="21">
        <f>_xlfn.XLOOKUP(A849,'Prior Month'!A:A,'Prior Month'!I:I,"")</f>
        <v>7.9276532684765519E-2</v>
      </c>
      <c r="G849" s="18">
        <f>_xlfn.XLOOKUP(A849,'Year end 2024'!A:A,'Year end 2024'!I:I,"")</f>
        <v>0.27210045648138481</v>
      </c>
      <c r="H849" s="19">
        <f>_xlfn.XLOOKUP(A849,'Current Month'!A:A,'Current Month'!E:E,0,0)</f>
        <v>14665.7</v>
      </c>
      <c r="I849" s="32">
        <f>_xlfn.XLOOKUP(A849,'Prior Month'!A:A,'Prior Month'!E:E,0,0)</f>
        <v>9934.7900000000009</v>
      </c>
      <c r="J849" s="32">
        <f>_xlfn.XLOOKUP(A849,'Year end 2024'!A:A,'Year end 2024'!E:E,0,0)</f>
        <v>37375.550000000003</v>
      </c>
      <c r="K849" s="14">
        <f t="shared" si="26"/>
        <v>4730.91</v>
      </c>
      <c r="L849" s="14">
        <f t="shared" si="27"/>
        <v>-22709.850000000002</v>
      </c>
    </row>
    <row r="850" spans="1:12" ht="35.15" customHeight="1" x14ac:dyDescent="0.4">
      <c r="A850" s="11" t="s">
        <v>1743</v>
      </c>
      <c r="B850" s="11" t="s">
        <v>1744</v>
      </c>
      <c r="C850" s="11" t="s">
        <v>259</v>
      </c>
      <c r="D850" s="11" t="s">
        <v>258</v>
      </c>
      <c r="E850" s="18">
        <f>_xlfn.XLOOKUP(A850,'Current Month'!A:A,'Current Month'!I:I,"")</f>
        <v>1.8347576092210136E-2</v>
      </c>
      <c r="F850" s="21">
        <f>_xlfn.XLOOKUP(A850,'Prior Month'!A:A,'Prior Month'!I:I,"")</f>
        <v>1.8114991952532557E-2</v>
      </c>
      <c r="G850" s="18">
        <f>_xlfn.XLOOKUP(A850,'Year end 2024'!A:A,'Year end 2024'!I:I,"")</f>
        <v>1.7276191606756593E-2</v>
      </c>
      <c r="H850" s="19">
        <f>_xlfn.XLOOKUP(A850,'Current Month'!A:A,'Current Month'!E:E,0,0)</f>
        <v>4042.04</v>
      </c>
      <c r="I850" s="32">
        <f>_xlfn.XLOOKUP(A850,'Prior Month'!A:A,'Prior Month'!E:E,0,0)</f>
        <v>4042.04</v>
      </c>
      <c r="J850" s="32">
        <f>_xlfn.XLOOKUP(A850,'Year end 2024'!A:A,'Year end 2024'!E:E,0,0)</f>
        <v>4267.04</v>
      </c>
      <c r="K850" s="14">
        <f t="shared" si="26"/>
        <v>0</v>
      </c>
      <c r="L850" s="14">
        <f t="shared" si="27"/>
        <v>-225</v>
      </c>
    </row>
    <row r="851" spans="1:12" ht="35.15" customHeight="1" x14ac:dyDescent="0.4">
      <c r="A851" s="11" t="s">
        <v>1745</v>
      </c>
      <c r="B851" s="11" t="s">
        <v>1746</v>
      </c>
      <c r="C851" s="11" t="s">
        <v>213</v>
      </c>
      <c r="D851" s="11" t="s">
        <v>212</v>
      </c>
      <c r="E851" s="18">
        <f>_xlfn.XLOOKUP(A851,'Current Month'!A:A,'Current Month'!I:I,"")</f>
        <v>0</v>
      </c>
      <c r="F851" s="21">
        <f>_xlfn.XLOOKUP(A851,'Prior Month'!A:A,'Prior Month'!I:I,"")</f>
        <v>0</v>
      </c>
      <c r="G851" s="18">
        <f>_xlfn.XLOOKUP(A851,'Year end 2024'!A:A,'Year end 2024'!I:I,"")</f>
        <v>1.6463100029632384E-3</v>
      </c>
      <c r="H851" s="19">
        <f>_xlfn.XLOOKUP(A851,'Current Month'!A:A,'Current Month'!E:E,0,0)</f>
        <v>0</v>
      </c>
      <c r="I851" s="32">
        <f>_xlfn.XLOOKUP(A851,'Prior Month'!A:A,'Prior Month'!E:E,0,0)</f>
        <v>0</v>
      </c>
      <c r="J851" s="32">
        <f>_xlfn.XLOOKUP(A851,'Year end 2024'!A:A,'Year end 2024'!E:E,0,0)</f>
        <v>826.2</v>
      </c>
      <c r="K851" s="14">
        <f t="shared" si="26"/>
        <v>0</v>
      </c>
      <c r="L851" s="14">
        <f t="shared" si="27"/>
        <v>-826.2</v>
      </c>
    </row>
    <row r="852" spans="1:12" ht="35.15" customHeight="1" x14ac:dyDescent="0.4">
      <c r="A852" s="11" t="s">
        <v>1747</v>
      </c>
      <c r="B852" s="11" t="s">
        <v>1748</v>
      </c>
      <c r="C852" s="11" t="s">
        <v>19</v>
      </c>
      <c r="D852" s="11" t="s">
        <v>18</v>
      </c>
      <c r="E852" s="18">
        <f>_xlfn.XLOOKUP(A852,'Current Month'!A:A,'Current Month'!I:I,"")</f>
        <v>0.25345112430115485</v>
      </c>
      <c r="F852" s="21">
        <f>_xlfn.XLOOKUP(A852,'Prior Month'!A:A,'Prior Month'!I:I,"")</f>
        <v>0.1541098028225219</v>
      </c>
      <c r="G852" s="18">
        <f>_xlfn.XLOOKUP(A852,'Year end 2024'!A:A,'Year end 2024'!I:I,"")</f>
        <v>0.75607530000000001</v>
      </c>
      <c r="H852" s="19">
        <f>_xlfn.XLOOKUP(A852,'Current Month'!A:A,'Current Month'!E:E,0,0)</f>
        <v>48534.95</v>
      </c>
      <c r="I852" s="32">
        <f>_xlfn.XLOOKUP(A852,'Prior Month'!A:A,'Prior Month'!E:E,0,0)</f>
        <v>29550.959999999999</v>
      </c>
      <c r="J852" s="32">
        <f>_xlfn.XLOOKUP(A852,'Year end 2024'!A:A,'Year end 2024'!E:E,0,0)</f>
        <v>75607.53</v>
      </c>
      <c r="K852" s="14">
        <f t="shared" si="26"/>
        <v>18983.989999999998</v>
      </c>
      <c r="L852" s="14">
        <f t="shared" si="27"/>
        <v>-27072.58</v>
      </c>
    </row>
    <row r="853" spans="1:12" ht="35.15" customHeight="1" x14ac:dyDescent="0.4">
      <c r="A853" s="11" t="s">
        <v>1749</v>
      </c>
      <c r="B853" s="11" t="s">
        <v>1750</v>
      </c>
      <c r="C853" s="11" t="s">
        <v>57</v>
      </c>
      <c r="D853" s="11" t="s">
        <v>56</v>
      </c>
      <c r="E853" s="18">
        <f>_xlfn.XLOOKUP(A853,'Current Month'!A:A,'Current Month'!I:I,"")</f>
        <v>2.8013973896913082</v>
      </c>
      <c r="F853" s="21">
        <f>_xlfn.XLOOKUP(A853,'Prior Month'!A:A,'Prior Month'!I:I,"")</f>
        <v>0.48822752183865864</v>
      </c>
      <c r="G853" s="18">
        <f>_xlfn.XLOOKUP(A853,'Year end 2024'!A:A,'Year end 2024'!I:I,"")</f>
        <v>1.5100597083530212</v>
      </c>
      <c r="H853" s="19">
        <f>_xlfn.XLOOKUP(A853,'Current Month'!A:A,'Current Month'!E:E,0,0)</f>
        <v>462873.49</v>
      </c>
      <c r="I853" s="32">
        <f>_xlfn.XLOOKUP(A853,'Prior Month'!A:A,'Prior Month'!E:E,0,0)</f>
        <v>80770.960000000006</v>
      </c>
      <c r="J853" s="32">
        <f>_xlfn.XLOOKUP(A853,'Year end 2024'!A:A,'Year end 2024'!E:E,0,0)</f>
        <v>250268.13</v>
      </c>
      <c r="K853" s="14">
        <f t="shared" si="26"/>
        <v>382102.52999999997</v>
      </c>
      <c r="L853" s="14">
        <f t="shared" si="27"/>
        <v>212605.36</v>
      </c>
    </row>
    <row r="854" spans="1:12" ht="35.15" customHeight="1" x14ac:dyDescent="0.4">
      <c r="A854" s="11" t="s">
        <v>1751</v>
      </c>
      <c r="B854" s="11" t="s">
        <v>1752</v>
      </c>
      <c r="C854" s="11" t="s">
        <v>57</v>
      </c>
      <c r="D854" s="11" t="s">
        <v>56</v>
      </c>
      <c r="E854" s="18">
        <f>_xlfn.XLOOKUP(A854,'Current Month'!A:A,'Current Month'!I:I,"")</f>
        <v>21.412959999999998</v>
      </c>
      <c r="F854" s="21">
        <f>_xlfn.XLOOKUP(A854,'Prior Month'!A:A,'Prior Month'!I:I,"")</f>
        <v>22.346049999999998</v>
      </c>
      <c r="G854" s="18">
        <f>_xlfn.XLOOKUP(A854,'Year end 2024'!A:A,'Year end 2024'!I:I,"")</f>
        <v>37.910260000000001</v>
      </c>
      <c r="H854" s="19">
        <f>_xlfn.XLOOKUP(A854,'Current Month'!A:A,'Current Month'!E:E,0,0)</f>
        <v>21412.959999999999</v>
      </c>
      <c r="I854" s="32">
        <f>_xlfn.XLOOKUP(A854,'Prior Month'!A:A,'Prior Month'!E:E,0,0)</f>
        <v>22346.05</v>
      </c>
      <c r="J854" s="32">
        <f>_xlfn.XLOOKUP(A854,'Year end 2024'!A:A,'Year end 2024'!E:E,0,0)</f>
        <v>37910.26</v>
      </c>
      <c r="K854" s="14">
        <f t="shared" si="26"/>
        <v>-933.09000000000015</v>
      </c>
      <c r="L854" s="14">
        <f t="shared" si="27"/>
        <v>-16497.300000000003</v>
      </c>
    </row>
    <row r="855" spans="1:12" ht="35.15" customHeight="1" x14ac:dyDescent="0.4">
      <c r="A855" s="11" t="s">
        <v>1753</v>
      </c>
      <c r="B855" s="11" t="s">
        <v>1754</v>
      </c>
      <c r="C855" s="11" t="s">
        <v>19</v>
      </c>
      <c r="D855" s="11" t="s">
        <v>18</v>
      </c>
      <c r="E855" s="18">
        <f>_xlfn.XLOOKUP(A855,'Current Month'!A:A,'Current Month'!I:I,"")</f>
        <v>3.0412431600263485E-2</v>
      </c>
      <c r="F855" s="21">
        <f>_xlfn.XLOOKUP(A855,'Prior Month'!A:A,'Prior Month'!I:I,"")</f>
        <v>3.0188639438936717E-2</v>
      </c>
      <c r="G855" s="18">
        <f>_xlfn.XLOOKUP(A855,'Year end 2024'!A:A,'Year end 2024'!I:I,"")</f>
        <v>2.9302547374127692E-2</v>
      </c>
      <c r="H855" s="19">
        <f>_xlfn.XLOOKUP(A855,'Current Month'!A:A,'Current Month'!E:E,0,0)</f>
        <v>11493.02</v>
      </c>
      <c r="I855" s="32">
        <f>_xlfn.XLOOKUP(A855,'Prior Month'!A:A,'Prior Month'!E:E,0,0)</f>
        <v>11447.36</v>
      </c>
      <c r="J855" s="32">
        <f>_xlfn.XLOOKUP(A855,'Year end 2024'!A:A,'Year end 2024'!E:E,0,0)</f>
        <v>11325.79</v>
      </c>
      <c r="K855" s="14">
        <f t="shared" si="26"/>
        <v>45.659999999999854</v>
      </c>
      <c r="L855" s="14">
        <f t="shared" si="27"/>
        <v>167.22999999999956</v>
      </c>
    </row>
    <row r="856" spans="1:12" ht="35.15" customHeight="1" x14ac:dyDescent="0.4">
      <c r="A856" s="11" t="s">
        <v>1755</v>
      </c>
      <c r="B856" s="11" t="s">
        <v>1756</v>
      </c>
      <c r="C856" s="11" t="s">
        <v>67</v>
      </c>
      <c r="D856" s="11" t="s">
        <v>66</v>
      </c>
      <c r="E856" s="18">
        <f>_xlfn.XLOOKUP(A856,'Current Month'!A:A,'Current Month'!I:I,"")</f>
        <v>3.4080256210234881E-2</v>
      </c>
      <c r="F856" s="21">
        <f>_xlfn.XLOOKUP(A856,'Prior Month'!A:A,'Prior Month'!I:I,"")</f>
        <v>4.2092903136219849E-2</v>
      </c>
      <c r="G856" s="18">
        <f>_xlfn.XLOOKUP(A856,'Year end 2024'!A:A,'Year end 2024'!I:I,"")</f>
        <v>1.7214536166777528E-2</v>
      </c>
      <c r="H856" s="19">
        <f>_xlfn.XLOOKUP(A856,'Current Month'!A:A,'Current Month'!E:E,0,0)</f>
        <v>24185.64</v>
      </c>
      <c r="I856" s="32">
        <f>_xlfn.XLOOKUP(A856,'Prior Month'!A:A,'Prior Month'!E:E,0,0)</f>
        <v>30010.23</v>
      </c>
      <c r="J856" s="32">
        <f>_xlfn.XLOOKUP(A856,'Year end 2024'!A:A,'Year end 2024'!E:E,0,0)</f>
        <v>12736.46</v>
      </c>
      <c r="K856" s="14">
        <f t="shared" si="26"/>
        <v>-5824.59</v>
      </c>
      <c r="L856" s="14">
        <f t="shared" si="27"/>
        <v>11449.18</v>
      </c>
    </row>
    <row r="857" spans="1:12" ht="35.15" customHeight="1" x14ac:dyDescent="0.4">
      <c r="A857" s="11" t="s">
        <v>1757</v>
      </c>
      <c r="B857" s="11" t="s">
        <v>1758</v>
      </c>
      <c r="C857" s="11" t="s">
        <v>19</v>
      </c>
      <c r="D857" s="11" t="s">
        <v>18</v>
      </c>
      <c r="E857" s="18" t="str">
        <f>_xlfn.XLOOKUP(A857,'Current Month'!A:A,'Current Month'!I:I,"")</f>
        <v/>
      </c>
      <c r="F857" s="21" t="str">
        <f>_xlfn.XLOOKUP(A857,'Prior Month'!A:A,'Prior Month'!I:I,"")</f>
        <v/>
      </c>
      <c r="G857" s="18" t="str">
        <f>_xlfn.XLOOKUP(A857,'Year end 2024'!A:A,'Year end 2024'!I:I,"")</f>
        <v/>
      </c>
      <c r="H857" s="19">
        <f>_xlfn.XLOOKUP(A857,'Current Month'!A:A,'Current Month'!E:E,0,0)</f>
        <v>84258.43</v>
      </c>
      <c r="I857" s="32">
        <f>_xlfn.XLOOKUP(A857,'Prior Month'!A:A,'Prior Month'!E:E,0,0)</f>
        <v>66845.02</v>
      </c>
      <c r="J857" s="32">
        <f>_xlfn.XLOOKUP(A857,'Year end 2024'!A:A,'Year end 2024'!E:E,0,0)</f>
        <v>35316.86</v>
      </c>
      <c r="K857" s="14">
        <f t="shared" si="26"/>
        <v>17413.409999999989</v>
      </c>
      <c r="L857" s="14">
        <f t="shared" si="27"/>
        <v>48941.569999999992</v>
      </c>
    </row>
    <row r="858" spans="1:12" ht="35.15" customHeight="1" x14ac:dyDescent="0.4">
      <c r="A858" s="11" t="s">
        <v>460</v>
      </c>
      <c r="B858" s="11" t="s">
        <v>1759</v>
      </c>
      <c r="C858" s="11" t="s">
        <v>29</v>
      </c>
      <c r="D858" s="11" t="s">
        <v>28</v>
      </c>
      <c r="E858" s="18">
        <f>_xlfn.XLOOKUP(A858,'Current Month'!A:A,'Current Month'!I:I,"")</f>
        <v>0</v>
      </c>
      <c r="F858" s="21">
        <f>_xlfn.XLOOKUP(A858,'Prior Month'!A:A,'Prior Month'!I:I,"")</f>
        <v>0</v>
      </c>
      <c r="G858" s="18">
        <f>_xlfn.XLOOKUP(A858,'Year end 2024'!A:A,'Year end 2024'!I:I,"")</f>
        <v>1.0025E-4</v>
      </c>
      <c r="H858" s="19">
        <f>_xlfn.XLOOKUP(A858,'Current Month'!A:A,'Current Month'!E:E,0,0)</f>
        <v>0</v>
      </c>
      <c r="I858" s="32">
        <f>_xlfn.XLOOKUP(A858,'Prior Month'!A:A,'Prior Month'!E:E,0,0)</f>
        <v>0</v>
      </c>
      <c r="J858" s="32">
        <f>_xlfn.XLOOKUP(A858,'Year end 2024'!A:A,'Year end 2024'!E:E,0,0)</f>
        <v>20.05</v>
      </c>
      <c r="K858" s="14">
        <f t="shared" si="26"/>
        <v>0</v>
      </c>
      <c r="L858" s="14">
        <f t="shared" si="27"/>
        <v>-20.05</v>
      </c>
    </row>
    <row r="859" spans="1:12" ht="35.15" customHeight="1" x14ac:dyDescent="0.4">
      <c r="A859" s="11" t="s">
        <v>1760</v>
      </c>
      <c r="B859" s="11" t="s">
        <v>1761</v>
      </c>
      <c r="C859" s="11" t="s">
        <v>606</v>
      </c>
      <c r="D859" s="11" t="s">
        <v>605</v>
      </c>
      <c r="E859" s="18">
        <f>_xlfn.XLOOKUP(A859,'Current Month'!A:A,'Current Month'!I:I,"")</f>
        <v>6.7143933903184488E-2</v>
      </c>
      <c r="F859" s="21">
        <f>_xlfn.XLOOKUP(A859,'Prior Month'!A:A,'Prior Month'!I:I,"")</f>
        <v>6.679674418559764E-2</v>
      </c>
      <c r="G859" s="18">
        <f>_xlfn.XLOOKUP(A859,'Year end 2024'!A:A,'Year end 2024'!I:I,"")</f>
        <v>7.5552023788648904E-3</v>
      </c>
      <c r="H859" s="19">
        <f>_xlfn.XLOOKUP(A859,'Current Month'!A:A,'Current Month'!E:E,0,0)</f>
        <v>2782.92</v>
      </c>
      <c r="I859" s="32">
        <f>_xlfn.XLOOKUP(A859,'Prior Month'!A:A,'Prior Month'!E:E,0,0)</f>
        <v>2768.53</v>
      </c>
      <c r="J859" s="32">
        <f>_xlfn.XLOOKUP(A859,'Year end 2024'!A:A,'Year end 2024'!E:E,0,0)</f>
        <v>318.41000000000003</v>
      </c>
      <c r="K859" s="14">
        <f t="shared" si="26"/>
        <v>14.389999999999873</v>
      </c>
      <c r="L859" s="14">
        <f t="shared" si="27"/>
        <v>2464.5100000000002</v>
      </c>
    </row>
    <row r="860" spans="1:12" ht="35.15" customHeight="1" x14ac:dyDescent="0.4">
      <c r="A860" s="11" t="s">
        <v>1762</v>
      </c>
      <c r="B860" s="11" t="s">
        <v>1763</v>
      </c>
      <c r="C860" s="11" t="s">
        <v>457</v>
      </c>
      <c r="D860" s="11" t="s">
        <v>456</v>
      </c>
      <c r="E860" s="18">
        <f>_xlfn.XLOOKUP(A860,'Current Month'!A:A,'Current Month'!I:I,"")</f>
        <v>1.0741815077619893E-2</v>
      </c>
      <c r="F860" s="21">
        <f>_xlfn.XLOOKUP(A860,'Prior Month'!A:A,'Prior Month'!I:I,"")</f>
        <v>2.7423788763620987E-2</v>
      </c>
      <c r="G860" s="18">
        <f>_xlfn.XLOOKUP(A860,'Year end 2024'!A:A,'Year end 2024'!I:I,"")</f>
        <v>4.1118577418360752E-3</v>
      </c>
      <c r="H860" s="19">
        <f>_xlfn.XLOOKUP(A860,'Current Month'!A:A,'Current Month'!E:E,0,0)</f>
        <v>12157.76</v>
      </c>
      <c r="I860" s="32">
        <f>_xlfn.XLOOKUP(A860,'Prior Month'!A:A,'Prior Month'!E:E,0,0)</f>
        <v>31179.84</v>
      </c>
      <c r="J860" s="32">
        <f>_xlfn.XLOOKUP(A860,'Year end 2024'!A:A,'Year end 2024'!E:E,0,0)</f>
        <v>4779.2</v>
      </c>
      <c r="K860" s="14">
        <f t="shared" si="26"/>
        <v>-19022.080000000002</v>
      </c>
      <c r="L860" s="14">
        <f t="shared" si="27"/>
        <v>7378.56</v>
      </c>
    </row>
    <row r="861" spans="1:12" ht="35.15" customHeight="1" x14ac:dyDescent="0.4">
      <c r="A861" s="11" t="s">
        <v>1764</v>
      </c>
      <c r="B861" s="11" t="s">
        <v>1765</v>
      </c>
      <c r="C861" s="11" t="s">
        <v>259</v>
      </c>
      <c r="D861" s="11" t="s">
        <v>258</v>
      </c>
      <c r="E861" s="18">
        <f>_xlfn.XLOOKUP(A861,'Current Month'!A:A,'Current Month'!I:I,"")</f>
        <v>0</v>
      </c>
      <c r="F861" s="21">
        <f>_xlfn.XLOOKUP(A861,'Prior Month'!A:A,'Prior Month'!I:I,"")</f>
        <v>0</v>
      </c>
      <c r="G861" s="18">
        <f>_xlfn.XLOOKUP(A861,'Year end 2024'!A:A,'Year end 2024'!I:I,"")</f>
        <v>0</v>
      </c>
      <c r="H861" s="19">
        <f>_xlfn.XLOOKUP(A861,'Current Month'!A:A,'Current Month'!E:E,0,0)</f>
        <v>0</v>
      </c>
      <c r="I861" s="32">
        <f>_xlfn.XLOOKUP(A861,'Prior Month'!A:A,'Prior Month'!E:E,0,0)</f>
        <v>0</v>
      </c>
      <c r="J861" s="32">
        <f>_xlfn.XLOOKUP(A861,'Year end 2024'!A:A,'Year end 2024'!E:E,0,0)</f>
        <v>0</v>
      </c>
      <c r="K861" s="14">
        <f t="shared" si="26"/>
        <v>0</v>
      </c>
      <c r="L861" s="14">
        <f t="shared" si="27"/>
        <v>0</v>
      </c>
    </row>
    <row r="862" spans="1:12" ht="35.15" customHeight="1" x14ac:dyDescent="0.4">
      <c r="A862" s="11" t="s">
        <v>1766</v>
      </c>
      <c r="B862" s="11" t="s">
        <v>1767</v>
      </c>
      <c r="C862" s="11" t="s">
        <v>19</v>
      </c>
      <c r="D862" s="11" t="s">
        <v>18</v>
      </c>
      <c r="E862" s="18" t="str">
        <f>_xlfn.XLOOKUP(A862,'Current Month'!A:A,'Current Month'!I:I,"")</f>
        <v/>
      </c>
      <c r="F862" s="21" t="str">
        <f>_xlfn.XLOOKUP(A862,'Prior Month'!A:A,'Prior Month'!I:I,"")</f>
        <v/>
      </c>
      <c r="G862" s="18" t="str">
        <f>_xlfn.XLOOKUP(A862,'Year end 2024'!A:A,'Year end 2024'!I:I,"")</f>
        <v/>
      </c>
      <c r="H862" s="19">
        <f>_xlfn.XLOOKUP(A862,'Current Month'!A:A,'Current Month'!E:E,0,0)</f>
        <v>46301.02</v>
      </c>
      <c r="I862" s="32">
        <f>_xlfn.XLOOKUP(A862,'Prior Month'!A:A,'Prior Month'!E:E,0,0)</f>
        <v>38536.410000000003</v>
      </c>
      <c r="J862" s="32">
        <f>_xlfn.XLOOKUP(A862,'Year end 2024'!A:A,'Year end 2024'!E:E,0,0)</f>
        <v>61302.34</v>
      </c>
      <c r="K862" s="14">
        <f t="shared" si="26"/>
        <v>7764.6099999999933</v>
      </c>
      <c r="L862" s="14">
        <f t="shared" si="27"/>
        <v>-15001.32</v>
      </c>
    </row>
    <row r="863" spans="1:12" ht="35.15" customHeight="1" x14ac:dyDescent="0.4">
      <c r="A863" s="11" t="s">
        <v>1768</v>
      </c>
      <c r="B863" s="11" t="s">
        <v>1769</v>
      </c>
      <c r="C863" s="11" t="s">
        <v>457</v>
      </c>
      <c r="D863" s="11" t="s">
        <v>456</v>
      </c>
      <c r="E863" s="18">
        <f>_xlfn.XLOOKUP(A863,'Current Month'!A:A,'Current Month'!I:I,"")</f>
        <v>0.2216933357609481</v>
      </c>
      <c r="F863" s="21">
        <f>_xlfn.XLOOKUP(A863,'Prior Month'!A:A,'Prior Month'!I:I,"")</f>
        <v>3.7282802097467267E-2</v>
      </c>
      <c r="G863" s="18">
        <f>_xlfn.XLOOKUP(A863,'Year end 2024'!A:A,'Year end 2024'!I:I,"")</f>
        <v>0.13752264740321085</v>
      </c>
      <c r="H863" s="19">
        <f>_xlfn.XLOOKUP(A863,'Current Month'!A:A,'Current Month'!E:E,0,0)</f>
        <v>34531.69</v>
      </c>
      <c r="I863" s="32">
        <f>_xlfn.XLOOKUP(A863,'Prior Month'!A:A,'Prior Month'!E:E,0,0)</f>
        <v>5974.94</v>
      </c>
      <c r="J863" s="32">
        <f>_xlfn.XLOOKUP(A863,'Year end 2024'!A:A,'Year end 2024'!E:E,0,0)</f>
        <v>27359.67</v>
      </c>
      <c r="K863" s="14">
        <f t="shared" si="26"/>
        <v>28556.750000000004</v>
      </c>
      <c r="L863" s="14">
        <f t="shared" si="27"/>
        <v>7172.0200000000041</v>
      </c>
    </row>
    <row r="864" spans="1:12" ht="35.15" customHeight="1" x14ac:dyDescent="0.4">
      <c r="A864" s="11" t="s">
        <v>1770</v>
      </c>
      <c r="B864" s="11" t="s">
        <v>1771</v>
      </c>
      <c r="C864" s="11" t="s">
        <v>259</v>
      </c>
      <c r="D864" s="11" t="s">
        <v>258</v>
      </c>
      <c r="E864" s="18">
        <f>_xlfn.XLOOKUP(A864,'Current Month'!A:A,'Current Month'!I:I,"")</f>
        <v>7.2524767278406371E-2</v>
      </c>
      <c r="F864" s="21">
        <f>_xlfn.XLOOKUP(A864,'Prior Month'!A:A,'Prior Month'!I:I,"")</f>
        <v>3.1666224535229152E-2</v>
      </c>
      <c r="G864" s="18">
        <f>_xlfn.XLOOKUP(A864,'Year end 2024'!A:A,'Year end 2024'!I:I,"")</f>
        <v>1.0003512580218317E-2</v>
      </c>
      <c r="H864" s="19">
        <f>_xlfn.XLOOKUP(A864,'Current Month'!A:A,'Current Month'!E:E,0,0)</f>
        <v>38333.199999999997</v>
      </c>
      <c r="I864" s="32">
        <f>_xlfn.XLOOKUP(A864,'Prior Month'!A:A,'Prior Month'!E:E,0,0)</f>
        <v>16743.97</v>
      </c>
      <c r="J864" s="32">
        <f>_xlfn.XLOOKUP(A864,'Year end 2024'!A:A,'Year end 2024'!E:E,0,0)</f>
        <v>5307.65</v>
      </c>
      <c r="K864" s="14">
        <f t="shared" si="26"/>
        <v>21589.229999999996</v>
      </c>
      <c r="L864" s="14">
        <f t="shared" si="27"/>
        <v>33025.549999999996</v>
      </c>
    </row>
    <row r="865" spans="1:12" ht="35.15" customHeight="1" x14ac:dyDescent="0.4">
      <c r="A865" s="11" t="s">
        <v>1772</v>
      </c>
      <c r="B865" s="11" t="s">
        <v>1773</v>
      </c>
      <c r="C865" s="11" t="s">
        <v>67</v>
      </c>
      <c r="D865" s="11" t="s">
        <v>66</v>
      </c>
      <c r="E865" s="18" t="str">
        <f>_xlfn.XLOOKUP(A865,'Current Month'!A:A,'Current Month'!I:I,"")</f>
        <v/>
      </c>
      <c r="F865" s="21" t="str">
        <f>_xlfn.XLOOKUP(A865,'Prior Month'!A:A,'Prior Month'!I:I,"")</f>
        <v/>
      </c>
      <c r="G865" s="18" t="str">
        <f>_xlfn.XLOOKUP(A865,'Year end 2024'!A:A,'Year end 2024'!I:I,"")</f>
        <v/>
      </c>
      <c r="H865" s="19">
        <f>_xlfn.XLOOKUP(A865,'Current Month'!A:A,'Current Month'!E:E,0,0)</f>
        <v>5739.25</v>
      </c>
      <c r="I865" s="32">
        <f>_xlfn.XLOOKUP(A865,'Prior Month'!A:A,'Prior Month'!E:E,0,0)</f>
        <v>57541.27</v>
      </c>
      <c r="J865" s="32">
        <f>_xlfn.XLOOKUP(A865,'Year end 2024'!A:A,'Year end 2024'!E:E,0,0)</f>
        <v>7118.74</v>
      </c>
      <c r="K865" s="14">
        <f t="shared" si="26"/>
        <v>-51802.02</v>
      </c>
      <c r="L865" s="14">
        <f t="shared" si="27"/>
        <v>-1379.4899999999998</v>
      </c>
    </row>
    <row r="866" spans="1:12" ht="35.15" customHeight="1" x14ac:dyDescent="0.4">
      <c r="A866" s="11" t="s">
        <v>1774</v>
      </c>
      <c r="B866" s="11" t="s">
        <v>1775</v>
      </c>
      <c r="C866" s="11" t="s">
        <v>465</v>
      </c>
      <c r="D866" s="11" t="s">
        <v>464</v>
      </c>
      <c r="E866" s="18">
        <f>_xlfn.XLOOKUP(A866,'Current Month'!A:A,'Current Month'!I:I,"")</f>
        <v>0.52868868120416468</v>
      </c>
      <c r="F866" s="21">
        <f>_xlfn.XLOOKUP(A866,'Prior Month'!A:A,'Prior Month'!I:I,"")</f>
        <v>7.9797737913728614E-2</v>
      </c>
      <c r="G866" s="18">
        <f>_xlfn.XLOOKUP(A866,'Year end 2024'!A:A,'Year end 2024'!I:I,"")</f>
        <v>0.11949385280621606</v>
      </c>
      <c r="H866" s="19">
        <f>_xlfn.XLOOKUP(A866,'Current Month'!A:A,'Current Month'!E:E,0,0)</f>
        <v>890698.2</v>
      </c>
      <c r="I866" s="32">
        <f>_xlfn.XLOOKUP(A866,'Prior Month'!A:A,'Prior Month'!E:E,0,0)</f>
        <v>135875.69</v>
      </c>
      <c r="J866" s="32">
        <f>_xlfn.XLOOKUP(A866,'Year end 2024'!A:A,'Year end 2024'!E:E,0,0)</f>
        <v>214997.11</v>
      </c>
      <c r="K866" s="14">
        <f t="shared" si="26"/>
        <v>754822.51</v>
      </c>
      <c r="L866" s="14">
        <f t="shared" si="27"/>
        <v>675701.09</v>
      </c>
    </row>
    <row r="867" spans="1:12" ht="35.15" customHeight="1" x14ac:dyDescent="0.4">
      <c r="A867" s="11" t="s">
        <v>1776</v>
      </c>
      <c r="B867" s="11" t="s">
        <v>1777</v>
      </c>
      <c r="C867" s="11" t="s">
        <v>213</v>
      </c>
      <c r="D867" s="11" t="s">
        <v>212</v>
      </c>
      <c r="E867" s="18" t="str">
        <f>_xlfn.XLOOKUP(A867,'Current Month'!A:A,'Current Month'!I:I,"")</f>
        <v/>
      </c>
      <c r="F867" s="21">
        <f>_xlfn.XLOOKUP(A867,'Prior Month'!A:A,'Prior Month'!I:I,"")</f>
        <v>2.3506842105263157E-4</v>
      </c>
      <c r="G867" s="18">
        <f>_xlfn.XLOOKUP(A867,'Year end 2024'!A:A,'Year end 2024'!I:I,"")</f>
        <v>3.4774978947368425E-2</v>
      </c>
      <c r="H867" s="19">
        <f>_xlfn.XLOOKUP(A867,'Current Month'!A:A,'Current Month'!E:E,0,0)</f>
        <v>441.63</v>
      </c>
      <c r="I867" s="32">
        <f>_xlfn.XLOOKUP(A867,'Prior Month'!A:A,'Prior Month'!E:E,0,0)</f>
        <v>446.63</v>
      </c>
      <c r="J867" s="32">
        <f>_xlfn.XLOOKUP(A867,'Year end 2024'!A:A,'Year end 2024'!E:E,0,0)</f>
        <v>66072.460000000006</v>
      </c>
      <c r="K867" s="14">
        <f t="shared" si="26"/>
        <v>-5</v>
      </c>
      <c r="L867" s="14">
        <f t="shared" si="27"/>
        <v>-65630.83</v>
      </c>
    </row>
    <row r="868" spans="1:12" ht="35.15" customHeight="1" x14ac:dyDescent="0.4">
      <c r="A868" s="11" t="s">
        <v>1778</v>
      </c>
      <c r="B868" s="11" t="s">
        <v>1779</v>
      </c>
      <c r="C868" s="11" t="s">
        <v>101</v>
      </c>
      <c r="D868" s="11" t="s">
        <v>100</v>
      </c>
      <c r="E868" s="18">
        <f>_xlfn.XLOOKUP(A868,'Current Month'!A:A,'Current Month'!I:I,"")</f>
        <v>3.723892058866405E-2</v>
      </c>
      <c r="F868" s="21">
        <f>_xlfn.XLOOKUP(A868,'Prior Month'!A:A,'Prior Month'!I:I,"")</f>
        <v>0.10295671257900761</v>
      </c>
      <c r="G868" s="18">
        <f>_xlfn.XLOOKUP(A868,'Year end 2024'!A:A,'Year end 2024'!I:I,"")</f>
        <v>5.6508032681044915E-2</v>
      </c>
      <c r="H868" s="19">
        <f>_xlfn.XLOOKUP(A868,'Current Month'!A:A,'Current Month'!E:E,0,0)</f>
        <v>39457.22</v>
      </c>
      <c r="I868" s="32">
        <f>_xlfn.XLOOKUP(A868,'Prior Month'!A:A,'Prior Month'!E:E,0,0)</f>
        <v>109420.37</v>
      </c>
      <c r="J868" s="32">
        <f>_xlfn.XLOOKUP(A868,'Year end 2024'!A:A,'Year end 2024'!E:E,0,0)</f>
        <v>47285.06</v>
      </c>
      <c r="K868" s="14">
        <f t="shared" si="26"/>
        <v>-69963.149999999994</v>
      </c>
      <c r="L868" s="14">
        <f t="shared" si="27"/>
        <v>-7827.8399999999965</v>
      </c>
    </row>
    <row r="869" spans="1:12" ht="35.15" customHeight="1" x14ac:dyDescent="0.4">
      <c r="A869" s="11" t="s">
        <v>1780</v>
      </c>
      <c r="B869" s="11" t="s">
        <v>1781</v>
      </c>
      <c r="C869" s="11" t="s">
        <v>457</v>
      </c>
      <c r="D869" s="11" t="s">
        <v>456</v>
      </c>
      <c r="E869" s="18">
        <f>_xlfn.XLOOKUP(A869,'Current Month'!A:A,'Current Month'!I:I,"")</f>
        <v>0.14472177982308881</v>
      </c>
      <c r="F869" s="21">
        <f>_xlfn.XLOOKUP(A869,'Prior Month'!A:A,'Prior Month'!I:I,"")</f>
        <v>2.7434190443420298E-2</v>
      </c>
      <c r="G869" s="18">
        <f>_xlfn.XLOOKUP(A869,'Year end 2024'!A:A,'Year end 2024'!I:I,"")</f>
        <v>0.13794521739130436</v>
      </c>
      <c r="H869" s="19">
        <f>_xlfn.XLOOKUP(A869,'Current Month'!A:A,'Current Month'!E:E,0,0)</f>
        <v>82748.3</v>
      </c>
      <c r="I869" s="32">
        <f>_xlfn.XLOOKUP(A869,'Prior Month'!A:A,'Prior Month'!E:E,0,0)</f>
        <v>15728.42</v>
      </c>
      <c r="J869" s="32">
        <f>_xlfn.XLOOKUP(A869,'Year end 2024'!A:A,'Year end 2024'!E:E,0,0)</f>
        <v>79318.5</v>
      </c>
      <c r="K869" s="14">
        <f t="shared" si="26"/>
        <v>67019.88</v>
      </c>
      <c r="L869" s="14">
        <f t="shared" si="27"/>
        <v>3429.8000000000029</v>
      </c>
    </row>
    <row r="870" spans="1:12" ht="35.15" customHeight="1" x14ac:dyDescent="0.4">
      <c r="A870" s="11" t="s">
        <v>1782</v>
      </c>
      <c r="B870" s="11" t="s">
        <v>1783</v>
      </c>
      <c r="C870" s="11" t="s">
        <v>11</v>
      </c>
      <c r="D870" s="11" t="s">
        <v>10</v>
      </c>
      <c r="E870" s="18">
        <f>_xlfn.XLOOKUP(A870,'Current Month'!A:A,'Current Month'!I:I,"")</f>
        <v>0.42322442819726602</v>
      </c>
      <c r="F870" s="21">
        <f>_xlfn.XLOOKUP(A870,'Prior Month'!A:A,'Prior Month'!I:I,"")</f>
        <v>0.38071345408361285</v>
      </c>
      <c r="G870" s="18">
        <f>_xlfn.XLOOKUP(A870,'Year end 2024'!A:A,'Year end 2024'!I:I,"")</f>
        <v>0.36318733374448181</v>
      </c>
      <c r="H870" s="19">
        <f>_xlfn.XLOOKUP(A870,'Current Month'!A:A,'Current Month'!E:E,0,0)</f>
        <v>4144955.89</v>
      </c>
      <c r="I870" s="32">
        <f>_xlfn.XLOOKUP(A870,'Prior Month'!A:A,'Prior Month'!E:E,0,0)</f>
        <v>3735526.33</v>
      </c>
      <c r="J870" s="32">
        <f>_xlfn.XLOOKUP(A870,'Year end 2024'!A:A,'Year end 2024'!E:E,0,0)</f>
        <v>1896042.56</v>
      </c>
      <c r="K870" s="14">
        <f t="shared" si="26"/>
        <v>409429.56000000006</v>
      </c>
      <c r="L870" s="14">
        <f t="shared" si="27"/>
        <v>2248913.33</v>
      </c>
    </row>
    <row r="871" spans="1:12" ht="35.15" customHeight="1" x14ac:dyDescent="0.4">
      <c r="A871" s="11" t="s">
        <v>1784</v>
      </c>
      <c r="B871" s="11" t="s">
        <v>1785</v>
      </c>
      <c r="C871" s="11" t="s">
        <v>253</v>
      </c>
      <c r="D871" s="11" t="s">
        <v>252</v>
      </c>
      <c r="E871" s="18">
        <f>_xlfn.XLOOKUP(A871,'Current Month'!A:A,'Current Month'!I:I,"")</f>
        <v>2.8750118747338134E-3</v>
      </c>
      <c r="F871" s="21">
        <f>_xlfn.XLOOKUP(A871,'Prior Month'!A:A,'Prior Month'!I:I,"")</f>
        <v>2.0465964719912342E-3</v>
      </c>
      <c r="G871" s="18">
        <f>_xlfn.XLOOKUP(A871,'Year end 2024'!A:A,'Year end 2024'!I:I,"")</f>
        <v>3.4048449341431788E-3</v>
      </c>
      <c r="H871" s="19">
        <f>_xlfn.XLOOKUP(A871,'Current Month'!A:A,'Current Month'!E:E,0,0)</f>
        <v>3251.56</v>
      </c>
      <c r="I871" s="32">
        <f>_xlfn.XLOOKUP(A871,'Prior Month'!A:A,'Prior Month'!E:E,0,0)</f>
        <v>2320.41</v>
      </c>
      <c r="J871" s="32">
        <f>_xlfn.XLOOKUP(A871,'Year end 2024'!A:A,'Year end 2024'!E:E,0,0)</f>
        <v>3940.06</v>
      </c>
      <c r="K871" s="14">
        <f t="shared" si="26"/>
        <v>931.15000000000009</v>
      </c>
      <c r="L871" s="14">
        <f t="shared" si="27"/>
        <v>-688.5</v>
      </c>
    </row>
    <row r="872" spans="1:12" ht="35.15" customHeight="1" x14ac:dyDescent="0.4">
      <c r="A872" s="11" t="s">
        <v>1786</v>
      </c>
      <c r="B872" s="11" t="s">
        <v>1787</v>
      </c>
      <c r="C872" s="11" t="s">
        <v>19</v>
      </c>
      <c r="D872" s="11" t="s">
        <v>18</v>
      </c>
      <c r="E872" s="18">
        <f>_xlfn.XLOOKUP(A872,'Current Month'!A:A,'Current Month'!I:I,"")</f>
        <v>2.6458876581823752E-2</v>
      </c>
      <c r="F872" s="21">
        <f>_xlfn.XLOOKUP(A872,'Prior Month'!A:A,'Prior Month'!I:I,"")</f>
        <v>2.1032180120874083E-2</v>
      </c>
      <c r="G872" s="18">
        <f>_xlfn.XLOOKUP(A872,'Year end 2024'!A:A,'Year end 2024'!I:I,"")</f>
        <v>4.2681413789653393E-2</v>
      </c>
      <c r="H872" s="19">
        <f>_xlfn.XLOOKUP(A872,'Current Month'!A:A,'Current Month'!E:E,0,0)</f>
        <v>1868.95</v>
      </c>
      <c r="I872" s="32">
        <f>_xlfn.XLOOKUP(A872,'Prior Month'!A:A,'Prior Month'!E:E,0,0)</f>
        <v>1506.22</v>
      </c>
      <c r="J872" s="32">
        <f>_xlfn.XLOOKUP(A872,'Year end 2024'!A:A,'Year end 2024'!E:E,0,0)</f>
        <v>3216.52</v>
      </c>
      <c r="K872" s="14">
        <f t="shared" si="26"/>
        <v>362.73</v>
      </c>
      <c r="L872" s="14">
        <f t="shared" si="27"/>
        <v>-1347.57</v>
      </c>
    </row>
    <row r="873" spans="1:12" ht="35.15" customHeight="1" x14ac:dyDescent="0.4">
      <c r="A873" s="11" t="s">
        <v>1788</v>
      </c>
      <c r="B873" s="11" t="s">
        <v>1789</v>
      </c>
      <c r="C873" s="11" t="s">
        <v>259</v>
      </c>
      <c r="D873" s="11" t="s">
        <v>258</v>
      </c>
      <c r="E873" s="18" t="str">
        <f>_xlfn.XLOOKUP(A873,'Current Month'!A:A,'Current Month'!I:I,"")</f>
        <v/>
      </c>
      <c r="F873" s="21" t="str">
        <f>_xlfn.XLOOKUP(A873,'Prior Month'!A:A,'Prior Month'!I:I,"")</f>
        <v/>
      </c>
      <c r="G873" s="18">
        <f>_xlfn.XLOOKUP(A873,'Year end 2024'!A:A,'Year end 2024'!I:I,"")</f>
        <v>0.19759557142857143</v>
      </c>
      <c r="H873" s="19">
        <f>_xlfn.XLOOKUP(A873,'Current Month'!A:A,'Current Month'!E:E,0,0)</f>
        <v>3081.27</v>
      </c>
      <c r="I873" s="32">
        <f>_xlfn.XLOOKUP(A873,'Prior Month'!A:A,'Prior Month'!E:E,0,0)</f>
        <v>3168.34</v>
      </c>
      <c r="J873" s="32">
        <f>_xlfn.XLOOKUP(A873,'Year end 2024'!A:A,'Year end 2024'!E:E,0,0)</f>
        <v>69158.45</v>
      </c>
      <c r="K873" s="14">
        <f t="shared" si="26"/>
        <v>-87.070000000000164</v>
      </c>
      <c r="L873" s="14">
        <f t="shared" si="27"/>
        <v>-66077.179999999993</v>
      </c>
    </row>
    <row r="874" spans="1:12" ht="35.15" customHeight="1" x14ac:dyDescent="0.4">
      <c r="A874" s="11" t="s">
        <v>1790</v>
      </c>
      <c r="B874" s="11" t="s">
        <v>1791</v>
      </c>
      <c r="C874" s="11" t="s">
        <v>213</v>
      </c>
      <c r="D874" s="11" t="s">
        <v>212</v>
      </c>
      <c r="E874" s="18">
        <f>_xlfn.XLOOKUP(A874,'Current Month'!A:A,'Current Month'!I:I,"")</f>
        <v>5.2844996729888814E-2</v>
      </c>
      <c r="F874" s="21">
        <f>_xlfn.XLOOKUP(A874,'Prior Month'!A:A,'Prior Month'!I:I,"")</f>
        <v>8.4315867719018112E-2</v>
      </c>
      <c r="G874" s="18">
        <f>_xlfn.XLOOKUP(A874,'Year end 2024'!A:A,'Year end 2024'!I:I,"")</f>
        <v>1.5918861809657316E-2</v>
      </c>
      <c r="H874" s="19">
        <f>_xlfn.XLOOKUP(A874,'Current Month'!A:A,'Current Month'!E:E,0,0)</f>
        <v>3636</v>
      </c>
      <c r="I874" s="32">
        <f>_xlfn.XLOOKUP(A874,'Prior Month'!A:A,'Prior Month'!E:E,0,0)</f>
        <v>5818.95</v>
      </c>
      <c r="J874" s="32">
        <f>_xlfn.XLOOKUP(A874,'Year end 2024'!A:A,'Year end 2024'!E:E,0,0)</f>
        <v>1154</v>
      </c>
      <c r="K874" s="14">
        <f t="shared" si="26"/>
        <v>-2182.9499999999998</v>
      </c>
      <c r="L874" s="14">
        <f t="shared" si="27"/>
        <v>2482</v>
      </c>
    </row>
    <row r="875" spans="1:12" ht="35.15" customHeight="1" x14ac:dyDescent="0.4">
      <c r="A875" s="11" t="s">
        <v>1792</v>
      </c>
      <c r="B875" s="11" t="s">
        <v>1793</v>
      </c>
      <c r="C875" s="11" t="s">
        <v>73</v>
      </c>
      <c r="D875" s="11" t="s">
        <v>72</v>
      </c>
      <c r="E875" s="18">
        <f>_xlfn.XLOOKUP(A875,'Current Month'!A:A,'Current Month'!I:I,"")</f>
        <v>0.15890276331946998</v>
      </c>
      <c r="F875" s="21">
        <f>_xlfn.XLOOKUP(A875,'Prior Month'!A:A,'Prior Month'!I:I,"")</f>
        <v>0.25322336758052194</v>
      </c>
      <c r="G875" s="18">
        <f>_xlfn.XLOOKUP(A875,'Year end 2024'!A:A,'Year end 2024'!I:I,"")</f>
        <v>3.8388920211112648E-2</v>
      </c>
      <c r="H875" s="19">
        <f>_xlfn.XLOOKUP(A875,'Current Month'!A:A,'Current Month'!E:E,0,0)</f>
        <v>14328.75</v>
      </c>
      <c r="I875" s="32">
        <f>_xlfn.XLOOKUP(A875,'Prior Month'!A:A,'Prior Month'!E:E,0,0)</f>
        <v>23190.51</v>
      </c>
      <c r="J875" s="32">
        <f>_xlfn.XLOOKUP(A875,'Year end 2024'!A:A,'Year end 2024'!E:E,0,0)</f>
        <v>3981.88</v>
      </c>
      <c r="K875" s="14">
        <f t="shared" si="26"/>
        <v>-8861.7599999999984</v>
      </c>
      <c r="L875" s="14">
        <f t="shared" si="27"/>
        <v>10346.869999999999</v>
      </c>
    </row>
    <row r="876" spans="1:12" ht="35.15" customHeight="1" x14ac:dyDescent="0.4">
      <c r="A876" s="11" t="s">
        <v>1794</v>
      </c>
      <c r="B876" s="11" t="s">
        <v>1795</v>
      </c>
      <c r="C876" s="11" t="s">
        <v>487</v>
      </c>
      <c r="D876" s="11" t="s">
        <v>486</v>
      </c>
      <c r="E876" s="18">
        <f>_xlfn.XLOOKUP(A876,'Current Month'!A:A,'Current Month'!I:I,"")</f>
        <v>0.31603793493288601</v>
      </c>
      <c r="F876" s="21">
        <f>_xlfn.XLOOKUP(A876,'Prior Month'!A:A,'Prior Month'!I:I,"")</f>
        <v>0.2063206822835226</v>
      </c>
      <c r="G876" s="18">
        <f>_xlfn.XLOOKUP(A876,'Year end 2024'!A:A,'Year end 2024'!I:I,"")</f>
        <v>0.24628025424219907</v>
      </c>
      <c r="H876" s="19">
        <f>_xlfn.XLOOKUP(A876,'Current Month'!A:A,'Current Month'!E:E,0,0)</f>
        <v>1388354.98</v>
      </c>
      <c r="I876" s="32">
        <f>_xlfn.XLOOKUP(A876,'Prior Month'!A:A,'Prior Month'!E:E,0,0)</f>
        <v>921734.25</v>
      </c>
      <c r="J876" s="32">
        <f>_xlfn.XLOOKUP(A876,'Year end 2024'!A:A,'Year end 2024'!E:E,0,0)</f>
        <v>928873.05</v>
      </c>
      <c r="K876" s="14">
        <f t="shared" si="26"/>
        <v>466620.73</v>
      </c>
      <c r="L876" s="14">
        <f t="shared" si="27"/>
        <v>459481.92999999993</v>
      </c>
    </row>
    <row r="877" spans="1:12" ht="35.15" customHeight="1" x14ac:dyDescent="0.4">
      <c r="A877" s="11" t="s">
        <v>1796</v>
      </c>
      <c r="B877" s="11" t="s">
        <v>1797</v>
      </c>
      <c r="C877" s="11" t="s">
        <v>29</v>
      </c>
      <c r="D877" s="11" t="s">
        <v>28</v>
      </c>
      <c r="E877" s="18">
        <f>_xlfn.XLOOKUP(A877,'Current Month'!A:A,'Current Month'!I:I,"")</f>
        <v>9.7464923076923074E-2</v>
      </c>
      <c r="F877" s="21">
        <f>_xlfn.XLOOKUP(A877,'Prior Month'!A:A,'Prior Month'!I:I,"")</f>
        <v>0.14361876923076922</v>
      </c>
      <c r="G877" s="18">
        <f>_xlfn.XLOOKUP(A877,'Year end 2024'!A:A,'Year end 2024'!I:I,"")</f>
        <v>7.7564923076923087E-2</v>
      </c>
      <c r="H877" s="19">
        <f>_xlfn.XLOOKUP(A877,'Current Month'!A:A,'Current Month'!E:E,0,0)</f>
        <v>3167.61</v>
      </c>
      <c r="I877" s="32">
        <f>_xlfn.XLOOKUP(A877,'Prior Month'!A:A,'Prior Month'!E:E,0,0)</f>
        <v>4667.6099999999997</v>
      </c>
      <c r="J877" s="32">
        <f>_xlfn.XLOOKUP(A877,'Year end 2024'!A:A,'Year end 2024'!E:E,0,0)</f>
        <v>2520.86</v>
      </c>
      <c r="K877" s="14">
        <f t="shared" si="26"/>
        <v>-1499.9999999999995</v>
      </c>
      <c r="L877" s="14">
        <f t="shared" si="27"/>
        <v>646.75</v>
      </c>
    </row>
    <row r="878" spans="1:12" ht="35.15" customHeight="1" x14ac:dyDescent="0.4">
      <c r="A878" s="11" t="s">
        <v>1798</v>
      </c>
      <c r="B878" s="11" t="s">
        <v>1799</v>
      </c>
      <c r="C878" s="11" t="s">
        <v>259</v>
      </c>
      <c r="D878" s="11" t="s">
        <v>258</v>
      </c>
      <c r="E878" s="18">
        <f>_xlfn.XLOOKUP(A878,'Current Month'!A:A,'Current Month'!I:I,"")</f>
        <v>0.24293209788093933</v>
      </c>
      <c r="F878" s="21">
        <f>_xlfn.XLOOKUP(A878,'Prior Month'!A:A,'Prior Month'!I:I,"")</f>
        <v>0.23189336633483715</v>
      </c>
      <c r="G878" s="18">
        <f>_xlfn.XLOOKUP(A878,'Year end 2024'!A:A,'Year end 2024'!I:I,"")</f>
        <v>0.1671736021082374</v>
      </c>
      <c r="H878" s="19">
        <f>_xlfn.XLOOKUP(A878,'Current Month'!A:A,'Current Month'!E:E,0,0)</f>
        <v>183358.96</v>
      </c>
      <c r="I878" s="32">
        <f>_xlfn.XLOOKUP(A878,'Prior Month'!A:A,'Prior Month'!E:E,0,0)</f>
        <v>175852.42</v>
      </c>
      <c r="J878" s="32">
        <f>_xlfn.XLOOKUP(A878,'Year end 2024'!A:A,'Year end 2024'!E:E,0,0)</f>
        <v>131553.03</v>
      </c>
      <c r="K878" s="14">
        <f t="shared" si="26"/>
        <v>7506.539999999979</v>
      </c>
      <c r="L878" s="14">
        <f t="shared" si="27"/>
        <v>51805.929999999993</v>
      </c>
    </row>
    <row r="879" spans="1:12" ht="35.15" customHeight="1" x14ac:dyDescent="0.4">
      <c r="A879" s="11" t="s">
        <v>1800</v>
      </c>
      <c r="B879" s="11" t="s">
        <v>1801</v>
      </c>
      <c r="C879" s="11" t="s">
        <v>385</v>
      </c>
      <c r="D879" s="11" t="s">
        <v>384</v>
      </c>
      <c r="E879" s="18">
        <f>_xlfn.XLOOKUP(A879,'Current Month'!A:A,'Current Month'!I:I,"")</f>
        <v>0</v>
      </c>
      <c r="F879" s="21">
        <f>_xlfn.XLOOKUP(A879,'Prior Month'!A:A,'Prior Month'!I:I,"")</f>
        <v>0</v>
      </c>
      <c r="G879" s="18">
        <f>_xlfn.XLOOKUP(A879,'Year end 2024'!A:A,'Year end 2024'!I:I,"")</f>
        <v>0</v>
      </c>
      <c r="H879" s="19">
        <f>_xlfn.XLOOKUP(A879,'Current Month'!A:A,'Current Month'!E:E,0,0)</f>
        <v>0</v>
      </c>
      <c r="I879" s="32">
        <f>_xlfn.XLOOKUP(A879,'Prior Month'!A:A,'Prior Month'!E:E,0,0)</f>
        <v>0</v>
      </c>
      <c r="J879" s="32">
        <f>_xlfn.XLOOKUP(A879,'Year end 2024'!A:A,'Year end 2024'!E:E,0,0)</f>
        <v>0</v>
      </c>
      <c r="K879" s="14">
        <f t="shared" si="26"/>
        <v>0</v>
      </c>
      <c r="L879" s="14">
        <f t="shared" si="27"/>
        <v>0</v>
      </c>
    </row>
    <row r="880" spans="1:12" ht="35.15" customHeight="1" x14ac:dyDescent="0.4">
      <c r="A880" s="11" t="s">
        <v>1802</v>
      </c>
      <c r="B880" s="11" t="s">
        <v>1803</v>
      </c>
      <c r="C880" s="11" t="s">
        <v>259</v>
      </c>
      <c r="D880" s="11" t="s">
        <v>258</v>
      </c>
      <c r="E880" s="18">
        <f>_xlfn.XLOOKUP(A880,'Current Month'!A:A,'Current Month'!I:I,"")</f>
        <v>0</v>
      </c>
      <c r="F880" s="21">
        <f>_xlfn.XLOOKUP(A880,'Prior Month'!A:A,'Prior Month'!I:I,"")</f>
        <v>0</v>
      </c>
      <c r="G880" s="18">
        <f>_xlfn.XLOOKUP(A880,'Year end 2024'!A:A,'Year end 2024'!I:I,"")</f>
        <v>0</v>
      </c>
      <c r="H880" s="19">
        <f>_xlfn.XLOOKUP(A880,'Current Month'!A:A,'Current Month'!E:E,0,0)</f>
        <v>0</v>
      </c>
      <c r="I880" s="32">
        <f>_xlfn.XLOOKUP(A880,'Prior Month'!A:A,'Prior Month'!E:E,0,0)</f>
        <v>0</v>
      </c>
      <c r="J880" s="32">
        <f>_xlfn.XLOOKUP(A880,'Year end 2024'!A:A,'Year end 2024'!E:E,0,0)</f>
        <v>0</v>
      </c>
      <c r="K880" s="14">
        <f t="shared" si="26"/>
        <v>0</v>
      </c>
      <c r="L880" s="14">
        <f t="shared" si="27"/>
        <v>0</v>
      </c>
    </row>
    <row r="881" spans="1:12" ht="35.15" customHeight="1" x14ac:dyDescent="0.4">
      <c r="A881" s="11" t="s">
        <v>1804</v>
      </c>
      <c r="B881" s="11" t="s">
        <v>1805</v>
      </c>
      <c r="C881" s="11" t="s">
        <v>253</v>
      </c>
      <c r="D881" s="11" t="s">
        <v>252</v>
      </c>
      <c r="E881" s="18">
        <f>_xlfn.XLOOKUP(A881,'Current Month'!A:A,'Current Month'!I:I,"")</f>
        <v>2.9707007184277656E-2</v>
      </c>
      <c r="F881" s="21">
        <f>_xlfn.XLOOKUP(A881,'Prior Month'!A:A,'Prior Month'!I:I,"")</f>
        <v>1.1951853154531024E-2</v>
      </c>
      <c r="G881" s="18">
        <f>_xlfn.XLOOKUP(A881,'Year end 2024'!A:A,'Year end 2024'!I:I,"")</f>
        <v>3.904638594848122E-2</v>
      </c>
      <c r="H881" s="19">
        <f>_xlfn.XLOOKUP(A881,'Current Month'!A:A,'Current Month'!E:E,0,0)</f>
        <v>34274.21</v>
      </c>
      <c r="I881" s="32">
        <f>_xlfn.XLOOKUP(A881,'Prior Month'!A:A,'Prior Month'!E:E,0,0)</f>
        <v>13828.16</v>
      </c>
      <c r="J881" s="32">
        <f>_xlfn.XLOOKUP(A881,'Year end 2024'!A:A,'Year end 2024'!E:E,0,0)</f>
        <v>46103.39</v>
      </c>
      <c r="K881" s="14">
        <f t="shared" si="26"/>
        <v>20446.05</v>
      </c>
      <c r="L881" s="14">
        <f t="shared" si="27"/>
        <v>-11829.18</v>
      </c>
    </row>
    <row r="882" spans="1:12" ht="35.15" customHeight="1" x14ac:dyDescent="0.4">
      <c r="A882" s="11" t="s">
        <v>1806</v>
      </c>
      <c r="B882" s="11" t="s">
        <v>1807</v>
      </c>
      <c r="C882" s="11" t="s">
        <v>77</v>
      </c>
      <c r="D882" s="11" t="s">
        <v>76</v>
      </c>
      <c r="E882" s="18" t="str">
        <f>_xlfn.XLOOKUP(A882,'Current Month'!A:A,'Current Month'!I:I,"")</f>
        <v/>
      </c>
      <c r="F882" s="21" t="str">
        <f>_xlfn.XLOOKUP(A882,'Prior Month'!A:A,'Prior Month'!I:I,"")</f>
        <v/>
      </c>
      <c r="G882" s="18" t="str">
        <f>_xlfn.XLOOKUP(A882,'Year end 2024'!A:A,'Year end 2024'!I:I,"")</f>
        <v/>
      </c>
      <c r="H882" s="19">
        <f>_xlfn.XLOOKUP(A882,'Current Month'!A:A,'Current Month'!E:E,0,0)</f>
        <v>155951.42000000001</v>
      </c>
      <c r="I882" s="32">
        <f>_xlfn.XLOOKUP(A882,'Prior Month'!A:A,'Prior Month'!E:E,0,0)</f>
        <v>128497.86</v>
      </c>
      <c r="J882" s="32">
        <f>_xlfn.XLOOKUP(A882,'Year end 2024'!A:A,'Year end 2024'!E:E,0,0)</f>
        <v>272829.19</v>
      </c>
      <c r="K882" s="14">
        <f t="shared" si="26"/>
        <v>27453.560000000012</v>
      </c>
      <c r="L882" s="14">
        <f t="shared" si="27"/>
        <v>-116877.76999999999</v>
      </c>
    </row>
    <row r="883" spans="1:12" ht="35.15" customHeight="1" x14ac:dyDescent="0.4">
      <c r="A883" s="11" t="s">
        <v>1808</v>
      </c>
      <c r="B883" s="11" t="s">
        <v>1809</v>
      </c>
      <c r="C883" s="11" t="s">
        <v>213</v>
      </c>
      <c r="D883" s="11" t="s">
        <v>212</v>
      </c>
      <c r="E883" s="18">
        <f>_xlfn.XLOOKUP(A883,'Current Month'!A:A,'Current Month'!I:I,"")</f>
        <v>1.3258639629480372E-4</v>
      </c>
      <c r="F883" s="21">
        <f>_xlfn.XLOOKUP(A883,'Prior Month'!A:A,'Prior Month'!I:I,"")</f>
        <v>1.3890003421360389E-4</v>
      </c>
      <c r="G883" s="18">
        <f>_xlfn.XLOOKUP(A883,'Year end 2024'!A:A,'Year end 2024'!I:I,"")</f>
        <v>1.9377724023554609E-4</v>
      </c>
      <c r="H883" s="19">
        <f>_xlfn.XLOOKUP(A883,'Current Month'!A:A,'Current Month'!E:E,0,0)</f>
        <v>105</v>
      </c>
      <c r="I883" s="32">
        <f>_xlfn.XLOOKUP(A883,'Prior Month'!A:A,'Prior Month'!E:E,0,0)</f>
        <v>110</v>
      </c>
      <c r="J883" s="32">
        <f>_xlfn.XLOOKUP(A883,'Year end 2024'!A:A,'Year end 2024'!E:E,0,0)</f>
        <v>155</v>
      </c>
      <c r="K883" s="14">
        <f t="shared" si="26"/>
        <v>-5</v>
      </c>
      <c r="L883" s="14">
        <f t="shared" si="27"/>
        <v>-50</v>
      </c>
    </row>
    <row r="884" spans="1:12" ht="35.15" customHeight="1" x14ac:dyDescent="0.4">
      <c r="A884" s="11" t="s">
        <v>1810</v>
      </c>
      <c r="B884" s="11" t="s">
        <v>1811</v>
      </c>
      <c r="C884" s="11" t="s">
        <v>33</v>
      </c>
      <c r="D884" s="11" t="s">
        <v>32</v>
      </c>
      <c r="E884" s="18">
        <f>_xlfn.XLOOKUP(A884,'Current Month'!A:A,'Current Month'!I:I,"")</f>
        <v>1.2026666666666666E-3</v>
      </c>
      <c r="F884" s="21">
        <f>_xlfn.XLOOKUP(A884,'Prior Month'!A:A,'Prior Month'!I:I,"")</f>
        <v>1.5866666666666666E-4</v>
      </c>
      <c r="G884" s="18">
        <f>_xlfn.XLOOKUP(A884,'Year end 2024'!A:A,'Year end 2024'!I:I,"")</f>
        <v>4.4427999999999995E-2</v>
      </c>
      <c r="H884" s="19">
        <f>_xlfn.XLOOKUP(A884,'Current Month'!A:A,'Current Month'!E:E,0,0)</f>
        <v>18.04</v>
      </c>
      <c r="I884" s="32">
        <f>_xlfn.XLOOKUP(A884,'Prior Month'!A:A,'Prior Month'!E:E,0,0)</f>
        <v>2.38</v>
      </c>
      <c r="J884" s="32">
        <f>_xlfn.XLOOKUP(A884,'Year end 2024'!A:A,'Year end 2024'!E:E,0,0)</f>
        <v>666.42</v>
      </c>
      <c r="K884" s="14">
        <f t="shared" si="26"/>
        <v>15.66</v>
      </c>
      <c r="L884" s="14">
        <f t="shared" si="27"/>
        <v>-648.38</v>
      </c>
    </row>
    <row r="885" spans="1:12" ht="35.15" customHeight="1" x14ac:dyDescent="0.4">
      <c r="A885" s="11" t="s">
        <v>1812</v>
      </c>
      <c r="B885" s="11" t="s">
        <v>1813</v>
      </c>
      <c r="C885" s="11" t="s">
        <v>77</v>
      </c>
      <c r="D885" s="11" t="s">
        <v>76</v>
      </c>
      <c r="E885" s="18" t="str">
        <f>_xlfn.XLOOKUP(A885,'Current Month'!A:A,'Current Month'!I:I,"")</f>
        <v/>
      </c>
      <c r="F885" s="21" t="str">
        <f>_xlfn.XLOOKUP(A885,'Prior Month'!A:A,'Prior Month'!I:I,"")</f>
        <v/>
      </c>
      <c r="G885" s="18">
        <f>_xlfn.XLOOKUP(A885,'Year end 2024'!A:A,'Year end 2024'!I:I,"")</f>
        <v>1.7057440404715414</v>
      </c>
      <c r="H885" s="19">
        <f>_xlfn.XLOOKUP(A885,'Current Month'!A:A,'Current Month'!E:E,0,0)</f>
        <v>57434.75</v>
      </c>
      <c r="I885" s="32">
        <f>_xlfn.XLOOKUP(A885,'Prior Month'!A:A,'Prior Month'!E:E,0,0)</f>
        <v>23549.3</v>
      </c>
      <c r="J885" s="32">
        <f>_xlfn.XLOOKUP(A885,'Year end 2024'!A:A,'Year end 2024'!E:E,0,0)</f>
        <v>26137.73</v>
      </c>
      <c r="K885" s="14">
        <f t="shared" si="26"/>
        <v>33885.449999999997</v>
      </c>
      <c r="L885" s="14">
        <f t="shared" si="27"/>
        <v>31297.02</v>
      </c>
    </row>
    <row r="886" spans="1:12" ht="35.15" customHeight="1" x14ac:dyDescent="0.4">
      <c r="A886" s="11" t="s">
        <v>1814</v>
      </c>
      <c r="B886" s="11" t="s">
        <v>1815</v>
      </c>
      <c r="C886" s="11" t="s">
        <v>259</v>
      </c>
      <c r="D886" s="11" t="s">
        <v>258</v>
      </c>
      <c r="E886" s="18">
        <f>_xlfn.XLOOKUP(A886,'Current Month'!A:A,'Current Month'!I:I,"")</f>
        <v>1.1647016504087323E-3</v>
      </c>
      <c r="F886" s="21">
        <f>_xlfn.XLOOKUP(A886,'Prior Month'!A:A,'Prior Month'!I:I,"")</f>
        <v>1.162811428725081E-3</v>
      </c>
      <c r="G886" s="18">
        <f>_xlfn.XLOOKUP(A886,'Year end 2024'!A:A,'Year end 2024'!I:I,"")</f>
        <v>0</v>
      </c>
      <c r="H886" s="19">
        <f>_xlfn.XLOOKUP(A886,'Current Month'!A:A,'Current Month'!E:E,0,0)</f>
        <v>636.55999999999995</v>
      </c>
      <c r="I886" s="32">
        <f>_xlfn.XLOOKUP(A886,'Prior Month'!A:A,'Prior Month'!E:E,0,0)</f>
        <v>636.55999999999995</v>
      </c>
      <c r="J886" s="32">
        <f>_xlfn.XLOOKUP(A886,'Year end 2024'!A:A,'Year end 2024'!E:E,0,0)</f>
        <v>0</v>
      </c>
      <c r="K886" s="14">
        <f t="shared" si="26"/>
        <v>0</v>
      </c>
      <c r="L886" s="14">
        <f t="shared" si="27"/>
        <v>636.55999999999995</v>
      </c>
    </row>
    <row r="887" spans="1:12" ht="35.15" customHeight="1" x14ac:dyDescent="0.4">
      <c r="A887" s="11" t="s">
        <v>1816</v>
      </c>
      <c r="B887" s="11" t="s">
        <v>1817</v>
      </c>
      <c r="C887" s="11" t="s">
        <v>73</v>
      </c>
      <c r="D887" s="11" t="s">
        <v>72</v>
      </c>
      <c r="E887" s="18" t="str">
        <f>_xlfn.XLOOKUP(A887,'Current Month'!A:A,'Current Month'!I:I,"")</f>
        <v/>
      </c>
      <c r="F887" s="21" t="str">
        <f>_xlfn.XLOOKUP(A887,'Prior Month'!A:A,'Prior Month'!I:I,"")</f>
        <v/>
      </c>
      <c r="G887" s="18" t="str">
        <f>_xlfn.XLOOKUP(A887,'Year end 2024'!A:A,'Year end 2024'!I:I,"")</f>
        <v/>
      </c>
      <c r="H887" s="19">
        <f>_xlfn.XLOOKUP(A887,'Current Month'!A:A,'Current Month'!E:E,0,0)</f>
        <v>586954.99</v>
      </c>
      <c r="I887" s="32">
        <f>_xlfn.XLOOKUP(A887,'Prior Month'!A:A,'Prior Month'!E:E,0,0)</f>
        <v>585062.66</v>
      </c>
      <c r="J887" s="32">
        <f>_xlfn.XLOOKUP(A887,'Year end 2024'!A:A,'Year end 2024'!E:E,0,0)</f>
        <v>762872.02</v>
      </c>
      <c r="K887" s="14">
        <f t="shared" si="26"/>
        <v>1892.3299999999581</v>
      </c>
      <c r="L887" s="14">
        <f t="shared" si="27"/>
        <v>-175917.03000000003</v>
      </c>
    </row>
    <row r="888" spans="1:12" ht="35.15" customHeight="1" x14ac:dyDescent="0.4">
      <c r="A888" s="11" t="s">
        <v>1818</v>
      </c>
      <c r="B888" s="11" t="s">
        <v>1819</v>
      </c>
      <c r="C888" s="11" t="s">
        <v>57</v>
      </c>
      <c r="D888" s="11" t="s">
        <v>56</v>
      </c>
      <c r="E888" s="18">
        <f>_xlfn.XLOOKUP(A888,'Current Month'!A:A,'Current Month'!I:I,"")</f>
        <v>2.0913764044943821E-2</v>
      </c>
      <c r="F888" s="21">
        <f>_xlfn.XLOOKUP(A888,'Prior Month'!A:A,'Prior Month'!I:I,"")</f>
        <v>1.2025842696629213E-2</v>
      </c>
      <c r="G888" s="18">
        <f>_xlfn.XLOOKUP(A888,'Year end 2024'!A:A,'Year end 2024'!I:I,"")</f>
        <v>2.6109269662921347E-2</v>
      </c>
      <c r="H888" s="19">
        <f>_xlfn.XLOOKUP(A888,'Current Month'!A:A,'Current Month'!E:E,0,0)</f>
        <v>1489.06</v>
      </c>
      <c r="I888" s="32">
        <f>_xlfn.XLOOKUP(A888,'Prior Month'!A:A,'Prior Month'!E:E,0,0)</f>
        <v>856.24</v>
      </c>
      <c r="J888" s="32">
        <f>_xlfn.XLOOKUP(A888,'Year end 2024'!A:A,'Year end 2024'!E:E,0,0)</f>
        <v>1858.98</v>
      </c>
      <c r="K888" s="14">
        <f t="shared" ref="K888:K951" si="28">IFERROR(SUM(H888-I888),H888)</f>
        <v>632.81999999999994</v>
      </c>
      <c r="L888" s="14">
        <f t="shared" ref="L888:L951" si="29">IFERROR(SUM(H888-J888),H888)</f>
        <v>-369.92000000000007</v>
      </c>
    </row>
    <row r="889" spans="1:12" ht="35.15" customHeight="1" x14ac:dyDescent="0.4">
      <c r="A889" s="11" t="s">
        <v>1820</v>
      </c>
      <c r="B889" s="11" t="s">
        <v>1821</v>
      </c>
      <c r="C889" s="11" t="s">
        <v>487</v>
      </c>
      <c r="D889" s="11" t="s">
        <v>486</v>
      </c>
      <c r="E889" s="18">
        <f>_xlfn.XLOOKUP(A889,'Current Month'!A:A,'Current Month'!I:I,"")</f>
        <v>2.0815635107525633E-2</v>
      </c>
      <c r="F889" s="21">
        <f>_xlfn.XLOOKUP(A889,'Prior Month'!A:A,'Prior Month'!I:I,"")</f>
        <v>4.8588912799401494E-2</v>
      </c>
      <c r="G889" s="18">
        <f>_xlfn.XLOOKUP(A889,'Year end 2024'!A:A,'Year end 2024'!I:I,"")</f>
        <v>3.4150828843826191E-2</v>
      </c>
      <c r="H889" s="19">
        <f>_xlfn.XLOOKUP(A889,'Current Month'!A:A,'Current Month'!E:E,0,0)</f>
        <v>70745.95</v>
      </c>
      <c r="I889" s="32">
        <f>_xlfn.XLOOKUP(A889,'Prior Month'!A:A,'Prior Month'!E:E,0,0)</f>
        <v>166462.06</v>
      </c>
      <c r="J889" s="32">
        <f>_xlfn.XLOOKUP(A889,'Year end 2024'!A:A,'Year end 2024'!E:E,0,0)</f>
        <v>124657.49</v>
      </c>
      <c r="K889" s="14">
        <f t="shared" si="28"/>
        <v>-95716.11</v>
      </c>
      <c r="L889" s="14">
        <f t="shared" si="29"/>
        <v>-53911.540000000008</v>
      </c>
    </row>
    <row r="890" spans="1:12" ht="35.15" customHeight="1" x14ac:dyDescent="0.4">
      <c r="A890" s="11" t="s">
        <v>1822</v>
      </c>
      <c r="B890" s="11" t="s">
        <v>1823</v>
      </c>
      <c r="C890" s="11" t="s">
        <v>259</v>
      </c>
      <c r="D890" s="11" t="s">
        <v>258</v>
      </c>
      <c r="E890" s="18">
        <f>_xlfn.XLOOKUP(A890,'Current Month'!A:A,'Current Month'!I:I,"")</f>
        <v>2.5185208555051838E-2</v>
      </c>
      <c r="F890" s="21">
        <f>_xlfn.XLOOKUP(A890,'Prior Month'!A:A,'Prior Month'!I:I,"")</f>
        <v>1.8718608468136881E-2</v>
      </c>
      <c r="G890" s="18">
        <f>_xlfn.XLOOKUP(A890,'Year end 2024'!A:A,'Year end 2024'!I:I,"")</f>
        <v>2.2045412981393446E-2</v>
      </c>
      <c r="H890" s="19">
        <f>_xlfn.XLOOKUP(A890,'Current Month'!A:A,'Current Month'!E:E,0,0)</f>
        <v>21425.85</v>
      </c>
      <c r="I890" s="32">
        <f>_xlfn.XLOOKUP(A890,'Prior Month'!A:A,'Prior Month'!E:E,0,0)</f>
        <v>15979.77</v>
      </c>
      <c r="J890" s="32">
        <f>_xlfn.XLOOKUP(A890,'Year end 2024'!A:A,'Year end 2024'!E:E,0,0)</f>
        <v>21009.71</v>
      </c>
      <c r="K890" s="14">
        <f t="shared" si="28"/>
        <v>5446.0799999999981</v>
      </c>
      <c r="L890" s="14">
        <f t="shared" si="29"/>
        <v>416.13999999999942</v>
      </c>
    </row>
    <row r="891" spans="1:12" ht="35.15" customHeight="1" x14ac:dyDescent="0.4">
      <c r="A891" s="11" t="s">
        <v>1824</v>
      </c>
      <c r="B891" s="11" t="s">
        <v>1825</v>
      </c>
      <c r="C891" s="11" t="s">
        <v>33</v>
      </c>
      <c r="D891" s="11" t="s">
        <v>32</v>
      </c>
      <c r="E891" s="18">
        <f>_xlfn.XLOOKUP(A891,'Current Month'!A:A,'Current Month'!I:I,"")</f>
        <v>4.090901835148688E-2</v>
      </c>
      <c r="F891" s="21">
        <f>_xlfn.XLOOKUP(A891,'Prior Month'!A:A,'Prior Month'!I:I,"")</f>
        <v>7.7089373806705275E-2</v>
      </c>
      <c r="G891" s="18">
        <f>_xlfn.XLOOKUP(A891,'Year end 2024'!A:A,'Year end 2024'!I:I,"")</f>
        <v>0.50765402748075172</v>
      </c>
      <c r="H891" s="19">
        <f>_xlfn.XLOOKUP(A891,'Current Month'!A:A,'Current Month'!E:E,0,0)</f>
        <v>20502.34</v>
      </c>
      <c r="I891" s="32">
        <f>_xlfn.XLOOKUP(A891,'Prior Month'!A:A,'Prior Month'!E:E,0,0)</f>
        <v>39239.33</v>
      </c>
      <c r="J891" s="32">
        <f>_xlfn.XLOOKUP(A891,'Year end 2024'!A:A,'Year end 2024'!E:E,0,0)</f>
        <v>274150.43</v>
      </c>
      <c r="K891" s="14">
        <f t="shared" si="28"/>
        <v>-18736.990000000002</v>
      </c>
      <c r="L891" s="14">
        <f t="shared" si="29"/>
        <v>-253648.09</v>
      </c>
    </row>
    <row r="892" spans="1:12" ht="35.15" customHeight="1" x14ac:dyDescent="0.4">
      <c r="A892" s="11" t="s">
        <v>1826</v>
      </c>
      <c r="B892" s="11" t="s">
        <v>1827</v>
      </c>
      <c r="C892" s="11" t="s">
        <v>259</v>
      </c>
      <c r="D892" s="11" t="s">
        <v>258</v>
      </c>
      <c r="E892" s="18">
        <f>_xlfn.XLOOKUP(A892,'Current Month'!A:A,'Current Month'!I:I,"")</f>
        <v>0</v>
      </c>
      <c r="F892" s="21">
        <f>_xlfn.XLOOKUP(A892,'Prior Month'!A:A,'Prior Month'!I:I,"")</f>
        <v>0</v>
      </c>
      <c r="G892" s="18">
        <f>_xlfn.XLOOKUP(A892,'Year end 2024'!A:A,'Year end 2024'!I:I,"")</f>
        <v>0</v>
      </c>
      <c r="H892" s="19">
        <f>_xlfn.XLOOKUP(A892,'Current Month'!A:A,'Current Month'!E:E,0,0)</f>
        <v>0</v>
      </c>
      <c r="I892" s="32">
        <f>_xlfn.XLOOKUP(A892,'Prior Month'!A:A,'Prior Month'!E:E,0,0)</f>
        <v>0</v>
      </c>
      <c r="J892" s="32">
        <f>_xlfn.XLOOKUP(A892,'Year end 2024'!A:A,'Year end 2024'!E:E,0,0)</f>
        <v>0</v>
      </c>
      <c r="K892" s="14">
        <f t="shared" si="28"/>
        <v>0</v>
      </c>
      <c r="L892" s="14">
        <f t="shared" si="29"/>
        <v>0</v>
      </c>
    </row>
    <row r="893" spans="1:12" ht="35.15" customHeight="1" x14ac:dyDescent="0.4">
      <c r="A893" s="11" t="s">
        <v>1828</v>
      </c>
      <c r="B893" s="11" t="s">
        <v>1829</v>
      </c>
      <c r="C893" s="11" t="s">
        <v>213</v>
      </c>
      <c r="D893" s="11" t="s">
        <v>212</v>
      </c>
      <c r="E893" s="18">
        <f>_xlfn.XLOOKUP(A893,'Current Month'!A:A,'Current Month'!I:I,"")</f>
        <v>1.3506935200000001</v>
      </c>
      <c r="F893" s="21">
        <f>_xlfn.XLOOKUP(A893,'Prior Month'!A:A,'Prior Month'!I:I,"")</f>
        <v>1.3835780800000002</v>
      </c>
      <c r="G893" s="18">
        <f>_xlfn.XLOOKUP(A893,'Year end 2024'!A:A,'Year end 2024'!I:I,"")</f>
        <v>5.823858955578882E-3</v>
      </c>
      <c r="H893" s="19">
        <f>_xlfn.XLOOKUP(A893,'Current Month'!A:A,'Current Month'!E:E,0,0)</f>
        <v>675346.76</v>
      </c>
      <c r="I893" s="32">
        <f>_xlfn.XLOOKUP(A893,'Prior Month'!A:A,'Prior Month'!E:E,0,0)</f>
        <v>691789.04</v>
      </c>
      <c r="J893" s="32">
        <f>_xlfn.XLOOKUP(A893,'Year end 2024'!A:A,'Year end 2024'!E:E,0,0)</f>
        <v>16542.28</v>
      </c>
      <c r="K893" s="14">
        <f t="shared" si="28"/>
        <v>-16442.280000000028</v>
      </c>
      <c r="L893" s="14">
        <f t="shared" si="29"/>
        <v>658804.47999999998</v>
      </c>
    </row>
    <row r="894" spans="1:12" ht="35.15" customHeight="1" x14ac:dyDescent="0.4">
      <c r="A894" s="11" t="s">
        <v>1830</v>
      </c>
      <c r="B894" s="11" t="s">
        <v>1831</v>
      </c>
      <c r="C894" s="11" t="s">
        <v>259</v>
      </c>
      <c r="D894" s="11" t="s">
        <v>258</v>
      </c>
      <c r="E894" s="18">
        <f>_xlfn.XLOOKUP(A894,'Current Month'!A:A,'Current Month'!I:I,"")</f>
        <v>8.1151666666666664E-3</v>
      </c>
      <c r="F894" s="21">
        <f>_xlfn.XLOOKUP(A894,'Prior Month'!A:A,'Prior Month'!I:I,"")</f>
        <v>4.1899999999999999E-4</v>
      </c>
      <c r="G894" s="18">
        <f>_xlfn.XLOOKUP(A894,'Year end 2024'!A:A,'Year end 2024'!I:I,"")</f>
        <v>8.7968333333333319E-3</v>
      </c>
      <c r="H894" s="19">
        <f>_xlfn.XLOOKUP(A894,'Current Month'!A:A,'Current Month'!E:E,0,0)</f>
        <v>486.91</v>
      </c>
      <c r="I894" s="32">
        <f>_xlfn.XLOOKUP(A894,'Prior Month'!A:A,'Prior Month'!E:E,0,0)</f>
        <v>25.14</v>
      </c>
      <c r="J894" s="32">
        <f>_xlfn.XLOOKUP(A894,'Year end 2024'!A:A,'Year end 2024'!E:E,0,0)</f>
        <v>527.80999999999995</v>
      </c>
      <c r="K894" s="14">
        <f t="shared" si="28"/>
        <v>461.77000000000004</v>
      </c>
      <c r="L894" s="14">
        <f t="shared" si="29"/>
        <v>-40.89999999999992</v>
      </c>
    </row>
    <row r="895" spans="1:12" ht="35.15" customHeight="1" x14ac:dyDescent="0.4">
      <c r="A895" s="11" t="s">
        <v>1832</v>
      </c>
      <c r="B895" s="11" t="s">
        <v>1833</v>
      </c>
      <c r="C895" s="11" t="s">
        <v>73</v>
      </c>
      <c r="D895" s="11" t="s">
        <v>72</v>
      </c>
      <c r="E895" s="18">
        <f>_xlfn.XLOOKUP(A895,'Current Month'!A:A,'Current Month'!I:I,"")</f>
        <v>9.5432262980088597E-2</v>
      </c>
      <c r="F895" s="21">
        <f>_xlfn.XLOOKUP(A895,'Prior Month'!A:A,'Prior Month'!I:I,"")</f>
        <v>6.0791472202691904E-2</v>
      </c>
      <c r="G895" s="18">
        <f>_xlfn.XLOOKUP(A895,'Year end 2024'!A:A,'Year end 2024'!I:I,"")</f>
        <v>2.2876487354715026E-2</v>
      </c>
      <c r="H895" s="19">
        <f>_xlfn.XLOOKUP(A895,'Current Month'!A:A,'Current Month'!E:E,0,0)</f>
        <v>4459.0200000000004</v>
      </c>
      <c r="I895" s="32">
        <f>_xlfn.XLOOKUP(A895,'Prior Month'!A:A,'Prior Month'!E:E,0,0)</f>
        <v>2847.23</v>
      </c>
      <c r="J895" s="32">
        <f>_xlfn.XLOOKUP(A895,'Year end 2024'!A:A,'Year end 2024'!E:E,0,0)</f>
        <v>5058.62</v>
      </c>
      <c r="K895" s="14">
        <f t="shared" si="28"/>
        <v>1611.7900000000004</v>
      </c>
      <c r="L895" s="14">
        <f t="shared" si="29"/>
        <v>-599.59999999999945</v>
      </c>
    </row>
    <row r="896" spans="1:12" ht="35.15" customHeight="1" x14ac:dyDescent="0.4">
      <c r="A896" s="11" t="s">
        <v>1834</v>
      </c>
      <c r="B896" s="11" t="s">
        <v>1835</v>
      </c>
      <c r="C896" s="11" t="s">
        <v>67</v>
      </c>
      <c r="D896" s="11" t="s">
        <v>66</v>
      </c>
      <c r="E896" s="18">
        <f>_xlfn.XLOOKUP(A896,'Current Month'!A:A,'Current Month'!I:I,"")</f>
        <v>1.8887171832891101E-3</v>
      </c>
      <c r="F896" s="21">
        <f>_xlfn.XLOOKUP(A896,'Prior Month'!A:A,'Prior Month'!I:I,"")</f>
        <v>1.8802390523329888E-3</v>
      </c>
      <c r="G896" s="18">
        <f>_xlfn.XLOOKUP(A896,'Year end 2024'!A:A,'Year end 2024'!I:I,"")</f>
        <v>2.0098823382182556E-3</v>
      </c>
      <c r="H896" s="19">
        <f>_xlfn.XLOOKUP(A896,'Current Month'!A:A,'Current Month'!E:E,0,0)</f>
        <v>425.25</v>
      </c>
      <c r="I896" s="32">
        <f>_xlfn.XLOOKUP(A896,'Prior Month'!A:A,'Prior Month'!E:E,0,0)</f>
        <v>425.25</v>
      </c>
      <c r="J896" s="32">
        <f>_xlfn.XLOOKUP(A896,'Year end 2024'!A:A,'Year end 2024'!E:E,0,0)</f>
        <v>470.25</v>
      </c>
      <c r="K896" s="14">
        <f t="shared" si="28"/>
        <v>0</v>
      </c>
      <c r="L896" s="14">
        <f t="shared" si="29"/>
        <v>-45</v>
      </c>
    </row>
    <row r="897" spans="1:12" ht="35.15" customHeight="1" x14ac:dyDescent="0.4">
      <c r="A897" s="11" t="s">
        <v>1836</v>
      </c>
      <c r="B897" s="11" t="s">
        <v>1837</v>
      </c>
      <c r="C897" s="11" t="s">
        <v>15</v>
      </c>
      <c r="D897" s="11" t="s">
        <v>14</v>
      </c>
      <c r="E897" s="18">
        <f>_xlfn.XLOOKUP(A897,'Current Month'!A:A,'Current Month'!I:I,"")</f>
        <v>0.1483401169511839</v>
      </c>
      <c r="F897" s="21">
        <f>_xlfn.XLOOKUP(A897,'Prior Month'!A:A,'Prior Month'!I:I,"")</f>
        <v>0.16241818828072088</v>
      </c>
      <c r="G897" s="18">
        <f>_xlfn.XLOOKUP(A897,'Year end 2024'!A:A,'Year end 2024'!I:I,"")</f>
        <v>5.0485613305613309E-3</v>
      </c>
      <c r="H897" s="19">
        <f>_xlfn.XLOOKUP(A897,'Current Month'!A:A,'Current Month'!E:E,0,0)</f>
        <v>354195.83</v>
      </c>
      <c r="I897" s="32">
        <f>_xlfn.XLOOKUP(A897,'Prior Month'!A:A,'Prior Month'!E:E,0,0)</f>
        <v>388558.39</v>
      </c>
      <c r="J897" s="32">
        <f>_xlfn.XLOOKUP(A897,'Year end 2024'!A:A,'Year end 2024'!E:E,0,0)</f>
        <v>12141.79</v>
      </c>
      <c r="K897" s="14">
        <f t="shared" si="28"/>
        <v>-34362.559999999998</v>
      </c>
      <c r="L897" s="14">
        <f t="shared" si="29"/>
        <v>342054.04000000004</v>
      </c>
    </row>
    <row r="898" spans="1:12" ht="35.15" customHeight="1" x14ac:dyDescent="0.4">
      <c r="A898" s="11" t="s">
        <v>1838</v>
      </c>
      <c r="B898" s="11" t="s">
        <v>1839</v>
      </c>
      <c r="C898" s="11" t="s">
        <v>259</v>
      </c>
      <c r="D898" s="11" t="s">
        <v>258</v>
      </c>
      <c r="E898" s="18">
        <f>_xlfn.XLOOKUP(A898,'Current Month'!A:A,'Current Month'!I:I,"")</f>
        <v>1.0848571428571428E-4</v>
      </c>
      <c r="F898" s="21">
        <f>_xlfn.XLOOKUP(A898,'Prior Month'!A:A,'Prior Month'!I:I,"")</f>
        <v>1.1872571428571429E-3</v>
      </c>
      <c r="G898" s="18">
        <f>_xlfn.XLOOKUP(A898,'Year end 2024'!A:A,'Year end 2024'!I:I,"")</f>
        <v>0.58373719999999996</v>
      </c>
      <c r="H898" s="19">
        <f>_xlfn.XLOOKUP(A898,'Current Month'!A:A,'Current Month'!E:E,0,0)</f>
        <v>37.97</v>
      </c>
      <c r="I898" s="32">
        <f>_xlfn.XLOOKUP(A898,'Prior Month'!A:A,'Prior Month'!E:E,0,0)</f>
        <v>415.54</v>
      </c>
      <c r="J898" s="32">
        <f>_xlfn.XLOOKUP(A898,'Year end 2024'!A:A,'Year end 2024'!E:E,0,0)</f>
        <v>204308.02</v>
      </c>
      <c r="K898" s="14">
        <f t="shared" si="28"/>
        <v>-377.57000000000005</v>
      </c>
      <c r="L898" s="14">
        <f t="shared" si="29"/>
        <v>-204270.05</v>
      </c>
    </row>
    <row r="899" spans="1:12" ht="35.15" customHeight="1" x14ac:dyDescent="0.4">
      <c r="A899" s="11" t="s">
        <v>1840</v>
      </c>
      <c r="B899" s="11" t="s">
        <v>1841</v>
      </c>
      <c r="C899" s="11" t="s">
        <v>57</v>
      </c>
      <c r="D899" s="11" t="s">
        <v>56</v>
      </c>
      <c r="E899" s="18">
        <f>_xlfn.XLOOKUP(A899,'Current Month'!A:A,'Current Month'!I:I,"")</f>
        <v>2.9477196885428253E-3</v>
      </c>
      <c r="F899" s="21">
        <f>_xlfn.XLOOKUP(A899,'Prior Month'!A:A,'Prior Month'!I:I,"")</f>
        <v>2.9477196885428253E-3</v>
      </c>
      <c r="G899" s="18">
        <f>_xlfn.XLOOKUP(A899,'Year end 2024'!A:A,'Year end 2024'!I:I,"")</f>
        <v>3.2258064516129032E-3</v>
      </c>
      <c r="H899" s="19">
        <f>_xlfn.XLOOKUP(A899,'Current Month'!A:A,'Current Month'!E:E,0,0)</f>
        <v>265</v>
      </c>
      <c r="I899" s="32">
        <f>_xlfn.XLOOKUP(A899,'Prior Month'!A:A,'Prior Month'!E:E,0,0)</f>
        <v>265</v>
      </c>
      <c r="J899" s="32">
        <f>_xlfn.XLOOKUP(A899,'Year end 2024'!A:A,'Year end 2024'!E:E,0,0)</f>
        <v>290</v>
      </c>
      <c r="K899" s="14">
        <f t="shared" si="28"/>
        <v>0</v>
      </c>
      <c r="L899" s="14">
        <f t="shared" si="29"/>
        <v>-25</v>
      </c>
    </row>
    <row r="900" spans="1:12" ht="35.15" customHeight="1" x14ac:dyDescent="0.4">
      <c r="A900" s="11" t="s">
        <v>1842</v>
      </c>
      <c r="B900" s="11" t="s">
        <v>1843</v>
      </c>
      <c r="C900" s="11" t="s">
        <v>259</v>
      </c>
      <c r="D900" s="11" t="s">
        <v>258</v>
      </c>
      <c r="E900" s="18">
        <f>_xlfn.XLOOKUP(A900,'Current Month'!A:A,'Current Month'!I:I,"")</f>
        <v>0.85274702998705454</v>
      </c>
      <c r="F900" s="21">
        <f>_xlfn.XLOOKUP(A900,'Prior Month'!A:A,'Prior Month'!I:I,"")</f>
        <v>0.82648447254864243</v>
      </c>
      <c r="G900" s="18">
        <f>_xlfn.XLOOKUP(A900,'Year end 2024'!A:A,'Year end 2024'!I:I,"")</f>
        <v>0.75609433832227613</v>
      </c>
      <c r="H900" s="19">
        <f>_xlfn.XLOOKUP(A900,'Current Month'!A:A,'Current Month'!E:E,0,0)</f>
        <v>1029462.88</v>
      </c>
      <c r="I900" s="32">
        <f>_xlfn.XLOOKUP(A900,'Prior Month'!A:A,'Prior Month'!E:E,0,0)</f>
        <v>1017320.01</v>
      </c>
      <c r="J900" s="32">
        <f>_xlfn.XLOOKUP(A900,'Year end 2024'!A:A,'Year end 2024'!E:E,0,0)</f>
        <v>963996.23</v>
      </c>
      <c r="K900" s="14">
        <f t="shared" si="28"/>
        <v>12142.869999999995</v>
      </c>
      <c r="L900" s="14">
        <f t="shared" si="29"/>
        <v>65466.650000000023</v>
      </c>
    </row>
    <row r="901" spans="1:12" ht="35.15" customHeight="1" x14ac:dyDescent="0.4">
      <c r="A901" s="11" t="s">
        <v>1844</v>
      </c>
      <c r="B901" s="11" t="s">
        <v>1845</v>
      </c>
      <c r="C901" s="11" t="s">
        <v>51</v>
      </c>
      <c r="D901" s="11" t="s">
        <v>50</v>
      </c>
      <c r="E901" s="18">
        <f>_xlfn.XLOOKUP(A901,'Current Month'!A:A,'Current Month'!I:I,"")</f>
        <v>1.4224678400000001</v>
      </c>
      <c r="F901" s="21">
        <f>_xlfn.XLOOKUP(A901,'Prior Month'!A:A,'Prior Month'!I:I,"")</f>
        <v>3.6943195200000001</v>
      </c>
      <c r="G901" s="18">
        <f>_xlfn.XLOOKUP(A901,'Year end 2024'!A:A,'Year end 2024'!I:I,"")</f>
        <v>2.0336541666666665</v>
      </c>
      <c r="H901" s="19">
        <f>_xlfn.XLOOKUP(A901,'Current Month'!A:A,'Current Month'!E:E,0,0)</f>
        <v>355616.96</v>
      </c>
      <c r="I901" s="32">
        <f>_xlfn.XLOOKUP(A901,'Prior Month'!A:A,'Prior Month'!E:E,0,0)</f>
        <v>923579.88</v>
      </c>
      <c r="J901" s="32">
        <f>_xlfn.XLOOKUP(A901,'Year end 2024'!A:A,'Year end 2024'!E:E,0,0)</f>
        <v>180588.49</v>
      </c>
      <c r="K901" s="14">
        <f t="shared" si="28"/>
        <v>-567962.91999999993</v>
      </c>
      <c r="L901" s="14">
        <f t="shared" si="29"/>
        <v>175028.47000000003</v>
      </c>
    </row>
    <row r="902" spans="1:12" ht="35.15" customHeight="1" x14ac:dyDescent="0.4">
      <c r="A902" s="11" t="s">
        <v>1846</v>
      </c>
      <c r="B902" s="11" t="s">
        <v>1847</v>
      </c>
      <c r="C902" s="11" t="s">
        <v>185</v>
      </c>
      <c r="D902" s="11" t="s">
        <v>184</v>
      </c>
      <c r="E902" s="18" t="str">
        <f>_xlfn.XLOOKUP(A902,'Current Month'!A:A,'Current Month'!I:I,"")</f>
        <v/>
      </c>
      <c r="F902" s="21" t="str">
        <f>_xlfn.XLOOKUP(A902,'Prior Month'!A:A,'Prior Month'!I:I,"")</f>
        <v/>
      </c>
      <c r="G902" s="18">
        <f>_xlfn.XLOOKUP(A902,'Year end 2024'!A:A,'Year end 2024'!I:I,"")</f>
        <v>6.665309071566751E-2</v>
      </c>
      <c r="H902" s="19">
        <f>_xlfn.XLOOKUP(A902,'Current Month'!A:A,'Current Month'!E:E,0,0)</f>
        <v>27103.88</v>
      </c>
      <c r="I902" s="32">
        <f>_xlfn.XLOOKUP(A902,'Prior Month'!A:A,'Prior Month'!E:E,0,0)</f>
        <v>27103.88</v>
      </c>
      <c r="J902" s="32">
        <f>_xlfn.XLOOKUP(A902,'Year end 2024'!A:A,'Year end 2024'!E:E,0,0)</f>
        <v>26364.79</v>
      </c>
      <c r="K902" s="14">
        <f t="shared" si="28"/>
        <v>0</v>
      </c>
      <c r="L902" s="14">
        <f t="shared" si="29"/>
        <v>739.09000000000015</v>
      </c>
    </row>
    <row r="903" spans="1:12" ht="35.15" customHeight="1" x14ac:dyDescent="0.4">
      <c r="A903" s="11" t="s">
        <v>1848</v>
      </c>
      <c r="B903" s="11" t="s">
        <v>1849</v>
      </c>
      <c r="C903" s="11" t="s">
        <v>457</v>
      </c>
      <c r="D903" s="11" t="s">
        <v>456</v>
      </c>
      <c r="E903" s="18">
        <f>_xlfn.XLOOKUP(A903,'Current Month'!A:A,'Current Month'!I:I,"")</f>
        <v>6.6334671096209663E-2</v>
      </c>
      <c r="F903" s="21">
        <f>_xlfn.XLOOKUP(A903,'Prior Month'!A:A,'Prior Month'!I:I,"")</f>
        <v>0.11344732309987055</v>
      </c>
      <c r="G903" s="18">
        <f>_xlfn.XLOOKUP(A903,'Year end 2024'!A:A,'Year end 2024'!I:I,"")</f>
        <v>1.8926928143145522E-2</v>
      </c>
      <c r="H903" s="19">
        <f>_xlfn.XLOOKUP(A903,'Current Month'!A:A,'Current Month'!E:E,0,0)</f>
        <v>46200.85</v>
      </c>
      <c r="I903" s="32">
        <f>_xlfn.XLOOKUP(A903,'Prior Month'!A:A,'Prior Month'!E:E,0,0)</f>
        <v>79386.55</v>
      </c>
      <c r="J903" s="32">
        <f>_xlfn.XLOOKUP(A903,'Year end 2024'!A:A,'Year end 2024'!E:E,0,0)</f>
        <v>13594.96</v>
      </c>
      <c r="K903" s="14">
        <f t="shared" si="28"/>
        <v>-33185.700000000004</v>
      </c>
      <c r="L903" s="14">
        <f t="shared" si="29"/>
        <v>32605.89</v>
      </c>
    </row>
    <row r="904" spans="1:12" ht="35.15" customHeight="1" x14ac:dyDescent="0.4">
      <c r="A904" s="11" t="s">
        <v>1850</v>
      </c>
      <c r="B904" s="11" t="s">
        <v>1851</v>
      </c>
      <c r="C904" s="11" t="s">
        <v>57</v>
      </c>
      <c r="D904" s="11" t="s">
        <v>56</v>
      </c>
      <c r="E904" s="18" t="str">
        <f>_xlfn.XLOOKUP(A904,'Current Month'!A:A,'Current Month'!I:I,"")</f>
        <v/>
      </c>
      <c r="F904" s="21" t="str">
        <f>_xlfn.XLOOKUP(A904,'Prior Month'!A:A,'Prior Month'!I:I,"")</f>
        <v/>
      </c>
      <c r="G904" s="18" t="str">
        <f>_xlfn.XLOOKUP(A904,'Year end 2024'!A:A,'Year end 2024'!I:I,"")</f>
        <v/>
      </c>
      <c r="H904" s="19">
        <f>_xlfn.XLOOKUP(A904,'Current Month'!A:A,'Current Month'!E:E,0,0)</f>
        <v>39760.51</v>
      </c>
      <c r="I904" s="32">
        <f>_xlfn.XLOOKUP(A904,'Prior Month'!A:A,'Prior Month'!E:E,0,0)</f>
        <v>38751.919999999998</v>
      </c>
      <c r="J904" s="32">
        <f>_xlfn.XLOOKUP(A904,'Year end 2024'!A:A,'Year end 2024'!E:E,0,0)</f>
        <v>34821.5</v>
      </c>
      <c r="K904" s="14">
        <f t="shared" si="28"/>
        <v>1008.5900000000038</v>
      </c>
      <c r="L904" s="14">
        <f t="shared" si="29"/>
        <v>4939.010000000002</v>
      </c>
    </row>
    <row r="905" spans="1:12" ht="35.15" customHeight="1" x14ac:dyDescent="0.4">
      <c r="A905" s="11" t="s">
        <v>1852</v>
      </c>
      <c r="B905" s="11" t="s">
        <v>1853</v>
      </c>
      <c r="C905" s="11" t="s">
        <v>41</v>
      </c>
      <c r="D905" s="11" t="s">
        <v>40</v>
      </c>
      <c r="E905" s="18">
        <f>_xlfn.XLOOKUP(A905,'Current Month'!A:A,'Current Month'!I:I,"")</f>
        <v>0.89836130000000003</v>
      </c>
      <c r="F905" s="21">
        <f>_xlfn.XLOOKUP(A905,'Prior Month'!A:A,'Prior Month'!I:I,"")</f>
        <v>0.52910250000000003</v>
      </c>
      <c r="G905" s="18">
        <f>_xlfn.XLOOKUP(A905,'Year end 2024'!A:A,'Year end 2024'!I:I,"")</f>
        <v>1.8376400000000001E-2</v>
      </c>
      <c r="H905" s="19">
        <f>_xlfn.XLOOKUP(A905,'Current Month'!A:A,'Current Month'!E:E,0,0)</f>
        <v>89836.13</v>
      </c>
      <c r="I905" s="32">
        <f>_xlfn.XLOOKUP(A905,'Prior Month'!A:A,'Prior Month'!E:E,0,0)</f>
        <v>52910.25</v>
      </c>
      <c r="J905" s="32">
        <f>_xlfn.XLOOKUP(A905,'Year end 2024'!A:A,'Year end 2024'!E:E,0,0)</f>
        <v>1837.64</v>
      </c>
      <c r="K905" s="14">
        <f t="shared" si="28"/>
        <v>36925.880000000005</v>
      </c>
      <c r="L905" s="14">
        <f t="shared" si="29"/>
        <v>87998.49</v>
      </c>
    </row>
    <row r="906" spans="1:12" ht="35.15" customHeight="1" x14ac:dyDescent="0.4">
      <c r="A906" s="11" t="s">
        <v>1854</v>
      </c>
      <c r="B906" s="11" t="s">
        <v>1855</v>
      </c>
      <c r="C906" s="11" t="s">
        <v>15</v>
      </c>
      <c r="D906" s="11" t="s">
        <v>14</v>
      </c>
      <c r="E906" s="18">
        <f>_xlfn.XLOOKUP(A906,'Current Month'!A:A,'Current Month'!I:I,"")</f>
        <v>8.2062010186300327E-2</v>
      </c>
      <c r="F906" s="21">
        <f>_xlfn.XLOOKUP(A906,'Prior Month'!A:A,'Prior Month'!I:I,"")</f>
        <v>0.22068420545404124</v>
      </c>
      <c r="G906" s="18">
        <f>_xlfn.XLOOKUP(A906,'Year end 2024'!A:A,'Year end 2024'!I:I,"")</f>
        <v>8.1872556703561805E-2</v>
      </c>
      <c r="H906" s="19">
        <f>_xlfn.XLOOKUP(A906,'Current Month'!A:A,'Current Month'!E:E,0,0)</f>
        <v>629058.06000000006</v>
      </c>
      <c r="I906" s="32">
        <f>_xlfn.XLOOKUP(A906,'Prior Month'!A:A,'Prior Month'!E:E,0,0)</f>
        <v>1680665.84</v>
      </c>
      <c r="J906" s="32">
        <f>_xlfn.XLOOKUP(A906,'Year end 2024'!A:A,'Year end 2024'!E:E,0,0)</f>
        <v>622910.31000000006</v>
      </c>
      <c r="K906" s="14">
        <f t="shared" si="28"/>
        <v>-1051607.78</v>
      </c>
      <c r="L906" s="14">
        <f t="shared" si="29"/>
        <v>6147.75</v>
      </c>
    </row>
    <row r="907" spans="1:12" ht="35.15" customHeight="1" x14ac:dyDescent="0.4">
      <c r="A907" s="11" t="s">
        <v>1856</v>
      </c>
      <c r="B907" s="11" t="s">
        <v>1857</v>
      </c>
      <c r="C907" s="11" t="s">
        <v>19</v>
      </c>
      <c r="D907" s="11" t="s">
        <v>18</v>
      </c>
      <c r="E907" s="18" t="str">
        <f>_xlfn.XLOOKUP(A907,'Current Month'!A:A,'Current Month'!I:I,"")</f>
        <v/>
      </c>
      <c r="F907" s="21" t="str">
        <f>_xlfn.XLOOKUP(A907,'Prior Month'!A:A,'Prior Month'!I:I,"")</f>
        <v/>
      </c>
      <c r="G907" s="18" t="str">
        <f>_xlfn.XLOOKUP(A907,'Year end 2024'!A:A,'Year end 2024'!I:I,"")</f>
        <v/>
      </c>
      <c r="H907" s="19">
        <f>_xlfn.XLOOKUP(A907,'Current Month'!A:A,'Current Month'!E:E,0,0)</f>
        <v>33133.51</v>
      </c>
      <c r="I907" s="32">
        <f>_xlfn.XLOOKUP(A907,'Prior Month'!A:A,'Prior Month'!E:E,0,0)</f>
        <v>33232.29</v>
      </c>
      <c r="J907" s="32">
        <f>_xlfn.XLOOKUP(A907,'Year end 2024'!A:A,'Year end 2024'!E:E,0,0)</f>
        <v>27579.97</v>
      </c>
      <c r="K907" s="14">
        <f t="shared" si="28"/>
        <v>-98.779999999998836</v>
      </c>
      <c r="L907" s="14">
        <f t="shared" si="29"/>
        <v>5553.5400000000009</v>
      </c>
    </row>
    <row r="908" spans="1:12" ht="35.15" customHeight="1" x14ac:dyDescent="0.4">
      <c r="A908" s="11" t="s">
        <v>1858</v>
      </c>
      <c r="B908" s="11" t="s">
        <v>1859</v>
      </c>
      <c r="C908" s="11" t="s">
        <v>109</v>
      </c>
      <c r="D908" s="11" t="s">
        <v>108</v>
      </c>
      <c r="E908" s="18">
        <f>_xlfn.XLOOKUP(A908,'Current Month'!A:A,'Current Month'!I:I,"")</f>
        <v>0.78936284975719606</v>
      </c>
      <c r="F908" s="21">
        <f>_xlfn.XLOOKUP(A908,'Prior Month'!A:A,'Prior Month'!I:I,"")</f>
        <v>0.7873427163142005</v>
      </c>
      <c r="G908" s="18">
        <f>_xlfn.XLOOKUP(A908,'Year end 2024'!A:A,'Year end 2024'!I:I,"")</f>
        <v>0.74647408199157039</v>
      </c>
      <c r="H908" s="19">
        <f>_xlfn.XLOOKUP(A908,'Current Month'!A:A,'Current Month'!E:E,0,0)</f>
        <v>29473.83</v>
      </c>
      <c r="I908" s="32">
        <f>_xlfn.XLOOKUP(A908,'Prior Month'!A:A,'Prior Month'!E:E,0,0)</f>
        <v>29746.17</v>
      </c>
      <c r="J908" s="32">
        <f>_xlfn.XLOOKUP(A908,'Year end 2024'!A:A,'Year end 2024'!E:E,0,0)</f>
        <v>31511</v>
      </c>
      <c r="K908" s="14">
        <f t="shared" si="28"/>
        <v>-272.33999999999651</v>
      </c>
      <c r="L908" s="14">
        <f t="shared" si="29"/>
        <v>-2037.1699999999983</v>
      </c>
    </row>
    <row r="909" spans="1:12" ht="35.15" customHeight="1" x14ac:dyDescent="0.4">
      <c r="A909" s="11" t="s">
        <v>1860</v>
      </c>
      <c r="B909" s="11" t="s">
        <v>1861</v>
      </c>
      <c r="C909" s="11" t="s">
        <v>67</v>
      </c>
      <c r="D909" s="11" t="s">
        <v>66</v>
      </c>
      <c r="E909" s="18">
        <f>_xlfn.XLOOKUP(A909,'Current Month'!A:A,'Current Month'!I:I,"")</f>
        <v>0</v>
      </c>
      <c r="F909" s="21">
        <f>_xlfn.XLOOKUP(A909,'Prior Month'!A:A,'Prior Month'!I:I,"")</f>
        <v>0</v>
      </c>
      <c r="G909" s="18">
        <f>_xlfn.XLOOKUP(A909,'Year end 2024'!A:A,'Year end 2024'!I:I,"")</f>
        <v>0</v>
      </c>
      <c r="H909" s="19">
        <f>_xlfn.XLOOKUP(A909,'Current Month'!A:A,'Current Month'!E:E,0,0)</f>
        <v>0</v>
      </c>
      <c r="I909" s="32">
        <f>_xlfn.XLOOKUP(A909,'Prior Month'!A:A,'Prior Month'!E:E,0,0)</f>
        <v>0</v>
      </c>
      <c r="J909" s="32">
        <f>_xlfn.XLOOKUP(A909,'Year end 2024'!A:A,'Year end 2024'!E:E,0,0)</f>
        <v>0</v>
      </c>
      <c r="K909" s="14">
        <f t="shared" si="28"/>
        <v>0</v>
      </c>
      <c r="L909" s="14">
        <f t="shared" si="29"/>
        <v>0</v>
      </c>
    </row>
    <row r="910" spans="1:12" ht="35.15" customHeight="1" x14ac:dyDescent="0.4">
      <c r="A910" s="11" t="s">
        <v>1862</v>
      </c>
      <c r="B910" s="11" t="s">
        <v>1863</v>
      </c>
      <c r="C910" s="11" t="s">
        <v>77</v>
      </c>
      <c r="D910" s="11" t="s">
        <v>76</v>
      </c>
      <c r="E910" s="18" t="str">
        <f>_xlfn.XLOOKUP(A910,'Current Month'!A:A,'Current Month'!I:I,"")</f>
        <v/>
      </c>
      <c r="F910" s="21" t="str">
        <f>_xlfn.XLOOKUP(A910,'Prior Month'!A:A,'Prior Month'!I:I,"")</f>
        <v/>
      </c>
      <c r="G910" s="18" t="str">
        <f>_xlfn.XLOOKUP(A910,'Year end 2024'!A:A,'Year end 2024'!I:I,"")</f>
        <v/>
      </c>
      <c r="H910" s="19">
        <f>_xlfn.XLOOKUP(A910,'Current Month'!A:A,'Current Month'!E:E,0,0)</f>
        <v>1069.8499999999999</v>
      </c>
      <c r="I910" s="32">
        <f>_xlfn.XLOOKUP(A910,'Prior Month'!A:A,'Prior Month'!E:E,0,0)</f>
        <v>1472.58</v>
      </c>
      <c r="J910" s="32">
        <f>_xlfn.XLOOKUP(A910,'Year end 2024'!A:A,'Year end 2024'!E:E,0,0)</f>
        <v>2702.28</v>
      </c>
      <c r="K910" s="14">
        <f t="shared" si="28"/>
        <v>-402.73</v>
      </c>
      <c r="L910" s="14">
        <f t="shared" si="29"/>
        <v>-1632.4300000000003</v>
      </c>
    </row>
    <row r="911" spans="1:12" ht="35.15" customHeight="1" x14ac:dyDescent="0.4">
      <c r="A911" s="11" t="s">
        <v>1864</v>
      </c>
      <c r="B911" s="11" t="s">
        <v>1865</v>
      </c>
      <c r="C911" s="11" t="s">
        <v>19</v>
      </c>
      <c r="D911" s="11" t="s">
        <v>18</v>
      </c>
      <c r="E911" s="18" t="str">
        <f>_xlfn.XLOOKUP(A911,'Current Month'!A:A,'Current Month'!I:I,"")</f>
        <v/>
      </c>
      <c r="F911" s="21" t="str">
        <f>_xlfn.XLOOKUP(A911,'Prior Month'!A:A,'Prior Month'!I:I,"")</f>
        <v/>
      </c>
      <c r="G911" s="18" t="str">
        <f>_xlfn.XLOOKUP(A911,'Year end 2024'!A:A,'Year end 2024'!I:I,"")</f>
        <v/>
      </c>
      <c r="H911" s="19">
        <f>_xlfn.XLOOKUP(A911,'Current Month'!A:A,'Current Month'!E:E,0,0)</f>
        <v>603308.27</v>
      </c>
      <c r="I911" s="32">
        <f>_xlfn.XLOOKUP(A911,'Prior Month'!A:A,'Prior Month'!E:E,0,0)</f>
        <v>599367.31000000006</v>
      </c>
      <c r="J911" s="32">
        <f>_xlfn.XLOOKUP(A911,'Year end 2024'!A:A,'Year end 2024'!E:E,0,0)</f>
        <v>609489.46</v>
      </c>
      <c r="K911" s="14">
        <f t="shared" si="28"/>
        <v>3940.9599999999627</v>
      </c>
      <c r="L911" s="14">
        <f t="shared" si="29"/>
        <v>-6181.1899999999441</v>
      </c>
    </row>
    <row r="912" spans="1:12" ht="35.15" customHeight="1" x14ac:dyDescent="0.4">
      <c r="A912" s="11" t="s">
        <v>1866</v>
      </c>
      <c r="B912" s="11" t="s">
        <v>1867</v>
      </c>
      <c r="C912" s="11" t="s">
        <v>77</v>
      </c>
      <c r="D912" s="11" t="s">
        <v>76</v>
      </c>
      <c r="E912" s="18" t="str">
        <f>_xlfn.XLOOKUP(A912,'Current Month'!A:A,'Current Month'!I:I,"")</f>
        <v/>
      </c>
      <c r="F912" s="21" t="str">
        <f>_xlfn.XLOOKUP(A912,'Prior Month'!A:A,'Prior Month'!I:I,"")</f>
        <v/>
      </c>
      <c r="G912" s="18" t="str">
        <f>_xlfn.XLOOKUP(A912,'Year end 2024'!A:A,'Year end 2024'!I:I,"")</f>
        <v/>
      </c>
      <c r="H912" s="19">
        <f>_xlfn.XLOOKUP(A912,'Current Month'!A:A,'Current Month'!E:E,0,0)</f>
        <v>81.14</v>
      </c>
      <c r="I912" s="32">
        <f>_xlfn.XLOOKUP(A912,'Prior Month'!A:A,'Prior Month'!E:E,0,0)</f>
        <v>153.80000000000001</v>
      </c>
      <c r="J912" s="32">
        <f>_xlfn.XLOOKUP(A912,'Year end 2024'!A:A,'Year end 2024'!E:E,0,0)</f>
        <v>40.47</v>
      </c>
      <c r="K912" s="14">
        <f t="shared" si="28"/>
        <v>-72.660000000000011</v>
      </c>
      <c r="L912" s="14">
        <f t="shared" si="29"/>
        <v>40.67</v>
      </c>
    </row>
    <row r="913" spans="1:12" ht="35.15" customHeight="1" x14ac:dyDescent="0.4">
      <c r="A913" s="11" t="s">
        <v>1868</v>
      </c>
      <c r="B913" s="11" t="s">
        <v>1869</v>
      </c>
      <c r="C913" s="11" t="s">
        <v>67</v>
      </c>
      <c r="D913" s="11" t="s">
        <v>66</v>
      </c>
      <c r="E913" s="18" t="str">
        <f>_xlfn.XLOOKUP(A913,'Current Month'!A:A,'Current Month'!I:I,"")</f>
        <v/>
      </c>
      <c r="F913" s="21" t="str">
        <f>_xlfn.XLOOKUP(A913,'Prior Month'!A:A,'Prior Month'!I:I,"")</f>
        <v/>
      </c>
      <c r="G913" s="18" t="str">
        <f>_xlfn.XLOOKUP(A913,'Year end 2024'!A:A,'Year end 2024'!I:I,"")</f>
        <v/>
      </c>
      <c r="H913" s="19">
        <f>_xlfn.XLOOKUP(A913,'Current Month'!A:A,'Current Month'!E:E,0,0)</f>
        <v>782.89</v>
      </c>
      <c r="I913" s="32">
        <f>_xlfn.XLOOKUP(A913,'Prior Month'!A:A,'Prior Month'!E:E,0,0)</f>
        <v>578.86</v>
      </c>
      <c r="J913" s="32">
        <f>_xlfn.XLOOKUP(A913,'Year end 2024'!A:A,'Year end 2024'!E:E,0,0)</f>
        <v>1156.8800000000001</v>
      </c>
      <c r="K913" s="14">
        <f t="shared" si="28"/>
        <v>204.02999999999997</v>
      </c>
      <c r="L913" s="14">
        <f t="shared" si="29"/>
        <v>-373.99000000000012</v>
      </c>
    </row>
    <row r="914" spans="1:12" ht="35.15" customHeight="1" x14ac:dyDescent="0.4">
      <c r="A914" s="11" t="s">
        <v>1870</v>
      </c>
      <c r="B914" s="11" t="s">
        <v>1871</v>
      </c>
      <c r="C914" s="11" t="s">
        <v>19</v>
      </c>
      <c r="D914" s="11" t="s">
        <v>18</v>
      </c>
      <c r="E914" s="18" t="str">
        <f>_xlfn.XLOOKUP(A914,'Current Month'!A:A,'Current Month'!I:I,"")</f>
        <v/>
      </c>
      <c r="F914" s="21" t="str">
        <f>_xlfn.XLOOKUP(A914,'Prior Month'!A:A,'Prior Month'!I:I,"")</f>
        <v/>
      </c>
      <c r="G914" s="18" t="str">
        <f>_xlfn.XLOOKUP(A914,'Year end 2024'!A:A,'Year end 2024'!I:I,"")</f>
        <v/>
      </c>
      <c r="H914" s="19">
        <f>_xlfn.XLOOKUP(A914,'Current Month'!A:A,'Current Month'!E:E,0,0)</f>
        <v>13290.46</v>
      </c>
      <c r="I914" s="32">
        <f>_xlfn.XLOOKUP(A914,'Prior Month'!A:A,'Prior Month'!E:E,0,0)</f>
        <v>4976.08</v>
      </c>
      <c r="J914" s="32">
        <f>_xlfn.XLOOKUP(A914,'Year end 2024'!A:A,'Year end 2024'!E:E,0,0)</f>
        <v>30060.34</v>
      </c>
      <c r="K914" s="14">
        <f t="shared" si="28"/>
        <v>8314.3799999999992</v>
      </c>
      <c r="L914" s="14">
        <f t="shared" si="29"/>
        <v>-16769.88</v>
      </c>
    </row>
    <row r="915" spans="1:12" ht="35.15" customHeight="1" x14ac:dyDescent="0.4">
      <c r="A915" s="11" t="s">
        <v>1872</v>
      </c>
      <c r="B915" s="11" t="s">
        <v>1873</v>
      </c>
      <c r="C915" s="11" t="s">
        <v>51</v>
      </c>
      <c r="D915" s="11" t="s">
        <v>50</v>
      </c>
      <c r="E915" s="18" t="str">
        <f>_xlfn.XLOOKUP(A915,'Current Month'!A:A,'Current Month'!I:I,"")</f>
        <v/>
      </c>
      <c r="F915" s="21" t="str">
        <f>_xlfn.XLOOKUP(A915,'Prior Month'!A:A,'Prior Month'!I:I,"")</f>
        <v/>
      </c>
      <c r="G915" s="18" t="str">
        <f>_xlfn.XLOOKUP(A915,'Year end 2024'!A:A,'Year end 2024'!I:I,"")</f>
        <v/>
      </c>
      <c r="H915" s="19">
        <f>_xlfn.XLOOKUP(A915,'Current Month'!A:A,'Current Month'!E:E,0,0)</f>
        <v>180160.22</v>
      </c>
      <c r="I915" s="32">
        <f>_xlfn.XLOOKUP(A915,'Prior Month'!A:A,'Prior Month'!E:E,0,0)</f>
        <v>182340.1</v>
      </c>
      <c r="J915" s="32">
        <f>_xlfn.XLOOKUP(A915,'Year end 2024'!A:A,'Year end 2024'!E:E,0,0)</f>
        <v>203363.05</v>
      </c>
      <c r="K915" s="14">
        <f t="shared" si="28"/>
        <v>-2179.8800000000047</v>
      </c>
      <c r="L915" s="14">
        <f t="shared" si="29"/>
        <v>-23202.829999999987</v>
      </c>
    </row>
    <row r="916" spans="1:12" ht="35.15" customHeight="1" x14ac:dyDescent="0.4">
      <c r="A916" s="11" t="s">
        <v>1874</v>
      </c>
      <c r="B916" s="11" t="s">
        <v>1875</v>
      </c>
      <c r="C916" s="11" t="s">
        <v>19</v>
      </c>
      <c r="D916" s="11" t="s">
        <v>18</v>
      </c>
      <c r="E916" s="18" t="str">
        <f>_xlfn.XLOOKUP(A916,'Current Month'!A:A,'Current Month'!I:I,"")</f>
        <v/>
      </c>
      <c r="F916" s="21" t="str">
        <f>_xlfn.XLOOKUP(A916,'Prior Month'!A:A,'Prior Month'!I:I,"")</f>
        <v/>
      </c>
      <c r="G916" s="18" t="str">
        <f>_xlfn.XLOOKUP(A916,'Year end 2024'!A:A,'Year end 2024'!I:I,"")</f>
        <v/>
      </c>
      <c r="H916" s="19">
        <f>_xlfn.XLOOKUP(A916,'Current Month'!A:A,'Current Month'!E:E,0,0)</f>
        <v>7721.84</v>
      </c>
      <c r="I916" s="32">
        <f>_xlfn.XLOOKUP(A916,'Prior Month'!A:A,'Prior Month'!E:E,0,0)</f>
        <v>7721.84</v>
      </c>
      <c r="J916" s="32">
        <f>_xlfn.XLOOKUP(A916,'Year end 2024'!A:A,'Year end 2024'!E:E,0,0)</f>
        <v>7713.16</v>
      </c>
      <c r="K916" s="14">
        <f t="shared" si="28"/>
        <v>0</v>
      </c>
      <c r="L916" s="14">
        <f t="shared" si="29"/>
        <v>8.680000000000291</v>
      </c>
    </row>
    <row r="917" spans="1:12" ht="35.15" customHeight="1" x14ac:dyDescent="0.4">
      <c r="A917" s="11" t="s">
        <v>1876</v>
      </c>
      <c r="B917" s="11" t="s">
        <v>1877</v>
      </c>
      <c r="C917" s="11" t="s">
        <v>19</v>
      </c>
      <c r="D917" s="11" t="s">
        <v>18</v>
      </c>
      <c r="E917" s="18" t="str">
        <f>_xlfn.XLOOKUP(A917,'Current Month'!A:A,'Current Month'!I:I,"")</f>
        <v/>
      </c>
      <c r="F917" s="21" t="str">
        <f>_xlfn.XLOOKUP(A917,'Prior Month'!A:A,'Prior Month'!I:I,"")</f>
        <v/>
      </c>
      <c r="G917" s="18" t="str">
        <f>_xlfn.XLOOKUP(A917,'Year end 2024'!A:A,'Year end 2024'!I:I,"")</f>
        <v/>
      </c>
      <c r="H917" s="19">
        <f>_xlfn.XLOOKUP(A917,'Current Month'!A:A,'Current Month'!E:E,0,0)</f>
        <v>28719.5</v>
      </c>
      <c r="I917" s="32">
        <f>_xlfn.XLOOKUP(A917,'Prior Month'!A:A,'Prior Month'!E:E,0,0)</f>
        <v>20277.740000000002</v>
      </c>
      <c r="J917" s="32">
        <f>_xlfn.XLOOKUP(A917,'Year end 2024'!A:A,'Year end 2024'!E:E,0,0)</f>
        <v>58772.73</v>
      </c>
      <c r="K917" s="14">
        <f t="shared" si="28"/>
        <v>8441.7599999999984</v>
      </c>
      <c r="L917" s="14">
        <f t="shared" si="29"/>
        <v>-30053.230000000003</v>
      </c>
    </row>
    <row r="918" spans="1:12" ht="35.15" customHeight="1" x14ac:dyDescent="0.4">
      <c r="A918" s="11" t="s">
        <v>1878</v>
      </c>
      <c r="B918" s="11" t="s">
        <v>1879</v>
      </c>
      <c r="C918" s="11" t="s">
        <v>57</v>
      </c>
      <c r="D918" s="11" t="s">
        <v>56</v>
      </c>
      <c r="E918" s="18" t="str">
        <f>_xlfn.XLOOKUP(A918,'Current Month'!A:A,'Current Month'!I:I,"")</f>
        <v/>
      </c>
      <c r="F918" s="21" t="str">
        <f>_xlfn.XLOOKUP(A918,'Prior Month'!A:A,'Prior Month'!I:I,"")</f>
        <v/>
      </c>
      <c r="G918" s="18" t="str">
        <f>_xlfn.XLOOKUP(A918,'Year end 2024'!A:A,'Year end 2024'!I:I,"")</f>
        <v/>
      </c>
      <c r="H918" s="19">
        <f>_xlfn.XLOOKUP(A918,'Current Month'!A:A,'Current Month'!E:E,0,0)</f>
        <v>193071.79</v>
      </c>
      <c r="I918" s="32">
        <f>_xlfn.XLOOKUP(A918,'Prior Month'!A:A,'Prior Month'!E:E,0,0)</f>
        <v>93190.56</v>
      </c>
      <c r="J918" s="32">
        <f>_xlfn.XLOOKUP(A918,'Year end 2024'!A:A,'Year end 2024'!E:E,0,0)</f>
        <v>83706.95</v>
      </c>
      <c r="K918" s="14">
        <f t="shared" si="28"/>
        <v>99881.23000000001</v>
      </c>
      <c r="L918" s="14">
        <f t="shared" si="29"/>
        <v>109364.84000000001</v>
      </c>
    </row>
    <row r="919" spans="1:12" ht="35.15" customHeight="1" x14ac:dyDescent="0.4">
      <c r="A919" s="11" t="s">
        <v>1880</v>
      </c>
      <c r="B919" s="11" t="s">
        <v>1881</v>
      </c>
      <c r="C919" s="11" t="s">
        <v>51</v>
      </c>
      <c r="D919" s="11" t="s">
        <v>50</v>
      </c>
      <c r="E919" s="18" t="str">
        <f>_xlfn.XLOOKUP(A919,'Current Month'!A:A,'Current Month'!I:I,"")</f>
        <v/>
      </c>
      <c r="F919" s="21" t="str">
        <f>_xlfn.XLOOKUP(A919,'Prior Month'!A:A,'Prior Month'!I:I,"")</f>
        <v/>
      </c>
      <c r="G919" s="18">
        <f>_xlfn.XLOOKUP(A919,'Year end 2024'!A:A,'Year end 2024'!I:I,"")</f>
        <v>1.3545578780803575</v>
      </c>
      <c r="H919" s="19">
        <f>_xlfn.XLOOKUP(A919,'Current Month'!A:A,'Current Month'!E:E,0,0)</f>
        <v>20716</v>
      </c>
      <c r="I919" s="32">
        <f>_xlfn.XLOOKUP(A919,'Prior Month'!A:A,'Prior Month'!E:E,0,0)</f>
        <v>20433.8</v>
      </c>
      <c r="J919" s="32">
        <f>_xlfn.XLOOKUP(A919,'Year end 2024'!A:A,'Year end 2024'!E:E,0,0)</f>
        <v>19586.04</v>
      </c>
      <c r="K919" s="14">
        <f t="shared" si="28"/>
        <v>282.20000000000073</v>
      </c>
      <c r="L919" s="14">
        <f t="shared" si="29"/>
        <v>1129.9599999999991</v>
      </c>
    </row>
    <row r="920" spans="1:12" ht="35.15" customHeight="1" x14ac:dyDescent="0.4">
      <c r="A920" s="11" t="s">
        <v>1882</v>
      </c>
      <c r="B920" s="11" t="s">
        <v>1883</v>
      </c>
      <c r="C920" s="11" t="s">
        <v>51</v>
      </c>
      <c r="D920" s="11" t="s">
        <v>50</v>
      </c>
      <c r="E920" s="18" t="str">
        <f>_xlfn.XLOOKUP(A920,'Current Month'!A:A,'Current Month'!I:I,"")</f>
        <v/>
      </c>
      <c r="F920" s="21" t="str">
        <f>_xlfn.XLOOKUP(A920,'Prior Month'!A:A,'Prior Month'!I:I,"")</f>
        <v/>
      </c>
      <c r="G920" s="18" t="str">
        <f>_xlfn.XLOOKUP(A920,'Year end 2024'!A:A,'Year end 2024'!I:I,"")</f>
        <v/>
      </c>
      <c r="H920" s="19">
        <f>_xlfn.XLOOKUP(A920,'Current Month'!A:A,'Current Month'!E:E,0,0)</f>
        <v>3713.7</v>
      </c>
      <c r="I920" s="32">
        <f>_xlfn.XLOOKUP(A920,'Prior Month'!A:A,'Prior Month'!E:E,0,0)</f>
        <v>5313.7</v>
      </c>
      <c r="J920" s="32">
        <f>_xlfn.XLOOKUP(A920,'Year end 2024'!A:A,'Year end 2024'!E:E,0,0)</f>
        <v>15987.84</v>
      </c>
      <c r="K920" s="14">
        <f t="shared" si="28"/>
        <v>-1600</v>
      </c>
      <c r="L920" s="14">
        <f t="shared" si="29"/>
        <v>-12274.14</v>
      </c>
    </row>
    <row r="921" spans="1:12" ht="35.15" customHeight="1" x14ac:dyDescent="0.4">
      <c r="A921" s="11" t="s">
        <v>1884</v>
      </c>
      <c r="B921" s="11" t="s">
        <v>1885</v>
      </c>
      <c r="C921" s="11" t="s">
        <v>51</v>
      </c>
      <c r="D921" s="11" t="s">
        <v>50</v>
      </c>
      <c r="E921" s="18" t="str">
        <f>_xlfn.XLOOKUP(A921,'Current Month'!A:A,'Current Month'!I:I,"")</f>
        <v/>
      </c>
      <c r="F921" s="21" t="str">
        <f>_xlfn.XLOOKUP(A921,'Prior Month'!A:A,'Prior Month'!I:I,"")</f>
        <v/>
      </c>
      <c r="G921" s="18" t="str">
        <f>_xlfn.XLOOKUP(A921,'Year end 2024'!A:A,'Year end 2024'!I:I,"")</f>
        <v/>
      </c>
      <c r="H921" s="19">
        <f>_xlfn.XLOOKUP(A921,'Current Month'!A:A,'Current Month'!E:E,0,0)</f>
        <v>643686.73</v>
      </c>
      <c r="I921" s="32">
        <f>_xlfn.XLOOKUP(A921,'Prior Month'!A:A,'Prior Month'!E:E,0,0)</f>
        <v>646678.28</v>
      </c>
      <c r="J921" s="32">
        <f>_xlfn.XLOOKUP(A921,'Year end 2024'!A:A,'Year end 2024'!E:E,0,0)</f>
        <v>491267</v>
      </c>
      <c r="K921" s="14">
        <f t="shared" si="28"/>
        <v>-2991.5500000000466</v>
      </c>
      <c r="L921" s="14">
        <f t="shared" si="29"/>
        <v>152419.72999999998</v>
      </c>
    </row>
    <row r="922" spans="1:12" ht="35.15" customHeight="1" x14ac:dyDescent="0.4">
      <c r="A922" s="11" t="s">
        <v>1886</v>
      </c>
      <c r="B922" s="11" t="s">
        <v>1887</v>
      </c>
      <c r="C922" s="11" t="s">
        <v>51</v>
      </c>
      <c r="D922" s="11" t="s">
        <v>50</v>
      </c>
      <c r="E922" s="18" t="str">
        <f>_xlfn.XLOOKUP(A922,'Current Month'!A:A,'Current Month'!I:I,"")</f>
        <v/>
      </c>
      <c r="F922" s="21" t="str">
        <f>_xlfn.XLOOKUP(A922,'Prior Month'!A:A,'Prior Month'!I:I,"")</f>
        <v/>
      </c>
      <c r="G922" s="18" t="str">
        <f>_xlfn.XLOOKUP(A922,'Year end 2024'!A:A,'Year end 2024'!I:I,"")</f>
        <v/>
      </c>
      <c r="H922" s="19">
        <f>_xlfn.XLOOKUP(A922,'Current Month'!A:A,'Current Month'!E:E,0,0)</f>
        <v>46970.73</v>
      </c>
      <c r="I922" s="32">
        <f>_xlfn.XLOOKUP(A922,'Prior Month'!A:A,'Prior Month'!E:E,0,0)</f>
        <v>42093.52</v>
      </c>
      <c r="J922" s="32">
        <f>_xlfn.XLOOKUP(A922,'Year end 2024'!A:A,'Year end 2024'!E:E,0,0)</f>
        <v>87990.26</v>
      </c>
      <c r="K922" s="14">
        <f t="shared" si="28"/>
        <v>4877.2100000000064</v>
      </c>
      <c r="L922" s="14">
        <f t="shared" si="29"/>
        <v>-41019.529999999992</v>
      </c>
    </row>
    <row r="923" spans="1:12" ht="35.15" customHeight="1" x14ac:dyDescent="0.4">
      <c r="A923" s="11" t="s">
        <v>1888</v>
      </c>
      <c r="B923" s="11" t="s">
        <v>1889</v>
      </c>
      <c r="C923" s="11" t="s">
        <v>385</v>
      </c>
      <c r="D923" s="11" t="s">
        <v>384</v>
      </c>
      <c r="E923" s="18" t="str">
        <f>_xlfn.XLOOKUP(A923,'Current Month'!A:A,'Current Month'!I:I,"")</f>
        <v/>
      </c>
      <c r="F923" s="21" t="str">
        <f>_xlfn.XLOOKUP(A923,'Prior Month'!A:A,'Prior Month'!I:I,"")</f>
        <v/>
      </c>
      <c r="G923" s="18" t="str">
        <f>_xlfn.XLOOKUP(A923,'Year end 2024'!A:A,'Year end 2024'!I:I,"")</f>
        <v/>
      </c>
      <c r="H923" s="19">
        <f>_xlfn.XLOOKUP(A923,'Current Month'!A:A,'Current Month'!E:E,0,0)</f>
        <v>862.74</v>
      </c>
      <c r="I923" s="32">
        <f>_xlfn.XLOOKUP(A923,'Prior Month'!A:A,'Prior Month'!E:E,0,0)</f>
        <v>867.74</v>
      </c>
      <c r="J923" s="32">
        <f>_xlfn.XLOOKUP(A923,'Year end 2024'!A:A,'Year end 2024'!E:E,0,0)</f>
        <v>912.74</v>
      </c>
      <c r="K923" s="14">
        <f t="shared" si="28"/>
        <v>-5</v>
      </c>
      <c r="L923" s="14">
        <f t="shared" si="29"/>
        <v>-50</v>
      </c>
    </row>
    <row r="924" spans="1:12" ht="35.15" customHeight="1" x14ac:dyDescent="0.4">
      <c r="A924" s="11" t="s">
        <v>1890</v>
      </c>
      <c r="B924" s="11" t="s">
        <v>1891</v>
      </c>
      <c r="C924" s="11" t="s">
        <v>41</v>
      </c>
      <c r="D924" s="11" t="s">
        <v>40</v>
      </c>
      <c r="E924" s="18">
        <f>_xlfn.XLOOKUP(A924,'Current Month'!A:A,'Current Month'!I:I,"")</f>
        <v>12.958731999999999</v>
      </c>
      <c r="F924" s="21">
        <f>_xlfn.XLOOKUP(A924,'Prior Month'!A:A,'Prior Month'!I:I,"")</f>
        <v>14.077783799999999</v>
      </c>
      <c r="G924" s="18" t="str">
        <f>_xlfn.XLOOKUP(A924,'Year end 2024'!A:A,'Year end 2024'!I:I,"")</f>
        <v/>
      </c>
      <c r="H924" s="19">
        <f>_xlfn.XLOOKUP(A924,'Current Month'!A:A,'Current Month'!E:E,0,0)</f>
        <v>647936.6</v>
      </c>
      <c r="I924" s="32">
        <f>_xlfn.XLOOKUP(A924,'Prior Month'!A:A,'Prior Month'!E:E,0,0)</f>
        <v>703889.19</v>
      </c>
      <c r="J924" s="32">
        <f>_xlfn.XLOOKUP(A924,'Year end 2024'!A:A,'Year end 2024'!E:E,0,0)</f>
        <v>766588.04</v>
      </c>
      <c r="K924" s="14">
        <f t="shared" si="28"/>
        <v>-55952.589999999967</v>
      </c>
      <c r="L924" s="14">
        <f t="shared" si="29"/>
        <v>-118651.44000000006</v>
      </c>
    </row>
    <row r="925" spans="1:12" ht="35.15" customHeight="1" x14ac:dyDescent="0.4">
      <c r="A925" s="11" t="s">
        <v>1892</v>
      </c>
      <c r="B925" s="11" t="s">
        <v>1893</v>
      </c>
      <c r="C925" s="11" t="s">
        <v>57</v>
      </c>
      <c r="D925" s="11" t="s">
        <v>56</v>
      </c>
      <c r="E925" s="18" t="str">
        <f>_xlfn.XLOOKUP(A925,'Current Month'!A:A,'Current Month'!I:I,"")</f>
        <v/>
      </c>
      <c r="F925" s="21" t="str">
        <f>_xlfn.XLOOKUP(A925,'Prior Month'!A:A,'Prior Month'!I:I,"")</f>
        <v/>
      </c>
      <c r="G925" s="18" t="str">
        <f>_xlfn.XLOOKUP(A925,'Year end 2024'!A:A,'Year end 2024'!I:I,"")</f>
        <v/>
      </c>
      <c r="H925" s="19">
        <f>_xlfn.XLOOKUP(A925,'Current Month'!A:A,'Current Month'!E:E,0,0)</f>
        <v>76426.039999999994</v>
      </c>
      <c r="I925" s="32">
        <f>_xlfn.XLOOKUP(A925,'Prior Month'!A:A,'Prior Month'!E:E,0,0)</f>
        <v>75613.350000000006</v>
      </c>
      <c r="J925" s="32">
        <f>_xlfn.XLOOKUP(A925,'Year end 2024'!A:A,'Year end 2024'!E:E,0,0)</f>
        <v>76877.81</v>
      </c>
      <c r="K925" s="14">
        <f t="shared" si="28"/>
        <v>812.68999999998778</v>
      </c>
      <c r="L925" s="14">
        <f t="shared" si="29"/>
        <v>-451.77000000000407</v>
      </c>
    </row>
    <row r="926" spans="1:12" ht="35.15" customHeight="1" x14ac:dyDescent="0.4">
      <c r="A926" s="11" t="s">
        <v>1894</v>
      </c>
      <c r="B926" s="11" t="s">
        <v>1895</v>
      </c>
      <c r="C926" s="11" t="s">
        <v>29</v>
      </c>
      <c r="D926" s="11" t="s">
        <v>28</v>
      </c>
      <c r="E926" s="18" t="str">
        <f>_xlfn.XLOOKUP(A926,'Current Month'!A:A,'Current Month'!I:I,"")</f>
        <v/>
      </c>
      <c r="F926" s="21" t="str">
        <f>_xlfn.XLOOKUP(A926,'Prior Month'!A:A,'Prior Month'!I:I,"")</f>
        <v/>
      </c>
      <c r="G926" s="18" t="str">
        <f>_xlfn.XLOOKUP(A926,'Year end 2024'!A:A,'Year end 2024'!I:I,"")</f>
        <v/>
      </c>
      <c r="H926" s="19">
        <f>_xlfn.XLOOKUP(A926,'Current Month'!A:A,'Current Month'!E:E,0,0)</f>
        <v>67957.16</v>
      </c>
      <c r="I926" s="32">
        <f>_xlfn.XLOOKUP(A926,'Prior Month'!A:A,'Prior Month'!E:E,0,0)</f>
        <v>67961.69</v>
      </c>
      <c r="J926" s="32">
        <f>_xlfn.XLOOKUP(A926,'Year end 2024'!A:A,'Year end 2024'!E:E,0,0)</f>
        <v>11614.28</v>
      </c>
      <c r="K926" s="14">
        <f t="shared" si="28"/>
        <v>-4.5299999999988358</v>
      </c>
      <c r="L926" s="14">
        <f t="shared" si="29"/>
        <v>56342.880000000005</v>
      </c>
    </row>
    <row r="927" spans="1:12" ht="35.15" customHeight="1" x14ac:dyDescent="0.4">
      <c r="A927" s="11" t="s">
        <v>1896</v>
      </c>
      <c r="B927" s="11" t="s">
        <v>1897</v>
      </c>
      <c r="C927" s="11" t="s">
        <v>29</v>
      </c>
      <c r="D927" s="11" t="s">
        <v>28</v>
      </c>
      <c r="E927" s="18">
        <f>_xlfn.XLOOKUP(A927,'Current Month'!A:A,'Current Month'!I:I,"")</f>
        <v>4.1847563397443235</v>
      </c>
      <c r="F927" s="21">
        <f>_xlfn.XLOOKUP(A927,'Prior Month'!A:A,'Prior Month'!I:I,"")</f>
        <v>5.5781562470303783</v>
      </c>
      <c r="G927" s="18">
        <f>_xlfn.XLOOKUP(A927,'Year end 2024'!A:A,'Year end 2024'!I:I,"")</f>
        <v>3.2912998165486935</v>
      </c>
      <c r="H927" s="19">
        <f>_xlfn.XLOOKUP(A927,'Current Month'!A:A,'Current Month'!E:E,0,0)</f>
        <v>37297.980000000003</v>
      </c>
      <c r="I927" s="32">
        <f>_xlfn.XLOOKUP(A927,'Prior Month'!A:A,'Prior Month'!E:E,0,0)</f>
        <v>52830.16</v>
      </c>
      <c r="J927" s="32">
        <f>_xlfn.XLOOKUP(A927,'Year end 2024'!A:A,'Year end 2024'!E:E,0,0)</f>
        <v>47023.360000000001</v>
      </c>
      <c r="K927" s="14">
        <f t="shared" si="28"/>
        <v>-15532.18</v>
      </c>
      <c r="L927" s="14">
        <f t="shared" si="29"/>
        <v>-9725.3799999999974</v>
      </c>
    </row>
    <row r="928" spans="1:12" ht="35.15" customHeight="1" x14ac:dyDescent="0.4">
      <c r="A928" s="11" t="s">
        <v>1898</v>
      </c>
      <c r="B928" s="11" t="s">
        <v>1899</v>
      </c>
      <c r="C928" s="11" t="s">
        <v>67</v>
      </c>
      <c r="D928" s="11" t="s">
        <v>66</v>
      </c>
      <c r="E928" s="18">
        <f>_xlfn.XLOOKUP(A928,'Current Month'!A:A,'Current Month'!I:I,"")</f>
        <v>2.5853018399999996</v>
      </c>
      <c r="F928" s="21">
        <f>_xlfn.XLOOKUP(A928,'Prior Month'!A:A,'Prior Month'!I:I,"")</f>
        <v>2.5921426000000003</v>
      </c>
      <c r="G928" s="18">
        <f>_xlfn.XLOOKUP(A928,'Year end 2024'!A:A,'Year end 2024'!I:I,"")</f>
        <v>2.1267205599999999</v>
      </c>
      <c r="H928" s="19">
        <f>_xlfn.XLOOKUP(A928,'Current Month'!A:A,'Current Month'!E:E,0,0)</f>
        <v>646325.46</v>
      </c>
      <c r="I928" s="32">
        <f>_xlfn.XLOOKUP(A928,'Prior Month'!A:A,'Prior Month'!E:E,0,0)</f>
        <v>648035.65</v>
      </c>
      <c r="J928" s="32">
        <f>_xlfn.XLOOKUP(A928,'Year end 2024'!A:A,'Year end 2024'!E:E,0,0)</f>
        <v>531680.14</v>
      </c>
      <c r="K928" s="14">
        <f t="shared" si="28"/>
        <v>-1710.1900000000605</v>
      </c>
      <c r="L928" s="14">
        <f t="shared" si="29"/>
        <v>114645.31999999995</v>
      </c>
    </row>
    <row r="929" spans="1:12" ht="35.15" customHeight="1" x14ac:dyDescent="0.4">
      <c r="A929" s="11" t="s">
        <v>1900</v>
      </c>
      <c r="B929" s="11" t="s">
        <v>1901</v>
      </c>
      <c r="C929" s="11" t="s">
        <v>77</v>
      </c>
      <c r="D929" s="11" t="s">
        <v>76</v>
      </c>
      <c r="E929" s="18" t="str">
        <f>_xlfn.XLOOKUP(A929,'Current Month'!A:A,'Current Month'!I:I,"")</f>
        <v/>
      </c>
      <c r="F929" s="21" t="str">
        <f>_xlfn.XLOOKUP(A929,'Prior Month'!A:A,'Prior Month'!I:I,"")</f>
        <v/>
      </c>
      <c r="G929" s="18" t="str">
        <f>_xlfn.XLOOKUP(A929,'Year end 2024'!A:A,'Year end 2024'!I:I,"")</f>
        <v/>
      </c>
      <c r="H929" s="19">
        <f>_xlfn.XLOOKUP(A929,'Current Month'!A:A,'Current Month'!E:E,0,0)</f>
        <v>34716.239999999998</v>
      </c>
      <c r="I929" s="32">
        <f>_xlfn.XLOOKUP(A929,'Prior Month'!A:A,'Prior Month'!E:E,0,0)</f>
        <v>29359.63</v>
      </c>
      <c r="J929" s="32">
        <f>_xlfn.XLOOKUP(A929,'Year end 2024'!A:A,'Year end 2024'!E:E,0,0)</f>
        <v>38178.76</v>
      </c>
      <c r="K929" s="14">
        <f t="shared" si="28"/>
        <v>5356.6099999999969</v>
      </c>
      <c r="L929" s="14">
        <f t="shared" si="29"/>
        <v>-3462.5200000000041</v>
      </c>
    </row>
    <row r="930" spans="1:12" ht="35.15" customHeight="1" x14ac:dyDescent="0.4">
      <c r="A930" s="11" t="s">
        <v>1902</v>
      </c>
      <c r="B930" s="11" t="s">
        <v>1903</v>
      </c>
      <c r="C930" s="11" t="s">
        <v>51</v>
      </c>
      <c r="D930" s="11" t="s">
        <v>50</v>
      </c>
      <c r="E930" s="18">
        <f>_xlfn.XLOOKUP(A930,'Current Month'!A:A,'Current Month'!I:I,"")</f>
        <v>1.2277953645263266E-2</v>
      </c>
      <c r="F930" s="21">
        <f>_xlfn.XLOOKUP(A930,'Prior Month'!A:A,'Prior Month'!I:I,"")</f>
        <v>0.24025464738022986</v>
      </c>
      <c r="G930" s="18">
        <f>_xlfn.XLOOKUP(A930,'Year end 2024'!A:A,'Year end 2024'!I:I,"")</f>
        <v>7.2006977227793457E-4</v>
      </c>
      <c r="H930" s="19">
        <f>_xlfn.XLOOKUP(A930,'Current Month'!A:A,'Current Month'!E:E,0,0)</f>
        <v>112.4</v>
      </c>
      <c r="I930" s="32">
        <f>_xlfn.XLOOKUP(A930,'Prior Month'!A:A,'Prior Month'!E:E,0,0)</f>
        <v>2199.44</v>
      </c>
      <c r="J930" s="32">
        <f>_xlfn.XLOOKUP(A930,'Year end 2024'!A:A,'Year end 2024'!E:E,0,0)</f>
        <v>6.96</v>
      </c>
      <c r="K930" s="14">
        <f t="shared" si="28"/>
        <v>-2087.04</v>
      </c>
      <c r="L930" s="14">
        <f t="shared" si="29"/>
        <v>105.44000000000001</v>
      </c>
    </row>
    <row r="931" spans="1:12" ht="35.15" customHeight="1" x14ac:dyDescent="0.4">
      <c r="A931" s="11" t="s">
        <v>1904</v>
      </c>
      <c r="B931" s="11" t="s">
        <v>1905</v>
      </c>
      <c r="C931" s="11" t="s">
        <v>259</v>
      </c>
      <c r="D931" s="11" t="s">
        <v>258</v>
      </c>
      <c r="E931" s="18">
        <f>_xlfn.XLOOKUP(A931,'Current Month'!A:A,'Current Month'!I:I,"")</f>
        <v>3.8417269199999997</v>
      </c>
      <c r="F931" s="21">
        <f>_xlfn.XLOOKUP(A931,'Prior Month'!A:A,'Prior Month'!I:I,"")</f>
        <v>5.5493396800000001</v>
      </c>
      <c r="G931" s="18">
        <f>_xlfn.XLOOKUP(A931,'Year end 2024'!A:A,'Year end 2024'!I:I,"")</f>
        <v>3.2525037999999999</v>
      </c>
      <c r="H931" s="19">
        <f>_xlfn.XLOOKUP(A931,'Current Month'!A:A,'Current Month'!E:E,0,0)</f>
        <v>960431.73</v>
      </c>
      <c r="I931" s="32">
        <f>_xlfn.XLOOKUP(A931,'Prior Month'!A:A,'Prior Month'!E:E,0,0)</f>
        <v>1387334.92</v>
      </c>
      <c r="J931" s="32">
        <f>_xlfn.XLOOKUP(A931,'Year end 2024'!A:A,'Year end 2024'!E:E,0,0)</f>
        <v>813125.95</v>
      </c>
      <c r="K931" s="14">
        <f t="shared" si="28"/>
        <v>-426903.18999999994</v>
      </c>
      <c r="L931" s="14">
        <f t="shared" si="29"/>
        <v>147305.78000000003</v>
      </c>
    </row>
    <row r="932" spans="1:12" ht="35.15" customHeight="1" x14ac:dyDescent="0.4">
      <c r="A932" s="11" t="s">
        <v>1906</v>
      </c>
      <c r="B932" s="11" t="s">
        <v>1907</v>
      </c>
      <c r="C932" s="11" t="s">
        <v>19</v>
      </c>
      <c r="D932" s="11" t="s">
        <v>18</v>
      </c>
      <c r="E932" s="18">
        <f>_xlfn.XLOOKUP(A932,'Current Month'!A:A,'Current Month'!I:I,"")</f>
        <v>2.3125152982456139</v>
      </c>
      <c r="F932" s="21">
        <f>_xlfn.XLOOKUP(A932,'Prior Month'!A:A,'Prior Month'!I:I,"")</f>
        <v>2.5129280350877194</v>
      </c>
      <c r="G932" s="18">
        <f>_xlfn.XLOOKUP(A932,'Year end 2024'!A:A,'Year end 2024'!I:I,"")</f>
        <v>1.4187215789473686</v>
      </c>
      <c r="H932" s="19">
        <f>_xlfn.XLOOKUP(A932,'Current Month'!A:A,'Current Month'!E:E,0,0)</f>
        <v>659066.86</v>
      </c>
      <c r="I932" s="32">
        <f>_xlfn.XLOOKUP(A932,'Prior Month'!A:A,'Prior Month'!E:E,0,0)</f>
        <v>716184.49</v>
      </c>
      <c r="J932" s="32">
        <f>_xlfn.XLOOKUP(A932,'Year end 2024'!A:A,'Year end 2024'!E:E,0,0)</f>
        <v>404335.65</v>
      </c>
      <c r="K932" s="14">
        <f t="shared" si="28"/>
        <v>-57117.630000000005</v>
      </c>
      <c r="L932" s="14">
        <f t="shared" si="29"/>
        <v>254731.20999999996</v>
      </c>
    </row>
    <row r="933" spans="1:12" ht="35.15" customHeight="1" x14ac:dyDescent="0.4">
      <c r="A933" s="11" t="s">
        <v>1908</v>
      </c>
      <c r="B933" s="11" t="s">
        <v>1909</v>
      </c>
      <c r="C933" s="11" t="s">
        <v>33</v>
      </c>
      <c r="D933" s="11" t="s">
        <v>32</v>
      </c>
      <c r="E933" s="18">
        <f>_xlfn.XLOOKUP(A933,'Current Month'!A:A,'Current Month'!I:I,"")</f>
        <v>3.2417097868526229E-2</v>
      </c>
      <c r="F933" s="21">
        <f>_xlfn.XLOOKUP(A933,'Prior Month'!A:A,'Prior Month'!I:I,"")</f>
        <v>2.6512089698256573E-2</v>
      </c>
      <c r="G933" s="18">
        <f>_xlfn.XLOOKUP(A933,'Year end 2024'!A:A,'Year end 2024'!I:I,"")</f>
        <v>2.0521604809411287E-2</v>
      </c>
      <c r="H933" s="19">
        <f>_xlfn.XLOOKUP(A933,'Current Month'!A:A,'Current Month'!E:E,0,0)</f>
        <v>7040.84</v>
      </c>
      <c r="I933" s="32">
        <f>_xlfn.XLOOKUP(A933,'Prior Month'!A:A,'Prior Month'!E:E,0,0)</f>
        <v>5801.49</v>
      </c>
      <c r="J933" s="32">
        <f>_xlfn.XLOOKUP(A933,'Year end 2024'!A:A,'Year end 2024'!E:E,0,0)</f>
        <v>4787.47</v>
      </c>
      <c r="K933" s="14">
        <f t="shared" si="28"/>
        <v>1239.3500000000004</v>
      </c>
      <c r="L933" s="14">
        <f t="shared" si="29"/>
        <v>2253.37</v>
      </c>
    </row>
    <row r="934" spans="1:12" ht="35.15" customHeight="1" x14ac:dyDescent="0.4">
      <c r="A934" s="11" t="s">
        <v>1910</v>
      </c>
      <c r="B934" s="11" t="s">
        <v>1911</v>
      </c>
      <c r="C934" s="11" t="s">
        <v>19</v>
      </c>
      <c r="D934" s="11" t="s">
        <v>18</v>
      </c>
      <c r="E934" s="18">
        <f>_xlfn.XLOOKUP(A934,'Current Month'!A:A,'Current Month'!I:I,"")</f>
        <v>673.59630000000004</v>
      </c>
      <c r="F934" s="21">
        <f>_xlfn.XLOOKUP(A934,'Prior Month'!A:A,'Prior Month'!I:I,"")</f>
        <v>392.40776666666665</v>
      </c>
      <c r="G934" s="18">
        <f>_xlfn.XLOOKUP(A934,'Year end 2024'!A:A,'Year end 2024'!I:I,"")</f>
        <v>355.55330000000004</v>
      </c>
      <c r="H934" s="19">
        <f>_xlfn.XLOOKUP(A934,'Current Month'!A:A,'Current Month'!E:E,0,0)</f>
        <v>202078.89</v>
      </c>
      <c r="I934" s="32">
        <f>_xlfn.XLOOKUP(A934,'Prior Month'!A:A,'Prior Month'!E:E,0,0)</f>
        <v>117722.33</v>
      </c>
      <c r="J934" s="32">
        <f>_xlfn.XLOOKUP(A934,'Year end 2024'!A:A,'Year end 2024'!E:E,0,0)</f>
        <v>106665.99</v>
      </c>
      <c r="K934" s="14">
        <f t="shared" si="28"/>
        <v>84356.560000000012</v>
      </c>
      <c r="L934" s="14">
        <f t="shared" si="29"/>
        <v>95412.900000000009</v>
      </c>
    </row>
    <row r="935" spans="1:12" ht="35.15" customHeight="1" x14ac:dyDescent="0.4">
      <c r="A935" s="11" t="s">
        <v>1912</v>
      </c>
      <c r="B935" s="11" t="s">
        <v>1913</v>
      </c>
      <c r="C935" s="11" t="s">
        <v>487</v>
      </c>
      <c r="D935" s="11" t="s">
        <v>486</v>
      </c>
      <c r="E935" s="18">
        <f>_xlfn.XLOOKUP(A935,'Current Month'!A:A,'Current Month'!I:I,"")</f>
        <v>3.0451242141907295E-2</v>
      </c>
      <c r="F935" s="21">
        <f>_xlfn.XLOOKUP(A935,'Prior Month'!A:A,'Prior Month'!I:I,"")</f>
        <v>2.6907177014857168E-2</v>
      </c>
      <c r="G935" s="18">
        <f>_xlfn.XLOOKUP(A935,'Year end 2024'!A:A,'Year end 2024'!I:I,"")</f>
        <v>1.52709E-3</v>
      </c>
      <c r="H935" s="19">
        <f>_xlfn.XLOOKUP(A935,'Current Month'!A:A,'Current Month'!E:E,0,0)</f>
        <v>90858.81</v>
      </c>
      <c r="I935" s="32">
        <f>_xlfn.XLOOKUP(A935,'Prior Month'!A:A,'Prior Month'!E:E,0,0)</f>
        <v>80524.259999999995</v>
      </c>
      <c r="J935" s="32">
        <f>_xlfn.XLOOKUP(A935,'Year end 2024'!A:A,'Year end 2024'!E:E,0,0)</f>
        <v>4581.2700000000004</v>
      </c>
      <c r="K935" s="14">
        <f t="shared" si="28"/>
        <v>10334.550000000003</v>
      </c>
      <c r="L935" s="14">
        <f t="shared" si="29"/>
        <v>86277.54</v>
      </c>
    </row>
    <row r="936" spans="1:12" ht="35.15" customHeight="1" x14ac:dyDescent="0.4">
      <c r="A936" s="11" t="s">
        <v>1914</v>
      </c>
      <c r="B936" s="11" t="s">
        <v>1915</v>
      </c>
      <c r="C936" s="11" t="s">
        <v>213</v>
      </c>
      <c r="D936" s="11" t="s">
        <v>212</v>
      </c>
      <c r="E936" s="18" t="e">
        <f>_xlfn.XLOOKUP(A936,'Current Month'!A:A,'Current Month'!I:I,"")</f>
        <v>#DIV/0!</v>
      </c>
      <c r="F936" s="21" t="e">
        <f>_xlfn.XLOOKUP(A936,'Prior Month'!A:A,'Prior Month'!I:I,"")</f>
        <v>#DIV/0!</v>
      </c>
      <c r="G936" s="18">
        <f>_xlfn.XLOOKUP(A936,'Year end 2024'!A:A,'Year end 2024'!I:I,"")</f>
        <v>3.2406769030809322E-2</v>
      </c>
      <c r="H936" s="19">
        <f>_xlfn.XLOOKUP(A936,'Current Month'!A:A,'Current Month'!E:E,0,0)</f>
        <v>0</v>
      </c>
      <c r="I936" s="32">
        <f>_xlfn.XLOOKUP(A936,'Prior Month'!A:A,'Prior Month'!E:E,0,0)</f>
        <v>0</v>
      </c>
      <c r="J936" s="32">
        <f>_xlfn.XLOOKUP(A936,'Year end 2024'!A:A,'Year end 2024'!E:E,0,0)</f>
        <v>1285.56</v>
      </c>
      <c r="K936" s="14">
        <f t="shared" si="28"/>
        <v>0</v>
      </c>
      <c r="L936" s="14">
        <f t="shared" si="29"/>
        <v>-1285.56</v>
      </c>
    </row>
    <row r="937" spans="1:12" ht="35.15" customHeight="1" x14ac:dyDescent="0.4">
      <c r="A937" s="11" t="s">
        <v>1916</v>
      </c>
      <c r="B937" s="11" t="s">
        <v>1917</v>
      </c>
      <c r="C937" s="11" t="s">
        <v>642</v>
      </c>
      <c r="D937" s="11" t="s">
        <v>641</v>
      </c>
      <c r="E937" s="18">
        <f>_xlfn.XLOOKUP(A937,'Current Month'!A:A,'Current Month'!I:I,"")</f>
        <v>0.24782284894556675</v>
      </c>
      <c r="F937" s="21">
        <f>_xlfn.XLOOKUP(A937,'Prior Month'!A:A,'Prior Month'!I:I,"")</f>
        <v>0.26792576144201469</v>
      </c>
      <c r="G937" s="18">
        <f>_xlfn.XLOOKUP(A937,'Year end 2024'!A:A,'Year end 2024'!I:I,"")</f>
        <v>0.23538027794372032</v>
      </c>
      <c r="H937" s="19">
        <f>_xlfn.XLOOKUP(A937,'Current Month'!A:A,'Current Month'!E:E,0,0)</f>
        <v>55012.4</v>
      </c>
      <c r="I937" s="32">
        <f>_xlfn.XLOOKUP(A937,'Prior Month'!A:A,'Prior Month'!E:E,0,0)</f>
        <v>59474.9</v>
      </c>
      <c r="J937" s="32">
        <f>_xlfn.XLOOKUP(A937,'Year end 2024'!A:A,'Year end 2024'!E:E,0,0)</f>
        <v>57907.99</v>
      </c>
      <c r="K937" s="14">
        <f t="shared" si="28"/>
        <v>-4462.5</v>
      </c>
      <c r="L937" s="14">
        <f t="shared" si="29"/>
        <v>-2895.5899999999965</v>
      </c>
    </row>
    <row r="938" spans="1:12" ht="35.15" customHeight="1" x14ac:dyDescent="0.4">
      <c r="A938" s="11" t="s">
        <v>1918</v>
      </c>
      <c r="B938" s="11" t="s">
        <v>1919</v>
      </c>
      <c r="C938" s="11" t="s">
        <v>465</v>
      </c>
      <c r="D938" s="11" t="s">
        <v>464</v>
      </c>
      <c r="E938" s="18">
        <f>_xlfn.XLOOKUP(A938,'Current Month'!A:A,'Current Month'!I:I,"")</f>
        <v>0.16532277267713555</v>
      </c>
      <c r="F938" s="21">
        <f>_xlfn.XLOOKUP(A938,'Prior Month'!A:A,'Prior Month'!I:I,"")</f>
        <v>0.10924341980449273</v>
      </c>
      <c r="G938" s="18">
        <f>_xlfn.XLOOKUP(A938,'Year end 2024'!A:A,'Year end 2024'!I:I,"")</f>
        <v>0.10331293093989144</v>
      </c>
      <c r="H938" s="19">
        <f>_xlfn.XLOOKUP(A938,'Current Month'!A:A,'Current Month'!E:E,0,0)</f>
        <v>614094.61</v>
      </c>
      <c r="I938" s="32">
        <f>_xlfn.XLOOKUP(A938,'Prior Month'!A:A,'Prior Month'!E:E,0,0)</f>
        <v>408200.73</v>
      </c>
      <c r="J938" s="32">
        <f>_xlfn.XLOOKUP(A938,'Year end 2024'!A:A,'Year end 2024'!E:E,0,0)</f>
        <v>365144.23</v>
      </c>
      <c r="K938" s="14">
        <f t="shared" si="28"/>
        <v>205893.88</v>
      </c>
      <c r="L938" s="14">
        <f t="shared" si="29"/>
        <v>248950.38</v>
      </c>
    </row>
    <row r="939" spans="1:12" ht="35.15" customHeight="1" x14ac:dyDescent="0.4">
      <c r="A939" s="11" t="s">
        <v>1920</v>
      </c>
      <c r="B939" s="11" t="s">
        <v>1921</v>
      </c>
      <c r="C939" s="11" t="s">
        <v>33</v>
      </c>
      <c r="D939" s="11" t="s">
        <v>32</v>
      </c>
      <c r="E939" s="18">
        <f>_xlfn.XLOOKUP(A939,'Current Month'!A:A,'Current Month'!I:I,"")</f>
        <v>8.9071660958904106E-2</v>
      </c>
      <c r="F939" s="21">
        <f>_xlfn.XLOOKUP(A939,'Prior Month'!A:A,'Prior Month'!I:I,"")</f>
        <v>0.64686299657534241</v>
      </c>
      <c r="G939" s="18">
        <f>_xlfn.XLOOKUP(A939,'Year end 2024'!A:A,'Year end 2024'!I:I,"")</f>
        <v>0.93114827054794513</v>
      </c>
      <c r="H939" s="19">
        <f>_xlfn.XLOOKUP(A939,'Current Month'!A:A,'Current Month'!E:E,0,0)</f>
        <v>52017.85</v>
      </c>
      <c r="I939" s="32">
        <f>_xlfn.XLOOKUP(A939,'Prior Month'!A:A,'Prior Month'!E:E,0,0)</f>
        <v>377767.99</v>
      </c>
      <c r="J939" s="32">
        <f>_xlfn.XLOOKUP(A939,'Year end 2024'!A:A,'Year end 2024'!E:E,0,0)</f>
        <v>543790.59</v>
      </c>
      <c r="K939" s="14">
        <f t="shared" si="28"/>
        <v>-325750.14</v>
      </c>
      <c r="L939" s="14">
        <f t="shared" si="29"/>
        <v>-491772.74</v>
      </c>
    </row>
    <row r="940" spans="1:12" ht="35.15" customHeight="1" x14ac:dyDescent="0.4">
      <c r="A940" s="11" t="s">
        <v>1922</v>
      </c>
      <c r="B940" s="11" t="s">
        <v>1923</v>
      </c>
      <c r="C940" s="11" t="s">
        <v>51</v>
      </c>
      <c r="D940" s="11" t="s">
        <v>50</v>
      </c>
      <c r="E940" s="18" t="str">
        <f>_xlfn.XLOOKUP(A940,'Current Month'!A:A,'Current Month'!I:I,"")</f>
        <v/>
      </c>
      <c r="F940" s="21" t="str">
        <f>_xlfn.XLOOKUP(A940,'Prior Month'!A:A,'Prior Month'!I:I,"")</f>
        <v/>
      </c>
      <c r="G940" s="18" t="str">
        <f>_xlfn.XLOOKUP(A940,'Year end 2024'!A:A,'Year end 2024'!I:I,"")</f>
        <v/>
      </c>
      <c r="H940" s="19">
        <f>_xlfn.XLOOKUP(A940,'Current Month'!A:A,'Current Month'!E:E,0,0)</f>
        <v>87053.82</v>
      </c>
      <c r="I940" s="32">
        <f>_xlfn.XLOOKUP(A940,'Prior Month'!A:A,'Prior Month'!E:E,0,0)</f>
        <v>76702.41</v>
      </c>
      <c r="J940" s="32">
        <f>_xlfn.XLOOKUP(A940,'Year end 2024'!A:A,'Year end 2024'!E:E,0,0)</f>
        <v>115723.85</v>
      </c>
      <c r="K940" s="14">
        <f t="shared" si="28"/>
        <v>10351.410000000003</v>
      </c>
      <c r="L940" s="14">
        <f t="shared" si="29"/>
        <v>-28670.03</v>
      </c>
    </row>
    <row r="941" spans="1:12" ht="35.15" customHeight="1" x14ac:dyDescent="0.4">
      <c r="A941" s="11" t="s">
        <v>1924</v>
      </c>
      <c r="B941" s="11" t="s">
        <v>1925</v>
      </c>
      <c r="C941" s="11" t="s">
        <v>77</v>
      </c>
      <c r="D941" s="11" t="s">
        <v>76</v>
      </c>
      <c r="E941" s="18" t="str">
        <f>_xlfn.XLOOKUP(A941,'Current Month'!A:A,'Current Month'!I:I,"")</f>
        <v/>
      </c>
      <c r="F941" s="21" t="str">
        <f>_xlfn.XLOOKUP(A941,'Prior Month'!A:A,'Prior Month'!I:I,"")</f>
        <v/>
      </c>
      <c r="G941" s="18" t="str">
        <f>_xlfn.XLOOKUP(A941,'Year end 2024'!A:A,'Year end 2024'!I:I,"")</f>
        <v/>
      </c>
      <c r="H941" s="19">
        <f>_xlfn.XLOOKUP(A941,'Current Month'!A:A,'Current Month'!E:E,0,0)</f>
        <v>15344.43</v>
      </c>
      <c r="I941" s="32">
        <f>_xlfn.XLOOKUP(A941,'Prior Month'!A:A,'Prior Month'!E:E,0,0)</f>
        <v>19766.75</v>
      </c>
      <c r="J941" s="32">
        <f>_xlfn.XLOOKUP(A941,'Year end 2024'!A:A,'Year end 2024'!E:E,0,0)</f>
        <v>12881.81</v>
      </c>
      <c r="K941" s="14">
        <f t="shared" si="28"/>
        <v>-4422.32</v>
      </c>
      <c r="L941" s="14">
        <f t="shared" si="29"/>
        <v>2462.6200000000008</v>
      </c>
    </row>
    <row r="942" spans="1:12" ht="35.15" customHeight="1" x14ac:dyDescent="0.4">
      <c r="A942" s="11" t="s">
        <v>1926</v>
      </c>
      <c r="B942" s="11" t="s">
        <v>1927</v>
      </c>
      <c r="C942" s="11" t="s">
        <v>51</v>
      </c>
      <c r="D942" s="11" t="s">
        <v>50</v>
      </c>
      <c r="E942" s="18" t="str">
        <f>_xlfn.XLOOKUP(A942,'Current Month'!A:A,'Current Month'!I:I,"")</f>
        <v/>
      </c>
      <c r="F942" s="21" t="str">
        <f>_xlfn.XLOOKUP(A942,'Prior Month'!A:A,'Prior Month'!I:I,"")</f>
        <v/>
      </c>
      <c r="G942" s="18" t="str">
        <f>_xlfn.XLOOKUP(A942,'Year end 2024'!A:A,'Year end 2024'!I:I,"")</f>
        <v/>
      </c>
      <c r="H942" s="19">
        <f>_xlfn.XLOOKUP(A942,'Current Month'!A:A,'Current Month'!E:E,0,0)</f>
        <v>40389.69</v>
      </c>
      <c r="I942" s="32">
        <f>_xlfn.XLOOKUP(A942,'Prior Month'!A:A,'Prior Month'!E:E,0,0)</f>
        <v>41249.35</v>
      </c>
      <c r="J942" s="32">
        <f>_xlfn.XLOOKUP(A942,'Year end 2024'!A:A,'Year end 2024'!E:E,0,0)</f>
        <v>123095.55</v>
      </c>
      <c r="K942" s="14">
        <f t="shared" si="28"/>
        <v>-859.65999999999622</v>
      </c>
      <c r="L942" s="14">
        <f t="shared" si="29"/>
        <v>-82705.86</v>
      </c>
    </row>
    <row r="943" spans="1:12" ht="35.15" customHeight="1" x14ac:dyDescent="0.4">
      <c r="A943" s="11" t="s">
        <v>1928</v>
      </c>
      <c r="B943" s="11" t="s">
        <v>1929</v>
      </c>
      <c r="C943" s="11" t="s">
        <v>57</v>
      </c>
      <c r="D943" s="11" t="s">
        <v>56</v>
      </c>
      <c r="E943" s="18" t="str">
        <f>_xlfn.XLOOKUP(A943,'Current Month'!A:A,'Current Month'!I:I,"")</f>
        <v/>
      </c>
      <c r="F943" s="21" t="str">
        <f>_xlfn.XLOOKUP(A943,'Prior Month'!A:A,'Prior Month'!I:I,"")</f>
        <v/>
      </c>
      <c r="G943" s="18" t="str">
        <f>_xlfn.XLOOKUP(A943,'Year end 2024'!A:A,'Year end 2024'!I:I,"")</f>
        <v/>
      </c>
      <c r="H943" s="19">
        <f>_xlfn.XLOOKUP(A943,'Current Month'!A:A,'Current Month'!E:E,0,0)</f>
        <v>165.29</v>
      </c>
      <c r="I943" s="32">
        <f>_xlfn.XLOOKUP(A943,'Prior Month'!A:A,'Prior Month'!E:E,0,0)</f>
        <v>165.29</v>
      </c>
      <c r="J943" s="32">
        <f>_xlfn.XLOOKUP(A943,'Year end 2024'!A:A,'Year end 2024'!E:E,0,0)</f>
        <v>12735.15</v>
      </c>
      <c r="K943" s="14">
        <f t="shared" si="28"/>
        <v>0</v>
      </c>
      <c r="L943" s="14">
        <f t="shared" si="29"/>
        <v>-12569.859999999999</v>
      </c>
    </row>
    <row r="944" spans="1:12" ht="35.15" customHeight="1" x14ac:dyDescent="0.4">
      <c r="A944" s="11" t="s">
        <v>1930</v>
      </c>
      <c r="B944" s="11" t="s">
        <v>1931</v>
      </c>
      <c r="C944" s="11" t="s">
        <v>19</v>
      </c>
      <c r="D944" s="11" t="s">
        <v>18</v>
      </c>
      <c r="E944" s="18" t="str">
        <f>_xlfn.XLOOKUP(A944,'Current Month'!A:A,'Current Month'!I:I,"")</f>
        <v/>
      </c>
      <c r="F944" s="21" t="str">
        <f>_xlfn.XLOOKUP(A944,'Prior Month'!A:A,'Prior Month'!I:I,"")</f>
        <v/>
      </c>
      <c r="G944" s="18" t="str">
        <f>_xlfn.XLOOKUP(A944,'Year end 2024'!A:A,'Year end 2024'!I:I,"")</f>
        <v/>
      </c>
      <c r="H944" s="19">
        <f>_xlfn.XLOOKUP(A944,'Current Month'!A:A,'Current Month'!E:E,0,0)</f>
        <v>441296.3</v>
      </c>
      <c r="I944" s="32">
        <f>_xlfn.XLOOKUP(A944,'Prior Month'!A:A,'Prior Month'!E:E,0,0)</f>
        <v>432004.81</v>
      </c>
      <c r="J944" s="32">
        <f>_xlfn.XLOOKUP(A944,'Year end 2024'!A:A,'Year end 2024'!E:E,0,0)</f>
        <v>444167.61</v>
      </c>
      <c r="K944" s="14">
        <f t="shared" si="28"/>
        <v>9291.4899999999907</v>
      </c>
      <c r="L944" s="14">
        <f t="shared" si="29"/>
        <v>-2871.3099999999977</v>
      </c>
    </row>
    <row r="945" spans="1:12" ht="35.15" customHeight="1" x14ac:dyDescent="0.4">
      <c r="A945" s="11" t="s">
        <v>1932</v>
      </c>
      <c r="B945" s="11" t="s">
        <v>1933</v>
      </c>
      <c r="C945" s="11" t="s">
        <v>19</v>
      </c>
      <c r="D945" s="11" t="s">
        <v>18</v>
      </c>
      <c r="E945" s="18" t="str">
        <f>_xlfn.XLOOKUP(A945,'Current Month'!A:A,'Current Month'!I:I,"")</f>
        <v/>
      </c>
      <c r="F945" s="21" t="str">
        <f>_xlfn.XLOOKUP(A945,'Prior Month'!A:A,'Prior Month'!I:I,"")</f>
        <v/>
      </c>
      <c r="G945" s="18" t="str">
        <f>_xlfn.XLOOKUP(A945,'Year end 2024'!A:A,'Year end 2024'!I:I,"")</f>
        <v/>
      </c>
      <c r="H945" s="19">
        <f>_xlfn.XLOOKUP(A945,'Current Month'!A:A,'Current Month'!E:E,0,0)</f>
        <v>359.07</v>
      </c>
      <c r="I945" s="32">
        <f>_xlfn.XLOOKUP(A945,'Prior Month'!A:A,'Prior Month'!E:E,0,0)</f>
        <v>266.44</v>
      </c>
      <c r="J945" s="32">
        <f>_xlfn.XLOOKUP(A945,'Year end 2024'!A:A,'Year end 2024'!E:E,0,0)</f>
        <v>373.3</v>
      </c>
      <c r="K945" s="14">
        <f t="shared" si="28"/>
        <v>92.63</v>
      </c>
      <c r="L945" s="14">
        <f t="shared" si="29"/>
        <v>-14.230000000000018</v>
      </c>
    </row>
    <row r="946" spans="1:12" ht="35.15" customHeight="1" x14ac:dyDescent="0.4">
      <c r="A946" s="11" t="s">
        <v>1934</v>
      </c>
      <c r="B946" s="11" t="s">
        <v>1935</v>
      </c>
      <c r="C946" s="11" t="s">
        <v>67</v>
      </c>
      <c r="D946" s="11" t="s">
        <v>66</v>
      </c>
      <c r="E946" s="18">
        <f>_xlfn.XLOOKUP(A946,'Current Month'!A:A,'Current Month'!I:I,"")</f>
        <v>0</v>
      </c>
      <c r="F946" s="21">
        <f>_xlfn.XLOOKUP(A946,'Prior Month'!A:A,'Prior Month'!I:I,"")</f>
        <v>0</v>
      </c>
      <c r="G946" s="18">
        <f>_xlfn.XLOOKUP(A946,'Year end 2024'!A:A,'Year end 2024'!I:I,"")</f>
        <v>0</v>
      </c>
      <c r="H946" s="19">
        <f>_xlfn.XLOOKUP(A946,'Current Month'!A:A,'Current Month'!E:E,0,0)</f>
        <v>0</v>
      </c>
      <c r="I946" s="32">
        <f>_xlfn.XLOOKUP(A946,'Prior Month'!A:A,'Prior Month'!E:E,0,0)</f>
        <v>0</v>
      </c>
      <c r="J946" s="32">
        <f>_xlfn.XLOOKUP(A946,'Year end 2024'!A:A,'Year end 2024'!E:E,0,0)</f>
        <v>0</v>
      </c>
      <c r="K946" s="14">
        <f t="shared" si="28"/>
        <v>0</v>
      </c>
      <c r="L946" s="14">
        <f t="shared" si="29"/>
        <v>0</v>
      </c>
    </row>
    <row r="947" spans="1:12" ht="35.15" customHeight="1" x14ac:dyDescent="0.4">
      <c r="A947" s="11" t="s">
        <v>1936</v>
      </c>
      <c r="B947" s="11" t="s">
        <v>1937</v>
      </c>
      <c r="C947" s="11" t="s">
        <v>77</v>
      </c>
      <c r="D947" s="11" t="s">
        <v>76</v>
      </c>
      <c r="E947" s="18">
        <f>_xlfn.XLOOKUP(A947,'Current Month'!A:A,'Current Month'!I:I,"")</f>
        <v>17.682707999999998</v>
      </c>
      <c r="F947" s="21">
        <f>_xlfn.XLOOKUP(A947,'Prior Month'!A:A,'Prior Month'!I:I,"")</f>
        <v>19.514156</v>
      </c>
      <c r="G947" s="18">
        <f>_xlfn.XLOOKUP(A947,'Year end 2024'!A:A,'Year end 2024'!I:I,"")</f>
        <v>4.2704879999999994</v>
      </c>
      <c r="H947" s="19">
        <f>_xlfn.XLOOKUP(A947,'Current Month'!A:A,'Current Month'!E:E,0,0)</f>
        <v>44206.77</v>
      </c>
      <c r="I947" s="32">
        <f>_xlfn.XLOOKUP(A947,'Prior Month'!A:A,'Prior Month'!E:E,0,0)</f>
        <v>48785.39</v>
      </c>
      <c r="J947" s="32">
        <f>_xlfn.XLOOKUP(A947,'Year end 2024'!A:A,'Year end 2024'!E:E,0,0)</f>
        <v>10676.22</v>
      </c>
      <c r="K947" s="14">
        <f t="shared" si="28"/>
        <v>-4578.6200000000026</v>
      </c>
      <c r="L947" s="14">
        <f t="shared" si="29"/>
        <v>33530.549999999996</v>
      </c>
    </row>
    <row r="948" spans="1:12" ht="35.15" customHeight="1" x14ac:dyDescent="0.4">
      <c r="A948" s="11" t="s">
        <v>1938</v>
      </c>
      <c r="B948" s="11" t="s">
        <v>1939</v>
      </c>
      <c r="C948" s="11" t="s">
        <v>67</v>
      </c>
      <c r="D948" s="11" t="s">
        <v>66</v>
      </c>
      <c r="E948" s="18" t="str">
        <f>_xlfn.XLOOKUP(A948,'Current Month'!A:A,'Current Month'!I:I,"")</f>
        <v/>
      </c>
      <c r="F948" s="21" t="str">
        <f>_xlfn.XLOOKUP(A948,'Prior Month'!A:A,'Prior Month'!I:I,"")</f>
        <v/>
      </c>
      <c r="G948" s="18" t="str">
        <f>_xlfn.XLOOKUP(A948,'Year end 2024'!A:A,'Year end 2024'!I:I,"")</f>
        <v/>
      </c>
      <c r="H948" s="19">
        <f>_xlfn.XLOOKUP(A948,'Current Month'!A:A,'Current Month'!E:E,0,0)</f>
        <v>236584.81</v>
      </c>
      <c r="I948" s="32">
        <f>_xlfn.XLOOKUP(A948,'Prior Month'!A:A,'Prior Month'!E:E,0,0)</f>
        <v>258274</v>
      </c>
      <c r="J948" s="32">
        <f>_xlfn.XLOOKUP(A948,'Year end 2024'!A:A,'Year end 2024'!E:E,0,0)</f>
        <v>253042.08</v>
      </c>
      <c r="K948" s="14">
        <f t="shared" si="28"/>
        <v>-21689.190000000002</v>
      </c>
      <c r="L948" s="14">
        <f t="shared" si="29"/>
        <v>-16457.26999999999</v>
      </c>
    </row>
    <row r="949" spans="1:12" ht="35.15" customHeight="1" x14ac:dyDescent="0.4">
      <c r="A949" s="11" t="s">
        <v>1940</v>
      </c>
      <c r="B949" s="11" t="s">
        <v>1941</v>
      </c>
      <c r="C949" s="11" t="s">
        <v>51</v>
      </c>
      <c r="D949" s="11" t="s">
        <v>50</v>
      </c>
      <c r="E949" s="18" t="str">
        <f>_xlfn.XLOOKUP(A949,'Current Month'!A:A,'Current Month'!I:I,"")</f>
        <v/>
      </c>
      <c r="F949" s="21" t="str">
        <f>_xlfn.XLOOKUP(A949,'Prior Month'!A:A,'Prior Month'!I:I,"")</f>
        <v/>
      </c>
      <c r="G949" s="18" t="str">
        <f>_xlfn.XLOOKUP(A949,'Year end 2024'!A:A,'Year end 2024'!I:I,"")</f>
        <v/>
      </c>
      <c r="H949" s="19">
        <f>_xlfn.XLOOKUP(A949,'Current Month'!A:A,'Current Month'!E:E,0,0)</f>
        <v>47412.959999999999</v>
      </c>
      <c r="I949" s="32">
        <f>_xlfn.XLOOKUP(A949,'Prior Month'!A:A,'Prior Month'!E:E,0,0)</f>
        <v>48993.760000000002</v>
      </c>
      <c r="J949" s="32">
        <f>_xlfn.XLOOKUP(A949,'Year end 2024'!A:A,'Year end 2024'!E:E,0,0)</f>
        <v>59299.23</v>
      </c>
      <c r="K949" s="14">
        <f t="shared" si="28"/>
        <v>-1580.8000000000029</v>
      </c>
      <c r="L949" s="14">
        <f t="shared" si="29"/>
        <v>-11886.270000000004</v>
      </c>
    </row>
    <row r="950" spans="1:12" ht="35.15" customHeight="1" x14ac:dyDescent="0.4">
      <c r="A950" s="11" t="s">
        <v>1942</v>
      </c>
      <c r="B950" s="11" t="s">
        <v>1943</v>
      </c>
      <c r="C950" s="11" t="s">
        <v>77</v>
      </c>
      <c r="D950" s="11" t="s">
        <v>76</v>
      </c>
      <c r="E950" s="18" t="str">
        <f>_xlfn.XLOOKUP(A950,'Current Month'!A:A,'Current Month'!I:I,"")</f>
        <v/>
      </c>
      <c r="F950" s="21" t="str">
        <f>_xlfn.XLOOKUP(A950,'Prior Month'!A:A,'Prior Month'!I:I,"")</f>
        <v/>
      </c>
      <c r="G950" s="18" t="str">
        <f>_xlfn.XLOOKUP(A950,'Year end 2024'!A:A,'Year end 2024'!I:I,"")</f>
        <v/>
      </c>
      <c r="H950" s="19">
        <f>_xlfn.XLOOKUP(A950,'Current Month'!A:A,'Current Month'!E:E,0,0)</f>
        <v>1795423.82</v>
      </c>
      <c r="I950" s="32">
        <f>_xlfn.XLOOKUP(A950,'Prior Month'!A:A,'Prior Month'!E:E,0,0)</f>
        <v>1810815.97</v>
      </c>
      <c r="J950" s="32">
        <f>_xlfn.XLOOKUP(A950,'Year end 2024'!A:A,'Year end 2024'!E:E,0,0)</f>
        <v>1753022.61</v>
      </c>
      <c r="K950" s="14">
        <f t="shared" si="28"/>
        <v>-15392.149999999907</v>
      </c>
      <c r="L950" s="14">
        <f t="shared" si="29"/>
        <v>42401.209999999963</v>
      </c>
    </row>
    <row r="951" spans="1:12" ht="35.15" customHeight="1" x14ac:dyDescent="0.4">
      <c r="A951" s="11" t="s">
        <v>1944</v>
      </c>
      <c r="B951" s="11" t="s">
        <v>1945</v>
      </c>
      <c r="C951" s="11" t="s">
        <v>73</v>
      </c>
      <c r="D951" s="11" t="s">
        <v>72</v>
      </c>
      <c r="E951" s="18">
        <f>_xlfn.XLOOKUP(A951,'Current Month'!A:A,'Current Month'!I:I,"")</f>
        <v>0</v>
      </c>
      <c r="F951" s="21">
        <f>_xlfn.XLOOKUP(A951,'Prior Month'!A:A,'Prior Month'!I:I,"")</f>
        <v>0</v>
      </c>
      <c r="G951" s="18">
        <f>_xlfn.XLOOKUP(A951,'Year end 2024'!A:A,'Year end 2024'!I:I,"")</f>
        <v>0</v>
      </c>
      <c r="H951" s="19">
        <f>_xlfn.XLOOKUP(A951,'Current Month'!A:A,'Current Month'!E:E,0,0)</f>
        <v>0</v>
      </c>
      <c r="I951" s="32">
        <f>_xlfn.XLOOKUP(A951,'Prior Month'!A:A,'Prior Month'!E:E,0,0)</f>
        <v>0</v>
      </c>
      <c r="J951" s="32">
        <f>_xlfn.XLOOKUP(A951,'Year end 2024'!A:A,'Year end 2024'!E:E,0,0)</f>
        <v>0</v>
      </c>
      <c r="K951" s="14">
        <f t="shared" si="28"/>
        <v>0</v>
      </c>
      <c r="L951" s="14">
        <f t="shared" si="29"/>
        <v>0</v>
      </c>
    </row>
    <row r="952" spans="1:12" ht="35.15" customHeight="1" x14ac:dyDescent="0.4">
      <c r="A952" s="11" t="s">
        <v>1946</v>
      </c>
      <c r="B952" s="11" t="s">
        <v>1947</v>
      </c>
      <c r="C952" s="11" t="s">
        <v>77</v>
      </c>
      <c r="D952" s="11" t="s">
        <v>76</v>
      </c>
      <c r="E952" s="18" t="str">
        <f>_xlfn.XLOOKUP(A952,'Current Month'!A:A,'Current Month'!I:I,"")</f>
        <v/>
      </c>
      <c r="F952" s="21" t="str">
        <f>_xlfn.XLOOKUP(A952,'Prior Month'!A:A,'Prior Month'!I:I,"")</f>
        <v/>
      </c>
      <c r="G952" s="18">
        <f>_xlfn.XLOOKUP(A952,'Year end 2024'!A:A,'Year end 2024'!I:I,"")</f>
        <v>24.944654999999997</v>
      </c>
      <c r="H952" s="19">
        <f>_xlfn.XLOOKUP(A952,'Current Month'!A:A,'Current Month'!E:E,0,0)</f>
        <v>34353.800000000003</v>
      </c>
      <c r="I952" s="32">
        <f>_xlfn.XLOOKUP(A952,'Prior Month'!A:A,'Prior Month'!E:E,0,0)</f>
        <v>43745</v>
      </c>
      <c r="J952" s="32">
        <f>_xlfn.XLOOKUP(A952,'Year end 2024'!A:A,'Year end 2024'!E:E,0,0)</f>
        <v>49889.31</v>
      </c>
      <c r="K952" s="14">
        <f t="shared" ref="K952:K1015" si="30">IFERROR(SUM(H952-I952),H952)</f>
        <v>-9391.1999999999971</v>
      </c>
      <c r="L952" s="14">
        <f t="shared" ref="L952:L1015" si="31">IFERROR(SUM(H952-J952),H952)</f>
        <v>-15535.509999999995</v>
      </c>
    </row>
    <row r="953" spans="1:12" ht="35.15" customHeight="1" x14ac:dyDescent="0.4">
      <c r="A953" s="11" t="s">
        <v>1948</v>
      </c>
      <c r="B953" s="11" t="s">
        <v>1949</v>
      </c>
      <c r="C953" s="11" t="s">
        <v>57</v>
      </c>
      <c r="D953" s="11" t="s">
        <v>56</v>
      </c>
      <c r="E953" s="18">
        <f>_xlfn.XLOOKUP(A953,'Current Month'!A:A,'Current Month'!I:I,"")</f>
        <v>0.10340339418216614</v>
      </c>
      <c r="F953" s="21">
        <f>_xlfn.XLOOKUP(A953,'Prior Month'!A:A,'Prior Month'!I:I,"")</f>
        <v>0.10420304073341204</v>
      </c>
      <c r="G953" s="18">
        <f>_xlfn.XLOOKUP(A953,'Year end 2024'!A:A,'Year end 2024'!I:I,"")</f>
        <v>9.6687062592313744E-2</v>
      </c>
      <c r="H953" s="19">
        <f>_xlfn.XLOOKUP(A953,'Current Month'!A:A,'Current Month'!E:E,0,0)</f>
        <v>2783.76</v>
      </c>
      <c r="I953" s="32">
        <f>_xlfn.XLOOKUP(A953,'Prior Month'!A:A,'Prior Month'!E:E,0,0)</f>
        <v>2820</v>
      </c>
      <c r="J953" s="32">
        <f>_xlfn.XLOOKUP(A953,'Year end 2024'!A:A,'Year end 2024'!E:E,0,0)</f>
        <v>2721.21</v>
      </c>
      <c r="K953" s="14">
        <f t="shared" si="30"/>
        <v>-36.239999999999782</v>
      </c>
      <c r="L953" s="14">
        <f t="shared" si="31"/>
        <v>62.550000000000182</v>
      </c>
    </row>
    <row r="954" spans="1:12" ht="35.15" customHeight="1" x14ac:dyDescent="0.4">
      <c r="A954" s="11" t="s">
        <v>1950</v>
      </c>
      <c r="B954" s="11" t="s">
        <v>1951</v>
      </c>
      <c r="C954" s="11" t="s">
        <v>67</v>
      </c>
      <c r="D954" s="11" t="s">
        <v>66</v>
      </c>
      <c r="E954" s="18" t="str">
        <f>_xlfn.XLOOKUP(A954,'Current Month'!A:A,'Current Month'!I:I,"")</f>
        <v/>
      </c>
      <c r="F954" s="21" t="str">
        <f>_xlfn.XLOOKUP(A954,'Prior Month'!A:A,'Prior Month'!I:I,"")</f>
        <v/>
      </c>
      <c r="G954" s="18" t="str">
        <f>_xlfn.XLOOKUP(A954,'Year end 2024'!A:A,'Year end 2024'!I:I,"")</f>
        <v/>
      </c>
      <c r="H954" s="19">
        <f>_xlfn.XLOOKUP(A954,'Current Month'!A:A,'Current Month'!E:E,0,0)</f>
        <v>72190.740000000005</v>
      </c>
      <c r="I954" s="32">
        <f>_xlfn.XLOOKUP(A954,'Prior Month'!A:A,'Prior Month'!E:E,0,0)</f>
        <v>68989.81</v>
      </c>
      <c r="J954" s="32">
        <f>_xlfn.XLOOKUP(A954,'Year end 2024'!A:A,'Year end 2024'!E:E,0,0)</f>
        <v>48660.38</v>
      </c>
      <c r="K954" s="14">
        <f t="shared" si="30"/>
        <v>3200.9300000000076</v>
      </c>
      <c r="L954" s="14">
        <f t="shared" si="31"/>
        <v>23530.360000000008</v>
      </c>
    </row>
    <row r="955" spans="1:12" ht="35.15" customHeight="1" x14ac:dyDescent="0.4">
      <c r="A955" s="11" t="s">
        <v>1952</v>
      </c>
      <c r="B955" s="11" t="s">
        <v>1953</v>
      </c>
      <c r="C955" s="11" t="s">
        <v>57</v>
      </c>
      <c r="D955" s="11" t="s">
        <v>56</v>
      </c>
      <c r="E955" s="18" t="str">
        <f>_xlfn.XLOOKUP(A955,'Current Month'!A:A,'Current Month'!I:I,"")</f>
        <v/>
      </c>
      <c r="F955" s="21" t="str">
        <f>_xlfn.XLOOKUP(A955,'Prior Month'!A:A,'Prior Month'!I:I,"")</f>
        <v/>
      </c>
      <c r="G955" s="18" t="str">
        <f>_xlfn.XLOOKUP(A955,'Year end 2024'!A:A,'Year end 2024'!I:I,"")</f>
        <v/>
      </c>
      <c r="H955" s="19">
        <f>_xlfn.XLOOKUP(A955,'Current Month'!A:A,'Current Month'!E:E,0,0)</f>
        <v>4397.29</v>
      </c>
      <c r="I955" s="32">
        <f>_xlfn.XLOOKUP(A955,'Prior Month'!A:A,'Prior Month'!E:E,0,0)</f>
        <v>4410.58</v>
      </c>
      <c r="J955" s="32">
        <f>_xlfn.XLOOKUP(A955,'Year end 2024'!A:A,'Year end 2024'!E:E,0,0)</f>
        <v>6736.15</v>
      </c>
      <c r="K955" s="14">
        <f t="shared" si="30"/>
        <v>-13.289999999999964</v>
      </c>
      <c r="L955" s="14">
        <f t="shared" si="31"/>
        <v>-2338.8599999999997</v>
      </c>
    </row>
    <row r="956" spans="1:12" ht="35.15" customHeight="1" x14ac:dyDescent="0.4">
      <c r="A956" s="11" t="s">
        <v>1954</v>
      </c>
      <c r="B956" s="11" t="s">
        <v>1955</v>
      </c>
      <c r="C956" s="11" t="s">
        <v>57</v>
      </c>
      <c r="D956" s="11" t="s">
        <v>56</v>
      </c>
      <c r="E956" s="18" t="str">
        <f>_xlfn.XLOOKUP(A956,'Current Month'!A:A,'Current Month'!I:I,"")</f>
        <v/>
      </c>
      <c r="F956" s="21" t="str">
        <f>_xlfn.XLOOKUP(A956,'Prior Month'!A:A,'Prior Month'!I:I,"")</f>
        <v/>
      </c>
      <c r="G956" s="18" t="str">
        <f>_xlfn.XLOOKUP(A956,'Year end 2024'!A:A,'Year end 2024'!I:I,"")</f>
        <v/>
      </c>
      <c r="H956" s="19">
        <f>_xlfn.XLOOKUP(A956,'Current Month'!A:A,'Current Month'!E:E,0,0)</f>
        <v>52226.53</v>
      </c>
      <c r="I956" s="32">
        <f>_xlfn.XLOOKUP(A956,'Prior Month'!A:A,'Prior Month'!E:E,0,0)</f>
        <v>48381.87</v>
      </c>
      <c r="J956" s="32">
        <f>_xlfn.XLOOKUP(A956,'Year end 2024'!A:A,'Year end 2024'!E:E,0,0)</f>
        <v>44523.56</v>
      </c>
      <c r="K956" s="14">
        <f t="shared" si="30"/>
        <v>3844.6599999999962</v>
      </c>
      <c r="L956" s="14">
        <f t="shared" si="31"/>
        <v>7702.9700000000012</v>
      </c>
    </row>
    <row r="957" spans="1:12" ht="35.15" customHeight="1" x14ac:dyDescent="0.4">
      <c r="A957" s="11" t="s">
        <v>1956</v>
      </c>
      <c r="B957" s="11" t="s">
        <v>1957</v>
      </c>
      <c r="C957" s="11" t="s">
        <v>606</v>
      </c>
      <c r="D957" s="11" t="s">
        <v>605</v>
      </c>
      <c r="E957" s="18" t="str">
        <f>_xlfn.XLOOKUP(A957,'Current Month'!A:A,'Current Month'!I:I,"")</f>
        <v/>
      </c>
      <c r="F957" s="21" t="str">
        <f>_xlfn.XLOOKUP(A957,'Prior Month'!A:A,'Prior Month'!I:I,"")</f>
        <v/>
      </c>
      <c r="G957" s="18" t="str">
        <f>_xlfn.XLOOKUP(A957,'Year end 2024'!A:A,'Year end 2024'!I:I,"")</f>
        <v/>
      </c>
      <c r="H957" s="19">
        <f>_xlfn.XLOOKUP(A957,'Current Month'!A:A,'Current Month'!E:E,0,0)</f>
        <v>9500.2800000000007</v>
      </c>
      <c r="I957" s="32">
        <f>_xlfn.XLOOKUP(A957,'Prior Month'!A:A,'Prior Month'!E:E,0,0)</f>
        <v>9446.27</v>
      </c>
      <c r="J957" s="32">
        <f>_xlfn.XLOOKUP(A957,'Year end 2024'!A:A,'Year end 2024'!E:E,0,0)</f>
        <v>8780.44</v>
      </c>
      <c r="K957" s="14">
        <f t="shared" si="30"/>
        <v>54.010000000000218</v>
      </c>
      <c r="L957" s="14">
        <f t="shared" si="31"/>
        <v>719.84000000000015</v>
      </c>
    </row>
    <row r="958" spans="1:12" ht="35.15" customHeight="1" x14ac:dyDescent="0.4">
      <c r="A958" s="11" t="s">
        <v>1958</v>
      </c>
      <c r="B958" s="11" t="s">
        <v>1959</v>
      </c>
      <c r="C958" s="11" t="s">
        <v>51</v>
      </c>
      <c r="D958" s="11" t="s">
        <v>50</v>
      </c>
      <c r="E958" s="18" t="str">
        <f>_xlfn.XLOOKUP(A958,'Current Month'!A:A,'Current Month'!I:I,"")</f>
        <v/>
      </c>
      <c r="F958" s="21" t="str">
        <f>_xlfn.XLOOKUP(A958,'Prior Month'!A:A,'Prior Month'!I:I,"")</f>
        <v/>
      </c>
      <c r="G958" s="18" t="str">
        <f>_xlfn.XLOOKUP(A958,'Year end 2024'!A:A,'Year end 2024'!I:I,"")</f>
        <v/>
      </c>
      <c r="H958" s="19">
        <f>_xlfn.XLOOKUP(A958,'Current Month'!A:A,'Current Month'!E:E,0,0)</f>
        <v>7311.19</v>
      </c>
      <c r="I958" s="32">
        <f>_xlfn.XLOOKUP(A958,'Prior Month'!A:A,'Prior Month'!E:E,0,0)</f>
        <v>15882.46</v>
      </c>
      <c r="J958" s="32">
        <f>_xlfn.XLOOKUP(A958,'Year end 2024'!A:A,'Year end 2024'!E:E,0,0)</f>
        <v>5231.9399999999996</v>
      </c>
      <c r="K958" s="14">
        <f t="shared" si="30"/>
        <v>-8571.27</v>
      </c>
      <c r="L958" s="14">
        <f t="shared" si="31"/>
        <v>2079.25</v>
      </c>
    </row>
    <row r="959" spans="1:12" ht="35.15" customHeight="1" x14ac:dyDescent="0.4">
      <c r="A959" s="11" t="s">
        <v>1960</v>
      </c>
      <c r="B959" s="11" t="s">
        <v>1961</v>
      </c>
      <c r="C959" s="11" t="s">
        <v>57</v>
      </c>
      <c r="D959" s="11" t="s">
        <v>56</v>
      </c>
      <c r="E959" s="18" t="str">
        <f>_xlfn.XLOOKUP(A959,'Current Month'!A:A,'Current Month'!I:I,"")</f>
        <v/>
      </c>
      <c r="F959" s="21" t="str">
        <f>_xlfn.XLOOKUP(A959,'Prior Month'!A:A,'Prior Month'!I:I,"")</f>
        <v/>
      </c>
      <c r="G959" s="18" t="str">
        <f>_xlfn.XLOOKUP(A959,'Year end 2024'!A:A,'Year end 2024'!I:I,"")</f>
        <v/>
      </c>
      <c r="H959" s="19">
        <f>_xlfn.XLOOKUP(A959,'Current Month'!A:A,'Current Month'!E:E,0,0)</f>
        <v>7361.42</v>
      </c>
      <c r="I959" s="32">
        <f>_xlfn.XLOOKUP(A959,'Prior Month'!A:A,'Prior Month'!E:E,0,0)</f>
        <v>5967.72</v>
      </c>
      <c r="J959" s="32">
        <f>_xlfn.XLOOKUP(A959,'Year end 2024'!A:A,'Year end 2024'!E:E,0,0)</f>
        <v>3165.21</v>
      </c>
      <c r="K959" s="14">
        <f t="shared" si="30"/>
        <v>1393.6999999999998</v>
      </c>
      <c r="L959" s="14">
        <f t="shared" si="31"/>
        <v>4196.21</v>
      </c>
    </row>
    <row r="960" spans="1:12" ht="35.15" customHeight="1" x14ac:dyDescent="0.4">
      <c r="A960" s="11" t="s">
        <v>1962</v>
      </c>
      <c r="B960" s="11" t="s">
        <v>1963</v>
      </c>
      <c r="C960" s="11" t="s">
        <v>57</v>
      </c>
      <c r="D960" s="11" t="s">
        <v>56</v>
      </c>
      <c r="E960" s="18" t="str">
        <f>_xlfn.XLOOKUP(A960,'Current Month'!A:A,'Current Month'!I:I,"")</f>
        <v/>
      </c>
      <c r="F960" s="21" t="str">
        <f>_xlfn.XLOOKUP(A960,'Prior Month'!A:A,'Prior Month'!I:I,"")</f>
        <v/>
      </c>
      <c r="G960" s="18" t="str">
        <f>_xlfn.XLOOKUP(A960,'Year end 2024'!A:A,'Year end 2024'!I:I,"")</f>
        <v/>
      </c>
      <c r="H960" s="19">
        <f>_xlfn.XLOOKUP(A960,'Current Month'!A:A,'Current Month'!E:E,0,0)</f>
        <v>25846.75</v>
      </c>
      <c r="I960" s="32">
        <f>_xlfn.XLOOKUP(A960,'Prior Month'!A:A,'Prior Month'!E:E,0,0)</f>
        <v>26553.57</v>
      </c>
      <c r="J960" s="32">
        <f>_xlfn.XLOOKUP(A960,'Year end 2024'!A:A,'Year end 2024'!E:E,0,0)</f>
        <v>16272.18</v>
      </c>
      <c r="K960" s="14">
        <f t="shared" si="30"/>
        <v>-706.81999999999971</v>
      </c>
      <c r="L960" s="14">
        <f t="shared" si="31"/>
        <v>9574.57</v>
      </c>
    </row>
    <row r="961" spans="1:12" ht="35.15" customHeight="1" x14ac:dyDescent="0.4">
      <c r="A961" s="11" t="s">
        <v>1964</v>
      </c>
      <c r="B961" s="11" t="s">
        <v>1965</v>
      </c>
      <c r="C961" s="11" t="s">
        <v>185</v>
      </c>
      <c r="D961" s="11" t="s">
        <v>184</v>
      </c>
      <c r="E961" s="18">
        <f>_xlfn.XLOOKUP(A961,'Current Month'!A:A,'Current Month'!I:I,"")</f>
        <v>0</v>
      </c>
      <c r="F961" s="21">
        <f>_xlfn.XLOOKUP(A961,'Prior Month'!A:A,'Prior Month'!I:I,"")</f>
        <v>0</v>
      </c>
      <c r="G961" s="18">
        <f>_xlfn.XLOOKUP(A961,'Year end 2024'!A:A,'Year end 2024'!I:I,"")</f>
        <v>0</v>
      </c>
      <c r="H961" s="19">
        <f>_xlfn.XLOOKUP(A961,'Current Month'!A:A,'Current Month'!E:E,0,0)</f>
        <v>0</v>
      </c>
      <c r="I961" s="32">
        <f>_xlfn.XLOOKUP(A961,'Prior Month'!A:A,'Prior Month'!E:E,0,0)</f>
        <v>0</v>
      </c>
      <c r="J961" s="32">
        <f>_xlfn.XLOOKUP(A961,'Year end 2024'!A:A,'Year end 2024'!E:E,0,0)</f>
        <v>0</v>
      </c>
      <c r="K961" s="14">
        <f t="shared" si="30"/>
        <v>0</v>
      </c>
      <c r="L961" s="14">
        <f t="shared" si="31"/>
        <v>0</v>
      </c>
    </row>
    <row r="962" spans="1:12" ht="35.15" customHeight="1" x14ac:dyDescent="0.4">
      <c r="A962" s="11" t="s">
        <v>1966</v>
      </c>
      <c r="B962" s="11" t="s">
        <v>1967</v>
      </c>
      <c r="C962" s="11" t="s">
        <v>33</v>
      </c>
      <c r="D962" s="11" t="s">
        <v>32</v>
      </c>
      <c r="E962" s="18" t="str">
        <f>_xlfn.XLOOKUP(A962,'Current Month'!A:A,'Current Month'!I:I,"")</f>
        <v/>
      </c>
      <c r="F962" s="21" t="str">
        <f>_xlfn.XLOOKUP(A962,'Prior Month'!A:A,'Prior Month'!I:I,"")</f>
        <v/>
      </c>
      <c r="G962" s="18" t="str">
        <f>_xlfn.XLOOKUP(A962,'Year end 2024'!A:A,'Year end 2024'!I:I,"")</f>
        <v/>
      </c>
      <c r="H962" s="19">
        <f>_xlfn.XLOOKUP(A962,'Current Month'!A:A,'Current Month'!E:E,0,0)</f>
        <v>143209.9</v>
      </c>
      <c r="I962" s="32">
        <f>_xlfn.XLOOKUP(A962,'Prior Month'!A:A,'Prior Month'!E:E,0,0)</f>
        <v>185418.25</v>
      </c>
      <c r="J962" s="32">
        <f>_xlfn.XLOOKUP(A962,'Year end 2024'!A:A,'Year end 2024'!E:E,0,0)</f>
        <v>70902.320000000007</v>
      </c>
      <c r="K962" s="14">
        <f t="shared" si="30"/>
        <v>-42208.350000000006</v>
      </c>
      <c r="L962" s="14">
        <f t="shared" si="31"/>
        <v>72307.579999999987</v>
      </c>
    </row>
    <row r="963" spans="1:12" ht="35.15" customHeight="1" x14ac:dyDescent="0.4">
      <c r="A963" s="11" t="s">
        <v>1968</v>
      </c>
      <c r="B963" s="11" t="s">
        <v>1969</v>
      </c>
      <c r="C963" s="11" t="s">
        <v>57</v>
      </c>
      <c r="D963" s="11" t="s">
        <v>56</v>
      </c>
      <c r="E963" s="18" t="str">
        <f>_xlfn.XLOOKUP(A963,'Current Month'!A:A,'Current Month'!I:I,"")</f>
        <v/>
      </c>
      <c r="F963" s="21" t="str">
        <f>_xlfn.XLOOKUP(A963,'Prior Month'!A:A,'Prior Month'!I:I,"")</f>
        <v/>
      </c>
      <c r="G963" s="18" t="str">
        <f>_xlfn.XLOOKUP(A963,'Year end 2024'!A:A,'Year end 2024'!I:I,"")</f>
        <v/>
      </c>
      <c r="H963" s="19">
        <f>_xlfn.XLOOKUP(A963,'Current Month'!A:A,'Current Month'!E:E,0,0)</f>
        <v>18688.89</v>
      </c>
      <c r="I963" s="32">
        <f>_xlfn.XLOOKUP(A963,'Prior Month'!A:A,'Prior Month'!E:E,0,0)</f>
        <v>16208.28</v>
      </c>
      <c r="J963" s="32">
        <f>_xlfn.XLOOKUP(A963,'Year end 2024'!A:A,'Year end 2024'!E:E,0,0)</f>
        <v>13968.79</v>
      </c>
      <c r="K963" s="14">
        <f t="shared" si="30"/>
        <v>2480.6099999999988</v>
      </c>
      <c r="L963" s="14">
        <f t="shared" si="31"/>
        <v>4720.0999999999985</v>
      </c>
    </row>
    <row r="964" spans="1:12" ht="35.15" customHeight="1" x14ac:dyDescent="0.4">
      <c r="A964" s="11" t="s">
        <v>1970</v>
      </c>
      <c r="B964" s="11" t="s">
        <v>1971</v>
      </c>
      <c r="C964" s="11" t="s">
        <v>51</v>
      </c>
      <c r="D964" s="11" t="s">
        <v>50</v>
      </c>
      <c r="E964" s="18" t="str">
        <f>_xlfn.XLOOKUP(A964,'Current Month'!A:A,'Current Month'!I:I,"")</f>
        <v/>
      </c>
      <c r="F964" s="21" t="str">
        <f>_xlfn.XLOOKUP(A964,'Prior Month'!A:A,'Prior Month'!I:I,"")</f>
        <v/>
      </c>
      <c r="G964" s="18" t="str">
        <f>_xlfn.XLOOKUP(A964,'Year end 2024'!A:A,'Year end 2024'!I:I,"")</f>
        <v/>
      </c>
      <c r="H964" s="19">
        <f>_xlfn.XLOOKUP(A964,'Current Month'!A:A,'Current Month'!E:E,0,0)</f>
        <v>1248.05</v>
      </c>
      <c r="I964" s="32">
        <f>_xlfn.XLOOKUP(A964,'Prior Month'!A:A,'Prior Month'!E:E,0,0)</f>
        <v>1253.05</v>
      </c>
      <c r="J964" s="32">
        <f>_xlfn.XLOOKUP(A964,'Year end 2024'!A:A,'Year end 2024'!E:E,0,0)</f>
        <v>1298.05</v>
      </c>
      <c r="K964" s="14">
        <f t="shared" si="30"/>
        <v>-5</v>
      </c>
      <c r="L964" s="14">
        <f t="shared" si="31"/>
        <v>-50</v>
      </c>
    </row>
    <row r="965" spans="1:12" ht="35.15" customHeight="1" x14ac:dyDescent="0.4">
      <c r="A965" s="11" t="s">
        <v>1972</v>
      </c>
      <c r="B965" s="11" t="s">
        <v>1973</v>
      </c>
      <c r="C965" s="11" t="s">
        <v>606</v>
      </c>
      <c r="D965" s="11" t="s">
        <v>605</v>
      </c>
      <c r="E965" s="18" t="str">
        <f>_xlfn.XLOOKUP(A965,'Current Month'!A:A,'Current Month'!I:I,"")</f>
        <v/>
      </c>
      <c r="F965" s="21" t="str">
        <f>_xlfn.XLOOKUP(A965,'Prior Month'!A:A,'Prior Month'!I:I,"")</f>
        <v/>
      </c>
      <c r="G965" s="18" t="str">
        <f>_xlfn.XLOOKUP(A965,'Year end 2024'!A:A,'Year end 2024'!I:I,"")</f>
        <v/>
      </c>
      <c r="H965" s="19">
        <f>_xlfn.XLOOKUP(A965,'Current Month'!A:A,'Current Month'!E:E,0,0)</f>
        <v>2659.26</v>
      </c>
      <c r="I965" s="32">
        <f>_xlfn.XLOOKUP(A965,'Prior Month'!A:A,'Prior Month'!E:E,0,0)</f>
        <v>2465.41</v>
      </c>
      <c r="J965" s="32">
        <f>_xlfn.XLOOKUP(A965,'Year end 2024'!A:A,'Year end 2024'!E:E,0,0)</f>
        <v>1839.82</v>
      </c>
      <c r="K965" s="14">
        <f t="shared" si="30"/>
        <v>193.85000000000036</v>
      </c>
      <c r="L965" s="14">
        <f t="shared" si="31"/>
        <v>819.44000000000028</v>
      </c>
    </row>
    <row r="966" spans="1:12" ht="35.15" customHeight="1" x14ac:dyDescent="0.4">
      <c r="A966" s="11" t="s">
        <v>1974</v>
      </c>
      <c r="B966" s="11" t="s">
        <v>1975</v>
      </c>
      <c r="C966" s="11" t="s">
        <v>19</v>
      </c>
      <c r="D966" s="11" t="s">
        <v>18</v>
      </c>
      <c r="E966" s="18" t="str">
        <f>_xlfn.XLOOKUP(A966,'Current Month'!A:A,'Current Month'!I:I,"")</f>
        <v/>
      </c>
      <c r="F966" s="21" t="str">
        <f>_xlfn.XLOOKUP(A966,'Prior Month'!A:A,'Prior Month'!I:I,"")</f>
        <v/>
      </c>
      <c r="G966" s="18" t="str">
        <f>_xlfn.XLOOKUP(A966,'Year end 2024'!A:A,'Year end 2024'!I:I,"")</f>
        <v/>
      </c>
      <c r="H966" s="19">
        <f>_xlfn.XLOOKUP(A966,'Current Month'!A:A,'Current Month'!E:E,0,0)</f>
        <v>363062.26</v>
      </c>
      <c r="I966" s="32">
        <f>_xlfn.XLOOKUP(A966,'Prior Month'!A:A,'Prior Month'!E:E,0,0)</f>
        <v>361400.87</v>
      </c>
      <c r="J966" s="32">
        <f>_xlfn.XLOOKUP(A966,'Year end 2024'!A:A,'Year end 2024'!E:E,0,0)</f>
        <v>342803</v>
      </c>
      <c r="K966" s="14">
        <f t="shared" si="30"/>
        <v>1661.390000000014</v>
      </c>
      <c r="L966" s="14">
        <f t="shared" si="31"/>
        <v>20259.260000000009</v>
      </c>
    </row>
    <row r="967" spans="1:12" ht="35.15" customHeight="1" x14ac:dyDescent="0.4">
      <c r="A967" s="11" t="s">
        <v>1976</v>
      </c>
      <c r="B967" s="11" t="s">
        <v>1977</v>
      </c>
      <c r="C967" s="11" t="s">
        <v>67</v>
      </c>
      <c r="D967" s="11" t="s">
        <v>66</v>
      </c>
      <c r="E967" s="18">
        <f>_xlfn.XLOOKUP(A967,'Current Month'!A:A,'Current Month'!I:I,"")</f>
        <v>64.300539999999998</v>
      </c>
      <c r="F967" s="21">
        <f>_xlfn.XLOOKUP(A967,'Prior Month'!A:A,'Prior Month'!I:I,"")</f>
        <v>10.2827</v>
      </c>
      <c r="G967" s="18">
        <f>_xlfn.XLOOKUP(A967,'Year end 2024'!A:A,'Year end 2024'!I:I,"")</f>
        <v>42.236599999999996</v>
      </c>
      <c r="H967" s="19">
        <f>_xlfn.XLOOKUP(A967,'Current Month'!A:A,'Current Month'!E:E,0,0)</f>
        <v>32150.27</v>
      </c>
      <c r="I967" s="32">
        <f>_xlfn.XLOOKUP(A967,'Prior Month'!A:A,'Prior Month'!E:E,0,0)</f>
        <v>5141.3500000000004</v>
      </c>
      <c r="J967" s="32">
        <f>_xlfn.XLOOKUP(A967,'Year end 2024'!A:A,'Year end 2024'!E:E,0,0)</f>
        <v>21118.3</v>
      </c>
      <c r="K967" s="14">
        <f t="shared" si="30"/>
        <v>27008.92</v>
      </c>
      <c r="L967" s="14">
        <f t="shared" si="31"/>
        <v>11031.970000000001</v>
      </c>
    </row>
    <row r="968" spans="1:12" ht="35.15" customHeight="1" x14ac:dyDescent="0.4">
      <c r="A968" s="11" t="s">
        <v>1978</v>
      </c>
      <c r="B968" s="11" t="s">
        <v>1979</v>
      </c>
      <c r="C968" s="11" t="s">
        <v>19</v>
      </c>
      <c r="D968" s="11" t="s">
        <v>18</v>
      </c>
      <c r="E968" s="18" t="str">
        <f>_xlfn.XLOOKUP(A968,'Current Month'!A:A,'Current Month'!I:I,"")</f>
        <v/>
      </c>
      <c r="F968" s="21" t="str">
        <f>_xlfn.XLOOKUP(A968,'Prior Month'!A:A,'Prior Month'!I:I,"")</f>
        <v/>
      </c>
      <c r="G968" s="18" t="str">
        <f>_xlfn.XLOOKUP(A968,'Year end 2024'!A:A,'Year end 2024'!I:I,"")</f>
        <v/>
      </c>
      <c r="H968" s="19">
        <f>_xlfn.XLOOKUP(A968,'Current Month'!A:A,'Current Month'!E:E,0,0)</f>
        <v>1228.25</v>
      </c>
      <c r="I968" s="32">
        <f>_xlfn.XLOOKUP(A968,'Prior Month'!A:A,'Prior Month'!E:E,0,0)</f>
        <v>1148.46</v>
      </c>
      <c r="J968" s="32">
        <f>_xlfn.XLOOKUP(A968,'Year end 2024'!A:A,'Year end 2024'!E:E,0,0)</f>
        <v>4288.25</v>
      </c>
      <c r="K968" s="14">
        <f t="shared" si="30"/>
        <v>79.789999999999964</v>
      </c>
      <c r="L968" s="14">
        <f t="shared" si="31"/>
        <v>-3060</v>
      </c>
    </row>
    <row r="969" spans="1:12" ht="35.15" customHeight="1" x14ac:dyDescent="0.4">
      <c r="A969" s="11" t="s">
        <v>1980</v>
      </c>
      <c r="B969" s="11" t="s">
        <v>1981</v>
      </c>
      <c r="C969" s="11" t="s">
        <v>57</v>
      </c>
      <c r="D969" s="11" t="s">
        <v>56</v>
      </c>
      <c r="E969" s="18" t="str">
        <f>_xlfn.XLOOKUP(A969,'Current Month'!A:A,'Current Month'!I:I,"")</f>
        <v/>
      </c>
      <c r="F969" s="21" t="str">
        <f>_xlfn.XLOOKUP(A969,'Prior Month'!A:A,'Prior Month'!I:I,"")</f>
        <v/>
      </c>
      <c r="G969" s="18" t="str">
        <f>_xlfn.XLOOKUP(A969,'Year end 2024'!A:A,'Year end 2024'!I:I,"")</f>
        <v/>
      </c>
      <c r="H969" s="19">
        <f>_xlfn.XLOOKUP(A969,'Current Month'!A:A,'Current Month'!E:E,0,0)</f>
        <v>95404.88</v>
      </c>
      <c r="I969" s="32">
        <f>_xlfn.XLOOKUP(A969,'Prior Month'!A:A,'Prior Month'!E:E,0,0)</f>
        <v>97262.53</v>
      </c>
      <c r="J969" s="32">
        <f>_xlfn.XLOOKUP(A969,'Year end 2024'!A:A,'Year end 2024'!E:E,0,0)</f>
        <v>67100.070000000007</v>
      </c>
      <c r="K969" s="14">
        <f t="shared" si="30"/>
        <v>-1857.6499999999942</v>
      </c>
      <c r="L969" s="14">
        <f t="shared" si="31"/>
        <v>28304.809999999998</v>
      </c>
    </row>
    <row r="970" spans="1:12" ht="35.15" customHeight="1" x14ac:dyDescent="0.4">
      <c r="A970" s="11" t="s">
        <v>1982</v>
      </c>
      <c r="B970" s="11" t="s">
        <v>1983</v>
      </c>
      <c r="C970" s="11" t="s">
        <v>606</v>
      </c>
      <c r="D970" s="11" t="s">
        <v>605</v>
      </c>
      <c r="E970" s="18" t="str">
        <f>_xlfn.XLOOKUP(A970,'Current Month'!A:A,'Current Month'!I:I,"")</f>
        <v/>
      </c>
      <c r="F970" s="21" t="str">
        <f>_xlfn.XLOOKUP(A970,'Prior Month'!A:A,'Prior Month'!I:I,"")</f>
        <v/>
      </c>
      <c r="G970" s="18" t="str">
        <f>_xlfn.XLOOKUP(A970,'Year end 2024'!A:A,'Year end 2024'!I:I,"")</f>
        <v/>
      </c>
      <c r="H970" s="19">
        <f>_xlfn.XLOOKUP(A970,'Current Month'!A:A,'Current Month'!E:E,0,0)</f>
        <v>81322.67</v>
      </c>
      <c r="I970" s="32">
        <f>_xlfn.XLOOKUP(A970,'Prior Month'!A:A,'Prior Month'!E:E,0,0)</f>
        <v>108741.66</v>
      </c>
      <c r="J970" s="32">
        <f>_xlfn.XLOOKUP(A970,'Year end 2024'!A:A,'Year end 2024'!E:E,0,0)</f>
        <v>-641.88</v>
      </c>
      <c r="K970" s="14">
        <f t="shared" si="30"/>
        <v>-27418.990000000005</v>
      </c>
      <c r="L970" s="14">
        <f t="shared" si="31"/>
        <v>81964.55</v>
      </c>
    </row>
    <row r="971" spans="1:12" ht="35.15" customHeight="1" x14ac:dyDescent="0.4">
      <c r="A971" s="11" t="s">
        <v>1984</v>
      </c>
      <c r="B971" s="11" t="s">
        <v>1985</v>
      </c>
      <c r="C971" s="11" t="s">
        <v>109</v>
      </c>
      <c r="D971" s="11" t="s">
        <v>108</v>
      </c>
      <c r="E971" s="18" t="str">
        <f>_xlfn.XLOOKUP(A971,'Current Month'!A:A,'Current Month'!I:I,"")</f>
        <v/>
      </c>
      <c r="F971" s="21" t="str">
        <f>_xlfn.XLOOKUP(A971,'Prior Month'!A:A,'Prior Month'!I:I,"")</f>
        <v/>
      </c>
      <c r="G971" s="18" t="str">
        <f>_xlfn.XLOOKUP(A971,'Year end 2024'!A:A,'Year end 2024'!I:I,"")</f>
        <v/>
      </c>
      <c r="H971" s="19">
        <f>_xlfn.XLOOKUP(A971,'Current Month'!A:A,'Current Month'!E:E,0,0)</f>
        <v>122315.75</v>
      </c>
      <c r="I971" s="32">
        <f>_xlfn.XLOOKUP(A971,'Prior Month'!A:A,'Prior Month'!E:E,0,0)</f>
        <v>115739.59</v>
      </c>
      <c r="J971" s="32">
        <f>_xlfn.XLOOKUP(A971,'Year end 2024'!A:A,'Year end 2024'!E:E,0,0)</f>
        <v>98373.25</v>
      </c>
      <c r="K971" s="14">
        <f t="shared" si="30"/>
        <v>6576.1600000000035</v>
      </c>
      <c r="L971" s="14">
        <f t="shared" si="31"/>
        <v>23942.5</v>
      </c>
    </row>
    <row r="972" spans="1:12" ht="35.15" customHeight="1" x14ac:dyDescent="0.4">
      <c r="A972" s="11" t="s">
        <v>1986</v>
      </c>
      <c r="B972" s="11" t="s">
        <v>1987</v>
      </c>
      <c r="C972" s="11" t="s">
        <v>57</v>
      </c>
      <c r="D972" s="11" t="s">
        <v>56</v>
      </c>
      <c r="E972" s="18" t="str">
        <f>_xlfn.XLOOKUP(A972,'Current Month'!A:A,'Current Month'!I:I,"")</f>
        <v/>
      </c>
      <c r="F972" s="21" t="str">
        <f>_xlfn.XLOOKUP(A972,'Prior Month'!A:A,'Prior Month'!I:I,"")</f>
        <v/>
      </c>
      <c r="G972" s="18" t="str">
        <f>_xlfn.XLOOKUP(A972,'Year end 2024'!A:A,'Year end 2024'!I:I,"")</f>
        <v/>
      </c>
      <c r="H972" s="19">
        <f>_xlfn.XLOOKUP(A972,'Current Month'!A:A,'Current Month'!E:E,0,0)</f>
        <v>559.33000000000004</v>
      </c>
      <c r="I972" s="32">
        <f>_xlfn.XLOOKUP(A972,'Prior Month'!A:A,'Prior Month'!E:E,0,0)</f>
        <v>269.60000000000002</v>
      </c>
      <c r="J972" s="32">
        <f>_xlfn.XLOOKUP(A972,'Year end 2024'!A:A,'Year end 2024'!E:E,0,0)</f>
        <v>1841.56</v>
      </c>
      <c r="K972" s="14">
        <f t="shared" si="30"/>
        <v>289.73</v>
      </c>
      <c r="L972" s="14">
        <f t="shared" si="31"/>
        <v>-1282.23</v>
      </c>
    </row>
    <row r="973" spans="1:12" ht="35.15" customHeight="1" x14ac:dyDescent="0.4">
      <c r="A973" s="11" t="s">
        <v>1988</v>
      </c>
      <c r="B973" s="11" t="s">
        <v>1989</v>
      </c>
      <c r="C973" s="11" t="s">
        <v>57</v>
      </c>
      <c r="D973" s="11" t="s">
        <v>56</v>
      </c>
      <c r="E973" s="18" t="str">
        <f>_xlfn.XLOOKUP(A973,'Current Month'!A:A,'Current Month'!I:I,"")</f>
        <v/>
      </c>
      <c r="F973" s="21" t="str">
        <f>_xlfn.XLOOKUP(A973,'Prior Month'!A:A,'Prior Month'!I:I,"")</f>
        <v/>
      </c>
      <c r="G973" s="18" t="str">
        <f>_xlfn.XLOOKUP(A973,'Year end 2024'!A:A,'Year end 2024'!I:I,"")</f>
        <v/>
      </c>
      <c r="H973" s="19">
        <f>_xlfn.XLOOKUP(A973,'Current Month'!A:A,'Current Month'!E:E,0,0)</f>
        <v>227.65</v>
      </c>
      <c r="I973" s="32">
        <f>_xlfn.XLOOKUP(A973,'Prior Month'!A:A,'Prior Month'!E:E,0,0)</f>
        <v>48.33</v>
      </c>
      <c r="J973" s="32">
        <f>_xlfn.XLOOKUP(A973,'Year end 2024'!A:A,'Year end 2024'!E:E,0,0)</f>
        <v>12177.2</v>
      </c>
      <c r="K973" s="14">
        <f t="shared" si="30"/>
        <v>179.32</v>
      </c>
      <c r="L973" s="14">
        <f t="shared" si="31"/>
        <v>-11949.550000000001</v>
      </c>
    </row>
    <row r="974" spans="1:12" ht="35.15" customHeight="1" x14ac:dyDescent="0.4">
      <c r="A974" s="11" t="s">
        <v>1990</v>
      </c>
      <c r="B974" s="11" t="s">
        <v>1991</v>
      </c>
      <c r="C974" s="11" t="s">
        <v>57</v>
      </c>
      <c r="D974" s="11" t="s">
        <v>56</v>
      </c>
      <c r="E974" s="18">
        <f>_xlfn.XLOOKUP(A974,'Current Month'!A:A,'Current Month'!I:I,"")</f>
        <v>24.406029999999998</v>
      </c>
      <c r="F974" s="21">
        <f>_xlfn.XLOOKUP(A974,'Prior Month'!A:A,'Prior Month'!I:I,"")</f>
        <v>30.11863</v>
      </c>
      <c r="G974" s="18">
        <f>_xlfn.XLOOKUP(A974,'Year end 2024'!A:A,'Year end 2024'!I:I,"")</f>
        <v>35.702400000000004</v>
      </c>
      <c r="H974" s="19">
        <f>_xlfn.XLOOKUP(A974,'Current Month'!A:A,'Current Month'!E:E,0,0)</f>
        <v>24406.03</v>
      </c>
      <c r="I974" s="32">
        <f>_xlfn.XLOOKUP(A974,'Prior Month'!A:A,'Prior Month'!E:E,0,0)</f>
        <v>30118.63</v>
      </c>
      <c r="J974" s="32">
        <f>_xlfn.XLOOKUP(A974,'Year end 2024'!A:A,'Year end 2024'!E:E,0,0)</f>
        <v>35702.400000000001</v>
      </c>
      <c r="K974" s="14">
        <f t="shared" si="30"/>
        <v>-5712.6000000000022</v>
      </c>
      <c r="L974" s="14">
        <f t="shared" si="31"/>
        <v>-11296.370000000003</v>
      </c>
    </row>
    <row r="975" spans="1:12" ht="35.15" customHeight="1" x14ac:dyDescent="0.4">
      <c r="A975" s="11" t="s">
        <v>1992</v>
      </c>
      <c r="B975" s="11" t="s">
        <v>1993</v>
      </c>
      <c r="C975" s="11" t="s">
        <v>19</v>
      </c>
      <c r="D975" s="11" t="s">
        <v>18</v>
      </c>
      <c r="E975" s="18" t="str">
        <f>_xlfn.XLOOKUP(A975,'Current Month'!A:A,'Current Month'!I:I,"")</f>
        <v/>
      </c>
      <c r="F975" s="21" t="str">
        <f>_xlfn.XLOOKUP(A975,'Prior Month'!A:A,'Prior Month'!I:I,"")</f>
        <v/>
      </c>
      <c r="G975" s="18" t="str">
        <f>_xlfn.XLOOKUP(A975,'Year end 2024'!A:A,'Year end 2024'!I:I,"")</f>
        <v/>
      </c>
      <c r="H975" s="19">
        <f>_xlfn.XLOOKUP(A975,'Current Month'!A:A,'Current Month'!E:E,0,0)</f>
        <v>108028.71</v>
      </c>
      <c r="I975" s="32">
        <f>_xlfn.XLOOKUP(A975,'Prior Month'!A:A,'Prior Month'!E:E,0,0)</f>
        <v>76869.64</v>
      </c>
      <c r="J975" s="32">
        <f>_xlfn.XLOOKUP(A975,'Year end 2024'!A:A,'Year end 2024'!E:E,0,0)</f>
        <v>108975.17</v>
      </c>
      <c r="K975" s="14">
        <f t="shared" si="30"/>
        <v>31159.070000000007</v>
      </c>
      <c r="L975" s="14">
        <f t="shared" si="31"/>
        <v>-946.45999999999185</v>
      </c>
    </row>
    <row r="976" spans="1:12" ht="35.15" customHeight="1" x14ac:dyDescent="0.4">
      <c r="A976" s="11" t="s">
        <v>1994</v>
      </c>
      <c r="B976" s="11" t="s">
        <v>1995</v>
      </c>
      <c r="C976" s="11" t="s">
        <v>57</v>
      </c>
      <c r="D976" s="11" t="s">
        <v>56</v>
      </c>
      <c r="E976" s="18">
        <f>_xlfn.XLOOKUP(A976,'Current Month'!A:A,'Current Month'!I:I,"")</f>
        <v>7.5499900000000002</v>
      </c>
      <c r="F976" s="21">
        <f>_xlfn.XLOOKUP(A976,'Prior Month'!A:A,'Prior Month'!I:I,"")</f>
        <v>4.3868400000000003</v>
      </c>
      <c r="G976" s="18">
        <f>_xlfn.XLOOKUP(A976,'Year end 2024'!A:A,'Year end 2024'!I:I,"")</f>
        <v>10.344469999999999</v>
      </c>
      <c r="H976" s="19">
        <f>_xlfn.XLOOKUP(A976,'Current Month'!A:A,'Current Month'!E:E,0,0)</f>
        <v>15099.98</v>
      </c>
      <c r="I976" s="32">
        <f>_xlfn.XLOOKUP(A976,'Prior Month'!A:A,'Prior Month'!E:E,0,0)</f>
        <v>8773.68</v>
      </c>
      <c r="J976" s="32">
        <f>_xlfn.XLOOKUP(A976,'Year end 2024'!A:A,'Year end 2024'!E:E,0,0)</f>
        <v>20688.939999999999</v>
      </c>
      <c r="K976" s="14">
        <f t="shared" si="30"/>
        <v>6326.2999999999993</v>
      </c>
      <c r="L976" s="14">
        <f t="shared" si="31"/>
        <v>-5588.9599999999991</v>
      </c>
    </row>
    <row r="977" spans="1:12" ht="35.15" customHeight="1" x14ac:dyDescent="0.4">
      <c r="A977" s="11" t="s">
        <v>1996</v>
      </c>
      <c r="B977" s="11" t="s">
        <v>1997</v>
      </c>
      <c r="C977" s="11" t="s">
        <v>109</v>
      </c>
      <c r="D977" s="11" t="s">
        <v>108</v>
      </c>
      <c r="E977" s="18">
        <f>_xlfn.XLOOKUP(A977,'Current Month'!A:A,'Current Month'!I:I,"")</f>
        <v>17.0944</v>
      </c>
      <c r="F977" s="21">
        <f>_xlfn.XLOOKUP(A977,'Prior Month'!A:A,'Prior Month'!I:I,"")</f>
        <v>13.178559999999999</v>
      </c>
      <c r="G977" s="18">
        <f>_xlfn.XLOOKUP(A977,'Year end 2024'!A:A,'Year end 2024'!I:I,"")</f>
        <v>15.831100000000001</v>
      </c>
      <c r="H977" s="19">
        <f>_xlfn.XLOOKUP(A977,'Current Month'!A:A,'Current Month'!E:E,0,0)</f>
        <v>8547.2000000000007</v>
      </c>
      <c r="I977" s="32">
        <f>_xlfn.XLOOKUP(A977,'Prior Month'!A:A,'Prior Month'!E:E,0,0)</f>
        <v>6589.28</v>
      </c>
      <c r="J977" s="32">
        <f>_xlfn.XLOOKUP(A977,'Year end 2024'!A:A,'Year end 2024'!E:E,0,0)</f>
        <v>7915.55</v>
      </c>
      <c r="K977" s="14">
        <f t="shared" si="30"/>
        <v>1957.920000000001</v>
      </c>
      <c r="L977" s="14">
        <f t="shared" si="31"/>
        <v>631.65000000000055</v>
      </c>
    </row>
    <row r="978" spans="1:12" ht="35.15" customHeight="1" x14ac:dyDescent="0.4">
      <c r="A978" s="11" t="s">
        <v>1998</v>
      </c>
      <c r="B978" s="11" t="s">
        <v>1999</v>
      </c>
      <c r="C978" s="11" t="s">
        <v>57</v>
      </c>
      <c r="D978" s="11" t="s">
        <v>56</v>
      </c>
      <c r="E978" s="18" t="str">
        <f>_xlfn.XLOOKUP(A978,'Current Month'!A:A,'Current Month'!I:I,"")</f>
        <v/>
      </c>
      <c r="F978" s="21" t="str">
        <f>_xlfn.XLOOKUP(A978,'Prior Month'!A:A,'Prior Month'!I:I,"")</f>
        <v/>
      </c>
      <c r="G978" s="18" t="str">
        <f>_xlfn.XLOOKUP(A978,'Year end 2024'!A:A,'Year end 2024'!I:I,"")</f>
        <v/>
      </c>
      <c r="H978" s="19">
        <f>_xlfn.XLOOKUP(A978,'Current Month'!A:A,'Current Month'!E:E,0,0)</f>
        <v>10102.709999999999</v>
      </c>
      <c r="I978" s="32">
        <f>_xlfn.XLOOKUP(A978,'Prior Month'!A:A,'Prior Month'!E:E,0,0)</f>
        <v>16196.76</v>
      </c>
      <c r="J978" s="32">
        <f>_xlfn.XLOOKUP(A978,'Year end 2024'!A:A,'Year end 2024'!E:E,0,0)</f>
        <v>23159.15</v>
      </c>
      <c r="K978" s="14">
        <f t="shared" si="30"/>
        <v>-6094.0500000000011</v>
      </c>
      <c r="L978" s="14">
        <f t="shared" si="31"/>
        <v>-13056.440000000002</v>
      </c>
    </row>
    <row r="979" spans="1:12" ht="35.15" customHeight="1" x14ac:dyDescent="0.4">
      <c r="A979" s="11" t="s">
        <v>2000</v>
      </c>
      <c r="B979" s="11" t="s">
        <v>2001</v>
      </c>
      <c r="C979" s="11" t="s">
        <v>33</v>
      </c>
      <c r="D979" s="11" t="s">
        <v>32</v>
      </c>
      <c r="E979" s="18" t="str">
        <f>_xlfn.XLOOKUP(A979,'Current Month'!A:A,'Current Month'!I:I,"")</f>
        <v/>
      </c>
      <c r="F979" s="21" t="str">
        <f>_xlfn.XLOOKUP(A979,'Prior Month'!A:A,'Prior Month'!I:I,"")</f>
        <v/>
      </c>
      <c r="G979" s="18" t="str">
        <f>_xlfn.XLOOKUP(A979,'Year end 2024'!A:A,'Year end 2024'!I:I,"")</f>
        <v/>
      </c>
      <c r="H979" s="19">
        <f>_xlfn.XLOOKUP(A979,'Current Month'!A:A,'Current Month'!E:E,0,0)</f>
        <v>76899.360000000001</v>
      </c>
      <c r="I979" s="32">
        <f>_xlfn.XLOOKUP(A979,'Prior Month'!A:A,'Prior Month'!E:E,0,0)</f>
        <v>93921.81</v>
      </c>
      <c r="J979" s="32">
        <f>_xlfn.XLOOKUP(A979,'Year end 2024'!A:A,'Year end 2024'!E:E,0,0)</f>
        <v>59114.45</v>
      </c>
      <c r="K979" s="14">
        <f t="shared" si="30"/>
        <v>-17022.449999999997</v>
      </c>
      <c r="L979" s="14">
        <f t="shared" si="31"/>
        <v>17784.910000000003</v>
      </c>
    </row>
    <row r="980" spans="1:12" ht="35.15" customHeight="1" x14ac:dyDescent="0.4">
      <c r="A980" s="11" t="s">
        <v>2002</v>
      </c>
      <c r="B980" s="11" t="s">
        <v>2003</v>
      </c>
      <c r="C980" s="11" t="s">
        <v>57</v>
      </c>
      <c r="D980" s="11" t="s">
        <v>56</v>
      </c>
      <c r="E980" s="18">
        <f>_xlfn.XLOOKUP(A980,'Current Month'!A:A,'Current Month'!I:I,"")</f>
        <v>272.69493999999997</v>
      </c>
      <c r="F980" s="21">
        <f>_xlfn.XLOOKUP(A980,'Prior Month'!A:A,'Prior Month'!I:I,"")</f>
        <v>272.69578000000001</v>
      </c>
      <c r="G980" s="18">
        <f>_xlfn.XLOOKUP(A980,'Year end 2024'!A:A,'Year end 2024'!I:I,"")</f>
        <v>289.46965999999998</v>
      </c>
      <c r="H980" s="19">
        <f>_xlfn.XLOOKUP(A980,'Current Month'!A:A,'Current Month'!E:E,0,0)</f>
        <v>272694.94</v>
      </c>
      <c r="I980" s="32">
        <f>_xlfn.XLOOKUP(A980,'Prior Month'!A:A,'Prior Month'!E:E,0,0)</f>
        <v>272695.78000000003</v>
      </c>
      <c r="J980" s="32">
        <f>_xlfn.XLOOKUP(A980,'Year end 2024'!A:A,'Year end 2024'!E:E,0,0)</f>
        <v>289469.65999999997</v>
      </c>
      <c r="K980" s="14">
        <f t="shared" si="30"/>
        <v>-0.84000000002561137</v>
      </c>
      <c r="L980" s="14">
        <f t="shared" si="31"/>
        <v>-16774.719999999972</v>
      </c>
    </row>
    <row r="981" spans="1:12" ht="35.15" customHeight="1" x14ac:dyDescent="0.4">
      <c r="A981" s="11" t="s">
        <v>2004</v>
      </c>
      <c r="B981" s="11" t="s">
        <v>2005</v>
      </c>
      <c r="C981" s="11" t="s">
        <v>57</v>
      </c>
      <c r="D981" s="11" t="s">
        <v>56</v>
      </c>
      <c r="E981" s="18">
        <f>_xlfn.XLOOKUP(A981,'Current Month'!A:A,'Current Month'!I:I,"")</f>
        <v>0.38094631784840716</v>
      </c>
      <c r="F981" s="21">
        <f>_xlfn.XLOOKUP(A981,'Prior Month'!A:A,'Prior Month'!I:I,"")</f>
        <v>0.39063372675922609</v>
      </c>
      <c r="G981" s="18">
        <f>_xlfn.XLOOKUP(A981,'Year end 2024'!A:A,'Year end 2024'!I:I,"")</f>
        <v>0.40831552791706555</v>
      </c>
      <c r="H981" s="19">
        <f>_xlfn.XLOOKUP(A981,'Current Month'!A:A,'Current Month'!E:E,0,0)</f>
        <v>123266.96</v>
      </c>
      <c r="I981" s="32">
        <f>_xlfn.XLOOKUP(A981,'Prior Month'!A:A,'Prior Month'!E:E,0,0)</f>
        <v>127937.53</v>
      </c>
      <c r="J981" s="32">
        <f>_xlfn.XLOOKUP(A981,'Year end 2024'!A:A,'Year end 2024'!E:E,0,0)</f>
        <v>142501.96</v>
      </c>
      <c r="K981" s="14">
        <f t="shared" si="30"/>
        <v>-4670.5699999999924</v>
      </c>
      <c r="L981" s="14">
        <f t="shared" si="31"/>
        <v>-19234.999999999985</v>
      </c>
    </row>
    <row r="982" spans="1:12" ht="35.15" customHeight="1" x14ac:dyDescent="0.4">
      <c r="A982" s="11" t="s">
        <v>2006</v>
      </c>
      <c r="B982" s="11" t="s">
        <v>2007</v>
      </c>
      <c r="C982" s="11" t="s">
        <v>57</v>
      </c>
      <c r="D982" s="11" t="s">
        <v>56</v>
      </c>
      <c r="E982" s="18" t="str">
        <f>_xlfn.XLOOKUP(A982,'Current Month'!A:A,'Current Month'!I:I,"")</f>
        <v/>
      </c>
      <c r="F982" s="21" t="str">
        <f>_xlfn.XLOOKUP(A982,'Prior Month'!A:A,'Prior Month'!I:I,"")</f>
        <v/>
      </c>
      <c r="G982" s="18" t="str">
        <f>_xlfn.XLOOKUP(A982,'Year end 2024'!A:A,'Year end 2024'!I:I,"")</f>
        <v/>
      </c>
      <c r="H982" s="19">
        <f>_xlfn.XLOOKUP(A982,'Current Month'!A:A,'Current Month'!E:E,0,0)</f>
        <v>15300.16</v>
      </c>
      <c r="I982" s="32">
        <f>_xlfn.XLOOKUP(A982,'Prior Month'!A:A,'Prior Month'!E:E,0,0)</f>
        <v>15076.81</v>
      </c>
      <c r="J982" s="32">
        <f>_xlfn.XLOOKUP(A982,'Year end 2024'!A:A,'Year end 2024'!E:E,0,0)</f>
        <v>9889.2800000000007</v>
      </c>
      <c r="K982" s="14">
        <f t="shared" si="30"/>
        <v>223.35000000000036</v>
      </c>
      <c r="L982" s="14">
        <f t="shared" si="31"/>
        <v>5410.8799999999992</v>
      </c>
    </row>
    <row r="983" spans="1:12" ht="35.15" customHeight="1" x14ac:dyDescent="0.4">
      <c r="A983" s="11" t="s">
        <v>2008</v>
      </c>
      <c r="B983" s="11" t="s">
        <v>2009</v>
      </c>
      <c r="C983" s="11" t="s">
        <v>57</v>
      </c>
      <c r="D983" s="11" t="s">
        <v>56</v>
      </c>
      <c r="E983" s="18" t="str">
        <f>_xlfn.XLOOKUP(A983,'Current Month'!A:A,'Current Month'!I:I,"")</f>
        <v/>
      </c>
      <c r="F983" s="21" t="str">
        <f>_xlfn.XLOOKUP(A983,'Prior Month'!A:A,'Prior Month'!I:I,"")</f>
        <v/>
      </c>
      <c r="G983" s="18" t="str">
        <f>_xlfn.XLOOKUP(A983,'Year end 2024'!A:A,'Year end 2024'!I:I,"")</f>
        <v/>
      </c>
      <c r="H983" s="19">
        <f>_xlfn.XLOOKUP(A983,'Current Month'!A:A,'Current Month'!E:E,0,0)</f>
        <v>23428.45</v>
      </c>
      <c r="I983" s="32">
        <f>_xlfn.XLOOKUP(A983,'Prior Month'!A:A,'Prior Month'!E:E,0,0)</f>
        <v>15735.55</v>
      </c>
      <c r="J983" s="32">
        <f>_xlfn.XLOOKUP(A983,'Year end 2024'!A:A,'Year end 2024'!E:E,0,0)</f>
        <v>26031.09</v>
      </c>
      <c r="K983" s="14">
        <f t="shared" si="30"/>
        <v>7692.9000000000015</v>
      </c>
      <c r="L983" s="14">
        <f t="shared" si="31"/>
        <v>-2602.6399999999994</v>
      </c>
    </row>
    <row r="984" spans="1:12" ht="35.15" customHeight="1" x14ac:dyDescent="0.4">
      <c r="A984" s="11" t="s">
        <v>2010</v>
      </c>
      <c r="B984" s="11" t="s">
        <v>2011</v>
      </c>
      <c r="C984" s="11" t="s">
        <v>57</v>
      </c>
      <c r="D984" s="11" t="s">
        <v>56</v>
      </c>
      <c r="E984" s="18">
        <f>_xlfn.XLOOKUP(A984,'Current Month'!A:A,'Current Month'!I:I,"")</f>
        <v>1.0720657894736842E-2</v>
      </c>
      <c r="F984" s="21">
        <f>_xlfn.XLOOKUP(A984,'Prior Month'!A:A,'Prior Month'!I:I,"")</f>
        <v>6.0403947368421048E-3</v>
      </c>
      <c r="G984" s="18">
        <f>_xlfn.XLOOKUP(A984,'Year end 2024'!A:A,'Year end 2024'!I:I,"")</f>
        <v>3.2921052631578948E-2</v>
      </c>
      <c r="H984" s="19">
        <f>_xlfn.XLOOKUP(A984,'Current Month'!A:A,'Current Month'!E:E,0,0)</f>
        <v>814.77</v>
      </c>
      <c r="I984" s="32">
        <f>_xlfn.XLOOKUP(A984,'Prior Month'!A:A,'Prior Month'!E:E,0,0)</f>
        <v>459.07</v>
      </c>
      <c r="J984" s="32">
        <f>_xlfn.XLOOKUP(A984,'Year end 2024'!A:A,'Year end 2024'!E:E,0,0)</f>
        <v>2502</v>
      </c>
      <c r="K984" s="14">
        <f t="shared" si="30"/>
        <v>355.7</v>
      </c>
      <c r="L984" s="14">
        <f t="shared" si="31"/>
        <v>-1687.23</v>
      </c>
    </row>
    <row r="985" spans="1:12" ht="35.15" customHeight="1" x14ac:dyDescent="0.4">
      <c r="A985" s="11" t="s">
        <v>2012</v>
      </c>
      <c r="B985" s="11" t="s">
        <v>2013</v>
      </c>
      <c r="C985" s="11" t="s">
        <v>33</v>
      </c>
      <c r="D985" s="11" t="s">
        <v>32</v>
      </c>
      <c r="E985" s="18" t="str">
        <f>_xlfn.XLOOKUP(A985,'Current Month'!A:A,'Current Month'!I:I,"")</f>
        <v/>
      </c>
      <c r="F985" s="21" t="str">
        <f>_xlfn.XLOOKUP(A985,'Prior Month'!A:A,'Prior Month'!I:I,"")</f>
        <v/>
      </c>
      <c r="G985" s="18" t="str">
        <f>_xlfn.XLOOKUP(A985,'Year end 2024'!A:A,'Year end 2024'!I:I,"")</f>
        <v/>
      </c>
      <c r="H985" s="19">
        <f>_xlfn.XLOOKUP(A985,'Current Month'!A:A,'Current Month'!E:E,0,0)</f>
        <v>24204</v>
      </c>
      <c r="I985" s="32">
        <f>_xlfn.XLOOKUP(A985,'Prior Month'!A:A,'Prior Month'!E:E,0,0)</f>
        <v>9704</v>
      </c>
      <c r="J985" s="32">
        <f>_xlfn.XLOOKUP(A985,'Year end 2024'!A:A,'Year end 2024'!E:E,0,0)</f>
        <v>27550.42</v>
      </c>
      <c r="K985" s="14">
        <f t="shared" si="30"/>
        <v>14500</v>
      </c>
      <c r="L985" s="14">
        <f t="shared" si="31"/>
        <v>-3346.4199999999983</v>
      </c>
    </row>
    <row r="986" spans="1:12" ht="35.15" customHeight="1" x14ac:dyDescent="0.4">
      <c r="A986" s="11" t="s">
        <v>2014</v>
      </c>
      <c r="B986" s="11" t="s">
        <v>2015</v>
      </c>
      <c r="C986" s="11" t="s">
        <v>606</v>
      </c>
      <c r="D986" s="11" t="s">
        <v>605</v>
      </c>
      <c r="E986" s="18" t="str">
        <f>_xlfn.XLOOKUP(A986,'Current Month'!A:A,'Current Month'!I:I,"")</f>
        <v/>
      </c>
      <c r="F986" s="21" t="str">
        <f>_xlfn.XLOOKUP(A986,'Prior Month'!A:A,'Prior Month'!I:I,"")</f>
        <v/>
      </c>
      <c r="G986" s="18" t="str">
        <f>_xlfn.XLOOKUP(A986,'Year end 2024'!A:A,'Year end 2024'!I:I,"")</f>
        <v/>
      </c>
      <c r="H986" s="19">
        <f>_xlfn.XLOOKUP(A986,'Current Month'!A:A,'Current Month'!E:E,0,0)</f>
        <v>57548.15</v>
      </c>
      <c r="I986" s="32">
        <f>_xlfn.XLOOKUP(A986,'Prior Month'!A:A,'Prior Month'!E:E,0,0)</f>
        <v>44812.03</v>
      </c>
      <c r="J986" s="32">
        <f>_xlfn.XLOOKUP(A986,'Year end 2024'!A:A,'Year end 2024'!E:E,0,0)</f>
        <v>42320.52</v>
      </c>
      <c r="K986" s="14">
        <f t="shared" si="30"/>
        <v>12736.120000000003</v>
      </c>
      <c r="L986" s="14">
        <f t="shared" si="31"/>
        <v>15227.630000000005</v>
      </c>
    </row>
    <row r="987" spans="1:12" ht="35.15" customHeight="1" x14ac:dyDescent="0.4">
      <c r="A987" s="11" t="s">
        <v>2016</v>
      </c>
      <c r="B987" s="11" t="s">
        <v>2017</v>
      </c>
      <c r="C987" s="11" t="s">
        <v>51</v>
      </c>
      <c r="D987" s="11" t="s">
        <v>50</v>
      </c>
      <c r="E987" s="18" t="str">
        <f>_xlfn.XLOOKUP(A987,'Current Month'!A:A,'Current Month'!I:I,"")</f>
        <v/>
      </c>
      <c r="F987" s="21" t="str">
        <f>_xlfn.XLOOKUP(A987,'Prior Month'!A:A,'Prior Month'!I:I,"")</f>
        <v/>
      </c>
      <c r="G987" s="18" t="str">
        <f>_xlfn.XLOOKUP(A987,'Year end 2024'!A:A,'Year end 2024'!I:I,"")</f>
        <v/>
      </c>
      <c r="H987" s="19">
        <f>_xlfn.XLOOKUP(A987,'Current Month'!A:A,'Current Month'!E:E,0,0)</f>
        <v>192908.48</v>
      </c>
      <c r="I987" s="32">
        <f>_xlfn.XLOOKUP(A987,'Prior Month'!A:A,'Prior Month'!E:E,0,0)</f>
        <v>192256.12</v>
      </c>
      <c r="J987" s="32">
        <f>_xlfn.XLOOKUP(A987,'Year end 2024'!A:A,'Year end 2024'!E:E,0,0)</f>
        <v>222531.71</v>
      </c>
      <c r="K987" s="14">
        <f t="shared" si="30"/>
        <v>652.36000000001513</v>
      </c>
      <c r="L987" s="14">
        <f t="shared" si="31"/>
        <v>-29623.229999999981</v>
      </c>
    </row>
    <row r="988" spans="1:12" ht="35.15" customHeight="1" x14ac:dyDescent="0.4">
      <c r="A988" s="11" t="s">
        <v>2018</v>
      </c>
      <c r="B988" s="11" t="s">
        <v>2019</v>
      </c>
      <c r="C988" s="11" t="s">
        <v>77</v>
      </c>
      <c r="D988" s="11" t="s">
        <v>76</v>
      </c>
      <c r="E988" s="18" t="str">
        <f>_xlfn.XLOOKUP(A988,'Current Month'!A:A,'Current Month'!I:I,"")</f>
        <v/>
      </c>
      <c r="F988" s="21" t="str">
        <f>_xlfn.XLOOKUP(A988,'Prior Month'!A:A,'Prior Month'!I:I,"")</f>
        <v/>
      </c>
      <c r="G988" s="18" t="str">
        <f>_xlfn.XLOOKUP(A988,'Year end 2024'!A:A,'Year end 2024'!I:I,"")</f>
        <v/>
      </c>
      <c r="H988" s="19">
        <f>_xlfn.XLOOKUP(A988,'Current Month'!A:A,'Current Month'!E:E,0,0)</f>
        <v>219732.21</v>
      </c>
      <c r="I988" s="32">
        <f>_xlfn.XLOOKUP(A988,'Prior Month'!A:A,'Prior Month'!E:E,0,0)</f>
        <v>166306.17000000001</v>
      </c>
      <c r="J988" s="32">
        <f>_xlfn.XLOOKUP(A988,'Year end 2024'!A:A,'Year end 2024'!E:E,0,0)</f>
        <v>184443.75</v>
      </c>
      <c r="K988" s="14">
        <f t="shared" si="30"/>
        <v>53426.039999999979</v>
      </c>
      <c r="L988" s="14">
        <f t="shared" si="31"/>
        <v>35288.459999999992</v>
      </c>
    </row>
    <row r="989" spans="1:12" ht="35.15" customHeight="1" x14ac:dyDescent="0.4">
      <c r="A989" s="11" t="s">
        <v>2020</v>
      </c>
      <c r="B989" s="11" t="s">
        <v>2021</v>
      </c>
      <c r="C989" s="11" t="s">
        <v>51</v>
      </c>
      <c r="D989" s="11" t="s">
        <v>50</v>
      </c>
      <c r="E989" s="18" t="str">
        <f>_xlfn.XLOOKUP(A989,'Current Month'!A:A,'Current Month'!I:I,"")</f>
        <v/>
      </c>
      <c r="F989" s="21" t="str">
        <f>_xlfn.XLOOKUP(A989,'Prior Month'!A:A,'Prior Month'!I:I,"")</f>
        <v/>
      </c>
      <c r="G989" s="18" t="str">
        <f>_xlfn.XLOOKUP(A989,'Year end 2024'!A:A,'Year end 2024'!I:I,"")</f>
        <v/>
      </c>
      <c r="H989" s="19">
        <f>_xlfn.XLOOKUP(A989,'Current Month'!A:A,'Current Month'!E:E,0,0)</f>
        <v>10197.450000000001</v>
      </c>
      <c r="I989" s="32">
        <f>_xlfn.XLOOKUP(A989,'Prior Month'!A:A,'Prior Month'!E:E,0,0)</f>
        <v>16387.25</v>
      </c>
      <c r="J989" s="32">
        <f>_xlfn.XLOOKUP(A989,'Year end 2024'!A:A,'Year end 2024'!E:E,0,0)</f>
        <v>5599.53</v>
      </c>
      <c r="K989" s="14">
        <f t="shared" si="30"/>
        <v>-6189.7999999999993</v>
      </c>
      <c r="L989" s="14">
        <f t="shared" si="31"/>
        <v>4597.920000000001</v>
      </c>
    </row>
    <row r="990" spans="1:12" ht="35.15" customHeight="1" x14ac:dyDescent="0.4">
      <c r="A990" s="11" t="s">
        <v>2022</v>
      </c>
      <c r="B990" s="11" t="s">
        <v>2023</v>
      </c>
      <c r="C990" s="11" t="s">
        <v>19</v>
      </c>
      <c r="D990" s="11" t="s">
        <v>18</v>
      </c>
      <c r="E990" s="18" t="str">
        <f>_xlfn.XLOOKUP(A990,'Current Month'!A:A,'Current Month'!I:I,"")</f>
        <v/>
      </c>
      <c r="F990" s="21" t="str">
        <f>_xlfn.XLOOKUP(A990,'Prior Month'!A:A,'Prior Month'!I:I,"")</f>
        <v/>
      </c>
      <c r="G990" s="18" t="str">
        <f>_xlfn.XLOOKUP(A990,'Year end 2024'!A:A,'Year end 2024'!I:I,"")</f>
        <v/>
      </c>
      <c r="H990" s="19">
        <f>_xlfn.XLOOKUP(A990,'Current Month'!A:A,'Current Month'!E:E,0,0)</f>
        <v>75697.77</v>
      </c>
      <c r="I990" s="32">
        <f>_xlfn.XLOOKUP(A990,'Prior Month'!A:A,'Prior Month'!E:E,0,0)</f>
        <v>75705.570000000007</v>
      </c>
      <c r="J990" s="32">
        <f>_xlfn.XLOOKUP(A990,'Year end 2024'!A:A,'Year end 2024'!E:E,0,0)</f>
        <v>71257.81</v>
      </c>
      <c r="K990" s="14">
        <f t="shared" si="30"/>
        <v>-7.8000000000029104</v>
      </c>
      <c r="L990" s="14">
        <f t="shared" si="31"/>
        <v>4439.9600000000064</v>
      </c>
    </row>
    <row r="991" spans="1:12" ht="35.15" customHeight="1" x14ac:dyDescent="0.4">
      <c r="A991" s="11" t="s">
        <v>2024</v>
      </c>
      <c r="B991" s="11" t="s">
        <v>2025</v>
      </c>
      <c r="C991" s="11" t="s">
        <v>109</v>
      </c>
      <c r="D991" s="11" t="s">
        <v>108</v>
      </c>
      <c r="E991" s="18" t="str">
        <f>_xlfn.XLOOKUP(A991,'Current Month'!A:A,'Current Month'!I:I,"")</f>
        <v/>
      </c>
      <c r="F991" s="21" t="str">
        <f>_xlfn.XLOOKUP(A991,'Prior Month'!A:A,'Prior Month'!I:I,"")</f>
        <v/>
      </c>
      <c r="G991" s="18" t="str">
        <f>_xlfn.XLOOKUP(A991,'Year end 2024'!A:A,'Year end 2024'!I:I,"")</f>
        <v/>
      </c>
      <c r="H991" s="19">
        <f>_xlfn.XLOOKUP(A991,'Current Month'!A:A,'Current Month'!E:E,0,0)</f>
        <v>76333.59</v>
      </c>
      <c r="I991" s="32">
        <f>_xlfn.XLOOKUP(A991,'Prior Month'!A:A,'Prior Month'!E:E,0,0)</f>
        <v>65800.149999999994</v>
      </c>
      <c r="J991" s="32">
        <f>_xlfn.XLOOKUP(A991,'Year end 2024'!A:A,'Year end 2024'!E:E,0,0)</f>
        <v>144462.54</v>
      </c>
      <c r="K991" s="14">
        <f t="shared" si="30"/>
        <v>10533.440000000002</v>
      </c>
      <c r="L991" s="14">
        <f t="shared" si="31"/>
        <v>-68128.950000000012</v>
      </c>
    </row>
    <row r="992" spans="1:12" ht="35.15" customHeight="1" x14ac:dyDescent="0.4">
      <c r="A992" s="11" t="s">
        <v>2026</v>
      </c>
      <c r="B992" s="11" t="s">
        <v>2027</v>
      </c>
      <c r="C992" s="11" t="s">
        <v>73</v>
      </c>
      <c r="D992" s="11" t="s">
        <v>72</v>
      </c>
      <c r="E992" s="18">
        <f>_xlfn.XLOOKUP(A992,'Current Month'!A:A,'Current Month'!I:I,"")</f>
        <v>1.628E-5</v>
      </c>
      <c r="F992" s="21">
        <f>_xlfn.XLOOKUP(A992,'Prior Month'!A:A,'Prior Month'!I:I,"")</f>
        <v>1.628E-5</v>
      </c>
      <c r="G992" s="18">
        <f>_xlfn.XLOOKUP(A992,'Year end 2024'!A:A,'Year end 2024'!I:I,"")</f>
        <v>3.6279999999999998E-5</v>
      </c>
      <c r="H992" s="19">
        <f>_xlfn.XLOOKUP(A992,'Current Month'!A:A,'Current Month'!E:E,0,0)</f>
        <v>4.07</v>
      </c>
      <c r="I992" s="32">
        <f>_xlfn.XLOOKUP(A992,'Prior Month'!A:A,'Prior Month'!E:E,0,0)</f>
        <v>4.07</v>
      </c>
      <c r="J992" s="32">
        <f>_xlfn.XLOOKUP(A992,'Year end 2024'!A:A,'Year end 2024'!E:E,0,0)</f>
        <v>9.07</v>
      </c>
      <c r="K992" s="14">
        <f t="shared" si="30"/>
        <v>0</v>
      </c>
      <c r="L992" s="14">
        <f t="shared" si="31"/>
        <v>-5</v>
      </c>
    </row>
    <row r="993" spans="1:12" ht="35.15" customHeight="1" x14ac:dyDescent="0.4">
      <c r="A993" s="11" t="s">
        <v>2028</v>
      </c>
      <c r="B993" s="11" t="s">
        <v>2029</v>
      </c>
      <c r="C993" s="11" t="s">
        <v>73</v>
      </c>
      <c r="D993" s="11" t="s">
        <v>72</v>
      </c>
      <c r="E993" s="18">
        <f>_xlfn.XLOOKUP(A993,'Current Month'!A:A,'Current Month'!I:I,"")</f>
        <v>4.5200000000000001E-5</v>
      </c>
      <c r="F993" s="21">
        <f>_xlfn.XLOOKUP(A993,'Prior Month'!A:A,'Prior Month'!I:I,"")</f>
        <v>4.5200000000000001E-5</v>
      </c>
      <c r="G993" s="18">
        <f>_xlfn.XLOOKUP(A993,'Year end 2024'!A:A,'Year end 2024'!I:I,"")</f>
        <v>1.5186666666666668E-4</v>
      </c>
      <c r="H993" s="19">
        <f>_xlfn.XLOOKUP(A993,'Current Month'!A:A,'Current Month'!E:E,0,0)</f>
        <v>33.9</v>
      </c>
      <c r="I993" s="32">
        <f>_xlfn.XLOOKUP(A993,'Prior Month'!A:A,'Prior Month'!E:E,0,0)</f>
        <v>33.9</v>
      </c>
      <c r="J993" s="32">
        <f>_xlfn.XLOOKUP(A993,'Year end 2024'!A:A,'Year end 2024'!E:E,0,0)</f>
        <v>113.9</v>
      </c>
      <c r="K993" s="14">
        <f t="shared" si="30"/>
        <v>0</v>
      </c>
      <c r="L993" s="14">
        <f t="shared" si="31"/>
        <v>-80</v>
      </c>
    </row>
    <row r="994" spans="1:12" ht="35.15" customHeight="1" x14ac:dyDescent="0.4">
      <c r="A994" s="11" t="s">
        <v>2030</v>
      </c>
      <c r="B994" s="11" t="s">
        <v>2031</v>
      </c>
      <c r="C994" s="11" t="s">
        <v>73</v>
      </c>
      <c r="D994" s="11" t="s">
        <v>72</v>
      </c>
      <c r="E994" s="18">
        <f>_xlfn.XLOOKUP(A994,'Current Month'!A:A,'Current Month'!I:I,"")</f>
        <v>9.0008666666666678E-3</v>
      </c>
      <c r="F994" s="21">
        <f>_xlfn.XLOOKUP(A994,'Prior Month'!A:A,'Prior Month'!I:I,"")</f>
        <v>3.3381333333333337E-3</v>
      </c>
      <c r="G994" s="18">
        <f>_xlfn.XLOOKUP(A994,'Year end 2024'!A:A,'Year end 2024'!I:I,"")</f>
        <v>1.0073266666666667E-2</v>
      </c>
      <c r="H994" s="19">
        <f>_xlfn.XLOOKUP(A994,'Current Month'!A:A,'Current Month'!E:E,0,0)</f>
        <v>1350.13</v>
      </c>
      <c r="I994" s="32">
        <f>_xlfn.XLOOKUP(A994,'Prior Month'!A:A,'Prior Month'!E:E,0,0)</f>
        <v>500.72</v>
      </c>
      <c r="J994" s="32">
        <f>_xlfn.XLOOKUP(A994,'Year end 2024'!A:A,'Year end 2024'!E:E,0,0)</f>
        <v>1510.99</v>
      </c>
      <c r="K994" s="14">
        <f t="shared" si="30"/>
        <v>849.41000000000008</v>
      </c>
      <c r="L994" s="14">
        <f t="shared" si="31"/>
        <v>-160.8599999999999</v>
      </c>
    </row>
    <row r="995" spans="1:12" ht="35.15" customHeight="1" x14ac:dyDescent="0.4">
      <c r="A995" s="11" t="s">
        <v>2032</v>
      </c>
      <c r="B995" s="11" t="s">
        <v>2033</v>
      </c>
      <c r="C995" s="11" t="s">
        <v>73</v>
      </c>
      <c r="D995" s="11" t="s">
        <v>72</v>
      </c>
      <c r="E995" s="18">
        <f>_xlfn.XLOOKUP(A995,'Current Month'!A:A,'Current Month'!I:I,"")</f>
        <v>4.1999999999999998E-5</v>
      </c>
      <c r="F995" s="21">
        <f>_xlfn.XLOOKUP(A995,'Prior Month'!A:A,'Prior Month'!I:I,"")</f>
        <v>1.0866666666666667E-4</v>
      </c>
      <c r="G995" s="18">
        <f>_xlfn.XLOOKUP(A995,'Year end 2024'!A:A,'Year end 2024'!I:I,"")</f>
        <v>6.4199999999999999E-4</v>
      </c>
      <c r="H995" s="19">
        <f>_xlfn.XLOOKUP(A995,'Current Month'!A:A,'Current Month'!E:E,0,0)</f>
        <v>3.15</v>
      </c>
      <c r="I995" s="32">
        <f>_xlfn.XLOOKUP(A995,'Prior Month'!A:A,'Prior Month'!E:E,0,0)</f>
        <v>8.15</v>
      </c>
      <c r="J995" s="32">
        <f>_xlfn.XLOOKUP(A995,'Year end 2024'!A:A,'Year end 2024'!E:E,0,0)</f>
        <v>48.15</v>
      </c>
      <c r="K995" s="14">
        <f t="shared" si="30"/>
        <v>-5</v>
      </c>
      <c r="L995" s="14">
        <f t="shared" si="31"/>
        <v>-45</v>
      </c>
    </row>
    <row r="996" spans="1:12" ht="35.15" customHeight="1" x14ac:dyDescent="0.4">
      <c r="A996" s="11" t="s">
        <v>2034</v>
      </c>
      <c r="B996" s="11" t="s">
        <v>2035</v>
      </c>
      <c r="C996" s="11" t="s">
        <v>73</v>
      </c>
      <c r="D996" s="11" t="s">
        <v>72</v>
      </c>
      <c r="E996" s="18">
        <f>_xlfn.XLOOKUP(A996,'Current Month'!A:A,'Current Month'!I:I,"")</f>
        <v>6.8174999999999996E-4</v>
      </c>
      <c r="F996" s="21">
        <f>_xlfn.XLOOKUP(A996,'Prior Month'!A:A,'Prior Month'!I:I,"")</f>
        <v>4.3077499999999999E-3</v>
      </c>
      <c r="G996" s="18">
        <f>_xlfn.XLOOKUP(A996,'Year end 2024'!A:A,'Year end 2024'!I:I,"")</f>
        <v>1.0499999999999999E-5</v>
      </c>
      <c r="H996" s="19">
        <f>_xlfn.XLOOKUP(A996,'Current Month'!A:A,'Current Month'!E:E,0,0)</f>
        <v>27.27</v>
      </c>
      <c r="I996" s="32">
        <f>_xlfn.XLOOKUP(A996,'Prior Month'!A:A,'Prior Month'!E:E,0,0)</f>
        <v>172.31</v>
      </c>
      <c r="J996" s="32">
        <f>_xlfn.XLOOKUP(A996,'Year end 2024'!A:A,'Year end 2024'!E:E,0,0)</f>
        <v>0.42</v>
      </c>
      <c r="K996" s="14">
        <f t="shared" si="30"/>
        <v>-145.04</v>
      </c>
      <c r="L996" s="14">
        <f t="shared" si="31"/>
        <v>26.849999999999998</v>
      </c>
    </row>
    <row r="997" spans="1:12" ht="35.15" customHeight="1" x14ac:dyDescent="0.4">
      <c r="A997" s="11" t="s">
        <v>2036</v>
      </c>
      <c r="B997" s="11" t="s">
        <v>2037</v>
      </c>
      <c r="C997" s="11" t="s">
        <v>73</v>
      </c>
      <c r="D997" s="11" t="s">
        <v>72</v>
      </c>
      <c r="E997" s="18">
        <f>_xlfn.XLOOKUP(A997,'Current Month'!A:A,'Current Month'!I:I,"")</f>
        <v>9.9319999999999986E-4</v>
      </c>
      <c r="F997" s="21">
        <f>_xlfn.XLOOKUP(A997,'Prior Month'!A:A,'Prior Month'!I:I,"")</f>
        <v>9.6400000000000012E-5</v>
      </c>
      <c r="G997" s="18">
        <f>_xlfn.XLOOKUP(A997,'Year end 2024'!A:A,'Year end 2024'!I:I,"")</f>
        <v>1.2308E-3</v>
      </c>
      <c r="H997" s="19">
        <f>_xlfn.XLOOKUP(A997,'Current Month'!A:A,'Current Month'!E:E,0,0)</f>
        <v>49.66</v>
      </c>
      <c r="I997" s="32">
        <f>_xlfn.XLOOKUP(A997,'Prior Month'!A:A,'Prior Month'!E:E,0,0)</f>
        <v>4.82</v>
      </c>
      <c r="J997" s="32">
        <f>_xlfn.XLOOKUP(A997,'Year end 2024'!A:A,'Year end 2024'!E:E,0,0)</f>
        <v>61.54</v>
      </c>
      <c r="K997" s="14">
        <f t="shared" si="30"/>
        <v>44.839999999999996</v>
      </c>
      <c r="L997" s="14">
        <f t="shared" si="31"/>
        <v>-11.880000000000003</v>
      </c>
    </row>
    <row r="998" spans="1:12" ht="35.15" customHeight="1" x14ac:dyDescent="0.4">
      <c r="A998" s="11" t="s">
        <v>2038</v>
      </c>
      <c r="B998" s="11" t="s">
        <v>2039</v>
      </c>
      <c r="C998" s="11" t="s">
        <v>73</v>
      </c>
      <c r="D998" s="11" t="s">
        <v>72</v>
      </c>
      <c r="E998" s="18">
        <f>_xlfn.XLOOKUP(A998,'Current Month'!A:A,'Current Month'!I:I,"")</f>
        <v>0</v>
      </c>
      <c r="F998" s="21">
        <f>_xlfn.XLOOKUP(A998,'Prior Month'!A:A,'Prior Month'!I:I,"")</f>
        <v>0</v>
      </c>
      <c r="G998" s="18">
        <f>_xlfn.XLOOKUP(A998,'Year end 2024'!A:A,'Year end 2024'!I:I,"")</f>
        <v>0</v>
      </c>
      <c r="H998" s="19">
        <f>_xlfn.XLOOKUP(A998,'Current Month'!A:A,'Current Month'!E:E,0,0)</f>
        <v>0</v>
      </c>
      <c r="I998" s="32">
        <f>_xlfn.XLOOKUP(A998,'Prior Month'!A:A,'Prior Month'!E:E,0,0)</f>
        <v>0</v>
      </c>
      <c r="J998" s="32">
        <f>_xlfn.XLOOKUP(A998,'Year end 2024'!A:A,'Year end 2024'!E:E,0,0)</f>
        <v>0</v>
      </c>
      <c r="K998" s="14">
        <f t="shared" si="30"/>
        <v>0</v>
      </c>
      <c r="L998" s="14">
        <f t="shared" si="31"/>
        <v>0</v>
      </c>
    </row>
    <row r="999" spans="1:12" ht="35.15" customHeight="1" x14ac:dyDescent="0.4">
      <c r="A999" s="11" t="s">
        <v>2040</v>
      </c>
      <c r="B999" s="11" t="s">
        <v>2041</v>
      </c>
      <c r="C999" s="11" t="s">
        <v>51</v>
      </c>
      <c r="D999" s="11" t="s">
        <v>50</v>
      </c>
      <c r="E999" s="18">
        <f>_xlfn.XLOOKUP(A999,'Current Month'!A:A,'Current Month'!I:I,"")</f>
        <v>2.7944335051947045</v>
      </c>
      <c r="F999" s="21">
        <f>_xlfn.XLOOKUP(A999,'Prior Month'!A:A,'Prior Month'!I:I,"")</f>
        <v>2.8649222885415</v>
      </c>
      <c r="G999" s="18">
        <f>_xlfn.XLOOKUP(A999,'Year end 2024'!A:A,'Year end 2024'!I:I,"")</f>
        <v>2.1484437165553589</v>
      </c>
      <c r="H999" s="19">
        <f>_xlfn.XLOOKUP(A999,'Current Month'!A:A,'Current Month'!E:E,0,0)</f>
        <v>215713.5</v>
      </c>
      <c r="I999" s="32">
        <f>_xlfn.XLOOKUP(A999,'Prior Month'!A:A,'Prior Month'!E:E,0,0)</f>
        <v>225493.65</v>
      </c>
      <c r="J999" s="32">
        <f>_xlfn.XLOOKUP(A999,'Year end 2024'!A:A,'Year end 2024'!E:E,0,0)</f>
        <v>196695.2</v>
      </c>
      <c r="K999" s="14">
        <f t="shared" si="30"/>
        <v>-9780.1499999999942</v>
      </c>
      <c r="L999" s="14">
        <f t="shared" si="31"/>
        <v>19018.299999999988</v>
      </c>
    </row>
    <row r="1000" spans="1:12" ht="35.15" customHeight="1" x14ac:dyDescent="0.4">
      <c r="A1000" s="11" t="s">
        <v>2042</v>
      </c>
      <c r="B1000" s="11" t="s">
        <v>2043</v>
      </c>
      <c r="C1000" s="11" t="s">
        <v>19</v>
      </c>
      <c r="D1000" s="11" t="s">
        <v>18</v>
      </c>
      <c r="E1000" s="18" t="str">
        <f>_xlfn.XLOOKUP(A1000,'Current Month'!A:A,'Current Month'!I:I,"")</f>
        <v/>
      </c>
      <c r="F1000" s="21" t="str">
        <f>_xlfn.XLOOKUP(A1000,'Prior Month'!A:A,'Prior Month'!I:I,"")</f>
        <v/>
      </c>
      <c r="G1000" s="18" t="str">
        <f>_xlfn.XLOOKUP(A1000,'Year end 2024'!A:A,'Year end 2024'!I:I,"")</f>
        <v/>
      </c>
      <c r="H1000" s="19">
        <f>_xlfn.XLOOKUP(A1000,'Current Month'!A:A,'Current Month'!E:E,0,0)</f>
        <v>21821.42</v>
      </c>
      <c r="I1000" s="32">
        <f>_xlfn.XLOOKUP(A1000,'Prior Month'!A:A,'Prior Month'!E:E,0,0)</f>
        <v>11967.15</v>
      </c>
      <c r="J1000" s="32">
        <f>_xlfn.XLOOKUP(A1000,'Year end 2024'!A:A,'Year end 2024'!E:E,0,0)</f>
        <v>20352.650000000001</v>
      </c>
      <c r="K1000" s="14">
        <f t="shared" si="30"/>
        <v>9854.2699999999986</v>
      </c>
      <c r="L1000" s="14">
        <f t="shared" si="31"/>
        <v>1468.7699999999968</v>
      </c>
    </row>
    <row r="1001" spans="1:12" ht="35.15" customHeight="1" x14ac:dyDescent="0.4">
      <c r="A1001" s="11" t="s">
        <v>2044</v>
      </c>
      <c r="B1001" s="11" t="s">
        <v>2045</v>
      </c>
      <c r="C1001" s="11" t="s">
        <v>259</v>
      </c>
      <c r="D1001" s="11" t="s">
        <v>258</v>
      </c>
      <c r="E1001" s="18" t="str">
        <f>_xlfn.XLOOKUP(A1001,'Current Month'!A:A,'Current Month'!I:I,"")</f>
        <v/>
      </c>
      <c r="F1001" s="21" t="str">
        <f>_xlfn.XLOOKUP(A1001,'Prior Month'!A:A,'Prior Month'!I:I,"")</f>
        <v/>
      </c>
      <c r="G1001" s="18" t="str">
        <f>_xlfn.XLOOKUP(A1001,'Year end 2024'!A:A,'Year end 2024'!I:I,"")</f>
        <v/>
      </c>
      <c r="H1001" s="19">
        <f>_xlfn.XLOOKUP(A1001,'Current Month'!A:A,'Current Month'!E:E,0,0)</f>
        <v>17441.77</v>
      </c>
      <c r="I1001" s="32">
        <f>_xlfn.XLOOKUP(A1001,'Prior Month'!A:A,'Prior Month'!E:E,0,0)</f>
        <v>17048.810000000001</v>
      </c>
      <c r="J1001" s="32">
        <f>_xlfn.XLOOKUP(A1001,'Year end 2024'!A:A,'Year end 2024'!E:E,0,0)</f>
        <v>18701.95</v>
      </c>
      <c r="K1001" s="14">
        <f t="shared" si="30"/>
        <v>392.95999999999913</v>
      </c>
      <c r="L1001" s="14">
        <f t="shared" si="31"/>
        <v>-1260.1800000000003</v>
      </c>
    </row>
    <row r="1002" spans="1:12" ht="35.15" customHeight="1" x14ac:dyDescent="0.4">
      <c r="A1002" s="11" t="s">
        <v>2046</v>
      </c>
      <c r="B1002" s="11" t="s">
        <v>2047</v>
      </c>
      <c r="C1002" s="11" t="s">
        <v>29</v>
      </c>
      <c r="D1002" s="11" t="s">
        <v>28</v>
      </c>
      <c r="E1002" s="18" t="str">
        <f>_xlfn.XLOOKUP(A1002,'Current Month'!A:A,'Current Month'!I:I,"")</f>
        <v/>
      </c>
      <c r="F1002" s="21" t="str">
        <f>_xlfn.XLOOKUP(A1002,'Prior Month'!A:A,'Prior Month'!I:I,"")</f>
        <v/>
      </c>
      <c r="G1002" s="18" t="str">
        <f>_xlfn.XLOOKUP(A1002,'Year end 2024'!A:A,'Year end 2024'!I:I,"")</f>
        <v/>
      </c>
      <c r="H1002" s="19">
        <f>_xlfn.XLOOKUP(A1002,'Current Month'!A:A,'Current Month'!E:E,0,0)</f>
        <v>20799.07</v>
      </c>
      <c r="I1002" s="32">
        <f>_xlfn.XLOOKUP(A1002,'Prior Month'!A:A,'Prior Month'!E:E,0,0)</f>
        <v>19437.09</v>
      </c>
      <c r="J1002" s="32">
        <f>_xlfn.XLOOKUP(A1002,'Year end 2024'!A:A,'Year end 2024'!E:E,0,0)</f>
        <v>54612.9</v>
      </c>
      <c r="K1002" s="14">
        <f t="shared" si="30"/>
        <v>1361.9799999999996</v>
      </c>
      <c r="L1002" s="14">
        <f t="shared" si="31"/>
        <v>-33813.83</v>
      </c>
    </row>
    <row r="1003" spans="1:12" ht="35.15" customHeight="1" x14ac:dyDescent="0.4">
      <c r="A1003" s="11" t="s">
        <v>2048</v>
      </c>
      <c r="B1003" s="11" t="s">
        <v>2049</v>
      </c>
      <c r="C1003" s="11" t="s">
        <v>19</v>
      </c>
      <c r="D1003" s="11" t="s">
        <v>18</v>
      </c>
      <c r="E1003" s="18" t="str">
        <f>_xlfn.XLOOKUP(A1003,'Current Month'!A:A,'Current Month'!I:I,"")</f>
        <v/>
      </c>
      <c r="F1003" s="21" t="str">
        <f>_xlfn.XLOOKUP(A1003,'Prior Month'!A:A,'Prior Month'!I:I,"")</f>
        <v/>
      </c>
      <c r="G1003" s="18" t="str">
        <f>_xlfn.XLOOKUP(A1003,'Year end 2024'!A:A,'Year end 2024'!I:I,"")</f>
        <v/>
      </c>
      <c r="H1003" s="19">
        <f>_xlfn.XLOOKUP(A1003,'Current Month'!A:A,'Current Month'!E:E,0,0)</f>
        <v>152498.81</v>
      </c>
      <c r="I1003" s="32">
        <f>_xlfn.XLOOKUP(A1003,'Prior Month'!A:A,'Prior Month'!E:E,0,0)</f>
        <v>152254.74</v>
      </c>
      <c r="J1003" s="32">
        <f>_xlfn.XLOOKUP(A1003,'Year end 2024'!A:A,'Year end 2024'!E:E,0,0)</f>
        <v>181409.32</v>
      </c>
      <c r="K1003" s="14">
        <f t="shared" si="30"/>
        <v>244.07000000000698</v>
      </c>
      <c r="L1003" s="14">
        <f t="shared" si="31"/>
        <v>-28910.510000000009</v>
      </c>
    </row>
    <row r="1004" spans="1:12" ht="35.15" customHeight="1" x14ac:dyDescent="0.4">
      <c r="A1004" s="11" t="s">
        <v>2050</v>
      </c>
      <c r="B1004" s="11" t="s">
        <v>2051</v>
      </c>
      <c r="C1004" s="11" t="s">
        <v>41</v>
      </c>
      <c r="D1004" s="11" t="s">
        <v>40</v>
      </c>
      <c r="E1004" s="18" t="str">
        <f>_xlfn.XLOOKUP(A1004,'Current Month'!A:A,'Current Month'!I:I,"")</f>
        <v/>
      </c>
      <c r="F1004" s="21" t="str">
        <f>_xlfn.XLOOKUP(A1004,'Prior Month'!A:A,'Prior Month'!I:I,"")</f>
        <v/>
      </c>
      <c r="G1004" s="18" t="str">
        <f>_xlfn.XLOOKUP(A1004,'Year end 2024'!A:A,'Year end 2024'!I:I,"")</f>
        <v/>
      </c>
      <c r="H1004" s="19">
        <f>_xlfn.XLOOKUP(A1004,'Current Month'!A:A,'Current Month'!E:E,0,0)</f>
        <v>91740.46</v>
      </c>
      <c r="I1004" s="32">
        <f>_xlfn.XLOOKUP(A1004,'Prior Month'!A:A,'Prior Month'!E:E,0,0)</f>
        <v>16057.96</v>
      </c>
      <c r="J1004" s="32">
        <f>_xlfn.XLOOKUP(A1004,'Year end 2024'!A:A,'Year end 2024'!E:E,0,0)</f>
        <v>95512.85</v>
      </c>
      <c r="K1004" s="14">
        <f t="shared" si="30"/>
        <v>75682.5</v>
      </c>
      <c r="L1004" s="14">
        <f t="shared" si="31"/>
        <v>-3772.3899999999994</v>
      </c>
    </row>
    <row r="1005" spans="1:12" ht="35.15" customHeight="1" x14ac:dyDescent="0.4">
      <c r="A1005" s="11" t="s">
        <v>2052</v>
      </c>
      <c r="B1005" s="11" t="s">
        <v>2053</v>
      </c>
      <c r="C1005" s="11" t="s">
        <v>29</v>
      </c>
      <c r="D1005" s="11" t="s">
        <v>28</v>
      </c>
      <c r="E1005" s="18" t="str">
        <f>_xlfn.XLOOKUP(A1005,'Current Month'!A:A,'Current Month'!I:I,"")</f>
        <v/>
      </c>
      <c r="F1005" s="21" t="str">
        <f>_xlfn.XLOOKUP(A1005,'Prior Month'!A:A,'Prior Month'!I:I,"")</f>
        <v/>
      </c>
      <c r="G1005" s="18" t="str">
        <f>_xlfn.XLOOKUP(A1005,'Year end 2024'!A:A,'Year end 2024'!I:I,"")</f>
        <v/>
      </c>
      <c r="H1005" s="19">
        <f>_xlfn.XLOOKUP(A1005,'Current Month'!A:A,'Current Month'!E:E,0,0)</f>
        <v>2918.28</v>
      </c>
      <c r="I1005" s="32">
        <f>_xlfn.XLOOKUP(A1005,'Prior Month'!A:A,'Prior Month'!E:E,0,0)</f>
        <v>2918.28</v>
      </c>
      <c r="J1005" s="32">
        <f>_xlfn.XLOOKUP(A1005,'Year end 2024'!A:A,'Year end 2024'!E:E,0,0)</f>
        <v>2918.28</v>
      </c>
      <c r="K1005" s="14">
        <f t="shared" si="30"/>
        <v>0</v>
      </c>
      <c r="L1005" s="14">
        <f t="shared" si="31"/>
        <v>0</v>
      </c>
    </row>
    <row r="1006" spans="1:12" ht="35.15" customHeight="1" x14ac:dyDescent="0.4">
      <c r="A1006" s="11" t="s">
        <v>2054</v>
      </c>
      <c r="B1006" s="11" t="s">
        <v>2055</v>
      </c>
      <c r="C1006" s="11" t="s">
        <v>19</v>
      </c>
      <c r="D1006" s="11" t="s">
        <v>18</v>
      </c>
      <c r="E1006" s="18" t="str">
        <f>_xlfn.XLOOKUP(A1006,'Current Month'!A:A,'Current Month'!I:I,"")</f>
        <v/>
      </c>
      <c r="F1006" s="21" t="str">
        <f>_xlfn.XLOOKUP(A1006,'Prior Month'!A:A,'Prior Month'!I:I,"")</f>
        <v/>
      </c>
      <c r="G1006" s="18" t="str">
        <f>_xlfn.XLOOKUP(A1006,'Year end 2024'!A:A,'Year end 2024'!I:I,"")</f>
        <v/>
      </c>
      <c r="H1006" s="19">
        <f>_xlfn.XLOOKUP(A1006,'Current Month'!A:A,'Current Month'!E:E,0,0)</f>
        <v>2753.92</v>
      </c>
      <c r="I1006" s="32">
        <f>_xlfn.XLOOKUP(A1006,'Prior Month'!A:A,'Prior Month'!E:E,0,0)</f>
        <v>2199.16</v>
      </c>
      <c r="J1006" s="32">
        <f>_xlfn.XLOOKUP(A1006,'Year end 2024'!A:A,'Year end 2024'!E:E,0,0)</f>
        <v>1890.58</v>
      </c>
      <c r="K1006" s="14">
        <f t="shared" si="30"/>
        <v>554.76000000000022</v>
      </c>
      <c r="L1006" s="14">
        <f t="shared" si="31"/>
        <v>863.34000000000015</v>
      </c>
    </row>
    <row r="1007" spans="1:12" ht="35.15" customHeight="1" x14ac:dyDescent="0.4">
      <c r="A1007" s="11" t="s">
        <v>2056</v>
      </c>
      <c r="B1007" s="11" t="s">
        <v>2057</v>
      </c>
      <c r="C1007" s="11" t="s">
        <v>19</v>
      </c>
      <c r="D1007" s="11" t="s">
        <v>18</v>
      </c>
      <c r="E1007" s="18" t="str">
        <f>_xlfn.XLOOKUP(A1007,'Current Month'!A:A,'Current Month'!I:I,"")</f>
        <v/>
      </c>
      <c r="F1007" s="21" t="str">
        <f>_xlfn.XLOOKUP(A1007,'Prior Month'!A:A,'Prior Month'!I:I,"")</f>
        <v/>
      </c>
      <c r="G1007" s="18" t="str">
        <f>_xlfn.XLOOKUP(A1007,'Year end 2024'!A:A,'Year end 2024'!I:I,"")</f>
        <v/>
      </c>
      <c r="H1007" s="19">
        <f>_xlfn.XLOOKUP(A1007,'Current Month'!A:A,'Current Month'!E:E,0,0)</f>
        <v>1269003.22</v>
      </c>
      <c r="I1007" s="32">
        <f>_xlfn.XLOOKUP(A1007,'Prior Month'!A:A,'Prior Month'!E:E,0,0)</f>
        <v>1263627.43</v>
      </c>
      <c r="J1007" s="32">
        <f>_xlfn.XLOOKUP(A1007,'Year end 2024'!A:A,'Year end 2024'!E:E,0,0)</f>
        <v>1151720.4099999999</v>
      </c>
      <c r="K1007" s="14">
        <f t="shared" si="30"/>
        <v>5375.7900000000373</v>
      </c>
      <c r="L1007" s="14">
        <f t="shared" si="31"/>
        <v>117282.81000000006</v>
      </c>
    </row>
    <row r="1008" spans="1:12" ht="35.15" customHeight="1" x14ac:dyDescent="0.4">
      <c r="A1008" s="11" t="s">
        <v>2058</v>
      </c>
      <c r="B1008" s="11" t="s">
        <v>2059</v>
      </c>
      <c r="C1008" s="11" t="s">
        <v>259</v>
      </c>
      <c r="D1008" s="11" t="s">
        <v>258</v>
      </c>
      <c r="E1008" s="18">
        <f>_xlfn.XLOOKUP(A1008,'Current Month'!A:A,'Current Month'!I:I,"")</f>
        <v>0.24630368588112939</v>
      </c>
      <c r="F1008" s="21">
        <f>_xlfn.XLOOKUP(A1008,'Prior Month'!A:A,'Prior Month'!I:I,"")</f>
        <v>0.26090675784243622</v>
      </c>
      <c r="G1008" s="18">
        <f>_xlfn.XLOOKUP(A1008,'Year end 2024'!A:A,'Year end 2024'!I:I,"")</f>
        <v>0.12794146631723566</v>
      </c>
      <c r="H1008" s="19">
        <f>_xlfn.XLOOKUP(A1008,'Current Month'!A:A,'Current Month'!E:E,0,0)</f>
        <v>294346.53999999998</v>
      </c>
      <c r="I1008" s="32">
        <f>_xlfn.XLOOKUP(A1008,'Prior Month'!A:A,'Prior Month'!E:E,0,0)</f>
        <v>317435.45</v>
      </c>
      <c r="J1008" s="32">
        <f>_xlfn.XLOOKUP(A1008,'Year end 2024'!A:A,'Year end 2024'!E:E,0,0)</f>
        <v>179985.29</v>
      </c>
      <c r="K1008" s="14">
        <f t="shared" si="30"/>
        <v>-23088.910000000033</v>
      </c>
      <c r="L1008" s="14">
        <f t="shared" si="31"/>
        <v>114361.24999999997</v>
      </c>
    </row>
    <row r="1009" spans="1:12" ht="35.15" customHeight="1" x14ac:dyDescent="0.4">
      <c r="A1009" s="11" t="s">
        <v>2060</v>
      </c>
      <c r="B1009" s="11" t="s">
        <v>2061</v>
      </c>
      <c r="C1009" s="11" t="s">
        <v>77</v>
      </c>
      <c r="D1009" s="11" t="s">
        <v>76</v>
      </c>
      <c r="E1009" s="18">
        <f>_xlfn.XLOOKUP(A1009,'Current Month'!A:A,'Current Month'!I:I,"")</f>
        <v>2.0829666666666666</v>
      </c>
      <c r="F1009" s="21">
        <f>_xlfn.XLOOKUP(A1009,'Prior Month'!A:A,'Prior Month'!I:I,"")</f>
        <v>2.9643266666666666</v>
      </c>
      <c r="G1009" s="18">
        <f>_xlfn.XLOOKUP(A1009,'Year end 2024'!A:A,'Year end 2024'!I:I,"")</f>
        <v>2.1497733333333331</v>
      </c>
      <c r="H1009" s="19">
        <f>_xlfn.XLOOKUP(A1009,'Current Month'!A:A,'Current Month'!E:E,0,0)</f>
        <v>3124.45</v>
      </c>
      <c r="I1009" s="32">
        <f>_xlfn.XLOOKUP(A1009,'Prior Month'!A:A,'Prior Month'!E:E,0,0)</f>
        <v>4446.49</v>
      </c>
      <c r="J1009" s="32">
        <f>_xlfn.XLOOKUP(A1009,'Year end 2024'!A:A,'Year end 2024'!E:E,0,0)</f>
        <v>3224.66</v>
      </c>
      <c r="K1009" s="14">
        <f t="shared" si="30"/>
        <v>-1322.04</v>
      </c>
      <c r="L1009" s="14">
        <f t="shared" si="31"/>
        <v>-100.21000000000004</v>
      </c>
    </row>
    <row r="1010" spans="1:12" ht="35.15" customHeight="1" x14ac:dyDescent="0.4">
      <c r="A1010" s="11" t="s">
        <v>2062</v>
      </c>
      <c r="B1010" s="11" t="s">
        <v>2063</v>
      </c>
      <c r="C1010" s="11" t="s">
        <v>29</v>
      </c>
      <c r="D1010" s="11" t="s">
        <v>28</v>
      </c>
      <c r="E1010" s="18" t="str">
        <f>_xlfn.XLOOKUP(A1010,'Current Month'!A:A,'Current Month'!I:I,"")</f>
        <v/>
      </c>
      <c r="F1010" s="21" t="str">
        <f>_xlfn.XLOOKUP(A1010,'Prior Month'!A:A,'Prior Month'!I:I,"")</f>
        <v/>
      </c>
      <c r="G1010" s="18" t="str">
        <f>_xlfn.XLOOKUP(A1010,'Year end 2024'!A:A,'Year end 2024'!I:I,"")</f>
        <v/>
      </c>
      <c r="H1010" s="19">
        <f>_xlfn.XLOOKUP(A1010,'Current Month'!A:A,'Current Month'!E:E,0,0)</f>
        <v>2411.73</v>
      </c>
      <c r="I1010" s="32">
        <f>_xlfn.XLOOKUP(A1010,'Prior Month'!A:A,'Prior Month'!E:E,0,0)</f>
        <v>19636.939999999999</v>
      </c>
      <c r="J1010" s="32">
        <f>_xlfn.XLOOKUP(A1010,'Year end 2024'!A:A,'Year end 2024'!E:E,0,0)</f>
        <v>1729.28</v>
      </c>
      <c r="K1010" s="14">
        <f t="shared" si="30"/>
        <v>-17225.21</v>
      </c>
      <c r="L1010" s="14">
        <f t="shared" si="31"/>
        <v>682.45</v>
      </c>
    </row>
    <row r="1011" spans="1:12" ht="35.15" customHeight="1" x14ac:dyDescent="0.4">
      <c r="A1011" s="11" t="s">
        <v>2064</v>
      </c>
      <c r="B1011" s="11" t="s">
        <v>2065</v>
      </c>
      <c r="C1011" s="11" t="s">
        <v>41</v>
      </c>
      <c r="D1011" s="11" t="s">
        <v>40</v>
      </c>
      <c r="E1011" s="18" t="str">
        <f>_xlfn.XLOOKUP(A1011,'Current Month'!A:A,'Current Month'!I:I,"")</f>
        <v/>
      </c>
      <c r="F1011" s="21" t="str">
        <f>_xlfn.XLOOKUP(A1011,'Prior Month'!A:A,'Prior Month'!I:I,"")</f>
        <v/>
      </c>
      <c r="G1011" s="18" t="str">
        <f>_xlfn.XLOOKUP(A1011,'Year end 2024'!A:A,'Year end 2024'!I:I,"")</f>
        <v/>
      </c>
      <c r="H1011" s="19">
        <f>_xlfn.XLOOKUP(A1011,'Current Month'!A:A,'Current Month'!E:E,0,0)</f>
        <v>34184.550000000003</v>
      </c>
      <c r="I1011" s="32">
        <f>_xlfn.XLOOKUP(A1011,'Prior Month'!A:A,'Prior Month'!E:E,0,0)</f>
        <v>20819.96</v>
      </c>
      <c r="J1011" s="32">
        <f>_xlfn.XLOOKUP(A1011,'Year end 2024'!A:A,'Year end 2024'!E:E,0,0)</f>
        <v>97762.98</v>
      </c>
      <c r="K1011" s="14">
        <f t="shared" si="30"/>
        <v>13364.590000000004</v>
      </c>
      <c r="L1011" s="14">
        <f t="shared" si="31"/>
        <v>-63578.429999999993</v>
      </c>
    </row>
    <row r="1012" spans="1:12" ht="35.15" customHeight="1" x14ac:dyDescent="0.4">
      <c r="A1012" s="11" t="s">
        <v>2066</v>
      </c>
      <c r="B1012" s="11" t="s">
        <v>2067</v>
      </c>
      <c r="C1012" s="11" t="s">
        <v>29</v>
      </c>
      <c r="D1012" s="11" t="s">
        <v>28</v>
      </c>
      <c r="E1012" s="18" t="str">
        <f>_xlfn.XLOOKUP(A1012,'Current Month'!A:A,'Current Month'!I:I,"")</f>
        <v/>
      </c>
      <c r="F1012" s="21" t="str">
        <f>_xlfn.XLOOKUP(A1012,'Prior Month'!A:A,'Prior Month'!I:I,"")</f>
        <v/>
      </c>
      <c r="G1012" s="18" t="str">
        <f>_xlfn.XLOOKUP(A1012,'Year end 2024'!A:A,'Year end 2024'!I:I,"")</f>
        <v/>
      </c>
      <c r="H1012" s="19">
        <f>_xlfn.XLOOKUP(A1012,'Current Month'!A:A,'Current Month'!E:E,0,0)</f>
        <v>109981.87</v>
      </c>
      <c r="I1012" s="32">
        <f>_xlfn.XLOOKUP(A1012,'Prior Month'!A:A,'Prior Month'!E:E,0,0)</f>
        <v>6834.02</v>
      </c>
      <c r="J1012" s="32">
        <f>_xlfn.XLOOKUP(A1012,'Year end 2024'!A:A,'Year end 2024'!E:E,0,0)</f>
        <v>6859.02</v>
      </c>
      <c r="K1012" s="14">
        <f t="shared" si="30"/>
        <v>103147.84999999999</v>
      </c>
      <c r="L1012" s="14">
        <f t="shared" si="31"/>
        <v>103122.84999999999</v>
      </c>
    </row>
    <row r="1013" spans="1:12" ht="35.15" customHeight="1" x14ac:dyDescent="0.4">
      <c r="A1013" s="11" t="s">
        <v>2068</v>
      </c>
      <c r="B1013" s="11" t="s">
        <v>2069</v>
      </c>
      <c r="C1013" s="11" t="s">
        <v>19</v>
      </c>
      <c r="D1013" s="11" t="s">
        <v>18</v>
      </c>
      <c r="E1013" s="18" t="str">
        <f>_xlfn.XLOOKUP(A1013,'Current Month'!A:A,'Current Month'!I:I,"")</f>
        <v/>
      </c>
      <c r="F1013" s="21" t="str">
        <f>_xlfn.XLOOKUP(A1013,'Prior Month'!A:A,'Prior Month'!I:I,"")</f>
        <v/>
      </c>
      <c r="G1013" s="18" t="str">
        <f>_xlfn.XLOOKUP(A1013,'Year end 2024'!A:A,'Year end 2024'!I:I,"")</f>
        <v/>
      </c>
      <c r="H1013" s="19">
        <f>_xlfn.XLOOKUP(A1013,'Current Month'!A:A,'Current Month'!E:E,0,0)</f>
        <v>773.91</v>
      </c>
      <c r="I1013" s="32">
        <f>_xlfn.XLOOKUP(A1013,'Prior Month'!A:A,'Prior Month'!E:E,0,0)</f>
        <v>773.91</v>
      </c>
      <c r="J1013" s="32">
        <f>_xlfn.XLOOKUP(A1013,'Year end 2024'!A:A,'Year end 2024'!E:E,0,0)</f>
        <v>589.82000000000005</v>
      </c>
      <c r="K1013" s="14">
        <f t="shared" si="30"/>
        <v>0</v>
      </c>
      <c r="L1013" s="14">
        <f t="shared" si="31"/>
        <v>184.08999999999992</v>
      </c>
    </row>
    <row r="1014" spans="1:12" ht="35.15" customHeight="1" x14ac:dyDescent="0.4">
      <c r="A1014" s="11" t="s">
        <v>2070</v>
      </c>
      <c r="B1014" s="11" t="s">
        <v>2071</v>
      </c>
      <c r="C1014" s="11" t="s">
        <v>51</v>
      </c>
      <c r="D1014" s="11" t="s">
        <v>50</v>
      </c>
      <c r="E1014" s="18" t="str">
        <f>_xlfn.XLOOKUP(A1014,'Current Month'!A:A,'Current Month'!I:I,"")</f>
        <v/>
      </c>
      <c r="F1014" s="21" t="str">
        <f>_xlfn.XLOOKUP(A1014,'Prior Month'!A:A,'Prior Month'!I:I,"")</f>
        <v/>
      </c>
      <c r="G1014" s="18" t="str">
        <f>_xlfn.XLOOKUP(A1014,'Year end 2024'!A:A,'Year end 2024'!I:I,"")</f>
        <v/>
      </c>
      <c r="H1014" s="19">
        <f>_xlfn.XLOOKUP(A1014,'Current Month'!A:A,'Current Month'!E:E,0,0)</f>
        <v>292468.38</v>
      </c>
      <c r="I1014" s="32">
        <f>_xlfn.XLOOKUP(A1014,'Prior Month'!A:A,'Prior Month'!E:E,0,0)</f>
        <v>430169.55</v>
      </c>
      <c r="J1014" s="32">
        <f>_xlfn.XLOOKUP(A1014,'Year end 2024'!A:A,'Year end 2024'!E:E,0,0)</f>
        <v>307968.92</v>
      </c>
      <c r="K1014" s="14">
        <f t="shared" si="30"/>
        <v>-137701.16999999998</v>
      </c>
      <c r="L1014" s="14">
        <f t="shared" si="31"/>
        <v>-15500.539999999979</v>
      </c>
    </row>
    <row r="1015" spans="1:12" ht="35.15" customHeight="1" x14ac:dyDescent="0.4">
      <c r="A1015" s="11" t="s">
        <v>2072</v>
      </c>
      <c r="B1015" s="11" t="s">
        <v>2073</v>
      </c>
      <c r="C1015" s="11" t="s">
        <v>259</v>
      </c>
      <c r="D1015" s="11" t="s">
        <v>258</v>
      </c>
      <c r="E1015" s="18" t="str">
        <f>_xlfn.XLOOKUP(A1015,'Current Month'!A:A,'Current Month'!I:I,"")</f>
        <v/>
      </c>
      <c r="F1015" s="21" t="str">
        <f>_xlfn.XLOOKUP(A1015,'Prior Month'!A:A,'Prior Month'!I:I,"")</f>
        <v/>
      </c>
      <c r="G1015" s="18" t="str">
        <f>_xlfn.XLOOKUP(A1015,'Year end 2024'!A:A,'Year end 2024'!I:I,"")</f>
        <v/>
      </c>
      <c r="H1015" s="19">
        <f>_xlfn.XLOOKUP(A1015,'Current Month'!A:A,'Current Month'!E:E,0,0)</f>
        <v>1532.4</v>
      </c>
      <c r="I1015" s="32">
        <f>_xlfn.XLOOKUP(A1015,'Prior Month'!A:A,'Prior Month'!E:E,0,0)</f>
        <v>6932.4</v>
      </c>
      <c r="J1015" s="32">
        <f>_xlfn.XLOOKUP(A1015,'Year end 2024'!A:A,'Year end 2024'!E:E,0,0)</f>
        <v>1125.8</v>
      </c>
      <c r="K1015" s="14">
        <f t="shared" si="30"/>
        <v>-5400</v>
      </c>
      <c r="L1015" s="14">
        <f t="shared" si="31"/>
        <v>406.60000000000014</v>
      </c>
    </row>
    <row r="1016" spans="1:12" ht="35.15" customHeight="1" x14ac:dyDescent="0.4">
      <c r="A1016" s="11" t="s">
        <v>2074</v>
      </c>
      <c r="B1016" s="11" t="s">
        <v>2075</v>
      </c>
      <c r="C1016" s="11" t="s">
        <v>2077</v>
      </c>
      <c r="D1016" s="11" t="s">
        <v>2076</v>
      </c>
      <c r="E1016" s="18">
        <f>_xlfn.XLOOKUP(A1016,'Current Month'!A:A,'Current Month'!I:I,"")</f>
        <v>0</v>
      </c>
      <c r="F1016" s="21">
        <f>_xlfn.XLOOKUP(A1016,'Prior Month'!A:A,'Prior Month'!I:I,"")</f>
        <v>0</v>
      </c>
      <c r="G1016" s="18">
        <f>_xlfn.XLOOKUP(A1016,'Year end 2024'!A:A,'Year end 2024'!I:I,"")</f>
        <v>0</v>
      </c>
      <c r="H1016" s="19">
        <f>_xlfn.XLOOKUP(A1016,'Current Month'!A:A,'Current Month'!E:E,0,0)</f>
        <v>0</v>
      </c>
      <c r="I1016" s="32">
        <f>_xlfn.XLOOKUP(A1016,'Prior Month'!A:A,'Prior Month'!E:E,0,0)</f>
        <v>0</v>
      </c>
      <c r="J1016" s="32">
        <f>_xlfn.XLOOKUP(A1016,'Year end 2024'!A:A,'Year end 2024'!E:E,0,0)</f>
        <v>0</v>
      </c>
      <c r="K1016" s="14">
        <f t="shared" ref="K1016:K1079" si="32">IFERROR(SUM(H1016-I1016),H1016)</f>
        <v>0</v>
      </c>
      <c r="L1016" s="14">
        <f t="shared" ref="L1016:L1079" si="33">IFERROR(SUM(H1016-J1016),H1016)</f>
        <v>0</v>
      </c>
    </row>
    <row r="1017" spans="1:12" ht="35.15" customHeight="1" x14ac:dyDescent="0.4">
      <c r="A1017" s="11" t="s">
        <v>2078</v>
      </c>
      <c r="B1017" s="11" t="s">
        <v>2079</v>
      </c>
      <c r="C1017" s="11" t="s">
        <v>19</v>
      </c>
      <c r="D1017" s="11" t="s">
        <v>18</v>
      </c>
      <c r="E1017" s="18">
        <f>_xlfn.XLOOKUP(A1017,'Current Month'!A:A,'Current Month'!I:I,"")</f>
        <v>1.0352141914771378</v>
      </c>
      <c r="F1017" s="21">
        <f>_xlfn.XLOOKUP(A1017,'Prior Month'!A:A,'Prior Month'!I:I,"")</f>
        <v>1.7037137048628004</v>
      </c>
      <c r="G1017" s="18">
        <f>_xlfn.XLOOKUP(A1017,'Year end 2024'!A:A,'Year end 2024'!I:I,"")</f>
        <v>0.45553360732159814</v>
      </c>
      <c r="H1017" s="19">
        <f>_xlfn.XLOOKUP(A1017,'Current Month'!A:A,'Current Month'!E:E,0,0)</f>
        <v>159175.59</v>
      </c>
      <c r="I1017" s="32">
        <f>_xlfn.XLOOKUP(A1017,'Prior Month'!A:A,'Prior Month'!E:E,0,0)</f>
        <v>265054.51</v>
      </c>
      <c r="J1017" s="32">
        <f>_xlfn.XLOOKUP(A1017,'Year end 2024'!A:A,'Year end 2024'!E:E,0,0)</f>
        <v>78144.539999999994</v>
      </c>
      <c r="K1017" s="14">
        <f t="shared" si="32"/>
        <v>-105878.92000000001</v>
      </c>
      <c r="L1017" s="14">
        <f t="shared" si="33"/>
        <v>81031.05</v>
      </c>
    </row>
    <row r="1018" spans="1:12" ht="35.15" customHeight="1" x14ac:dyDescent="0.4">
      <c r="A1018" s="11" t="s">
        <v>2080</v>
      </c>
      <c r="B1018" s="11" t="s">
        <v>2081</v>
      </c>
      <c r="C1018" s="11" t="s">
        <v>67</v>
      </c>
      <c r="D1018" s="11" t="s">
        <v>66</v>
      </c>
      <c r="E1018" s="18" t="str">
        <f>_xlfn.XLOOKUP(A1018,'Current Month'!A:A,'Current Month'!I:I,"")</f>
        <v/>
      </c>
      <c r="F1018" s="21" t="str">
        <f>_xlfn.XLOOKUP(A1018,'Prior Month'!A:A,'Prior Month'!I:I,"")</f>
        <v/>
      </c>
      <c r="G1018" s="18" t="str">
        <f>_xlfn.XLOOKUP(A1018,'Year end 2024'!A:A,'Year end 2024'!I:I,"")</f>
        <v/>
      </c>
      <c r="H1018" s="19">
        <f>_xlfn.XLOOKUP(A1018,'Current Month'!A:A,'Current Month'!E:E,0,0)</f>
        <v>77097.87</v>
      </c>
      <c r="I1018" s="32">
        <f>_xlfn.XLOOKUP(A1018,'Prior Month'!A:A,'Prior Month'!E:E,0,0)</f>
        <v>73669.509999999995</v>
      </c>
      <c r="J1018" s="32">
        <f>_xlfn.XLOOKUP(A1018,'Year end 2024'!A:A,'Year end 2024'!E:E,0,0)</f>
        <v>101319.54</v>
      </c>
      <c r="K1018" s="14">
        <f t="shared" si="32"/>
        <v>3428.3600000000006</v>
      </c>
      <c r="L1018" s="14">
        <f t="shared" si="33"/>
        <v>-24221.67</v>
      </c>
    </row>
    <row r="1019" spans="1:12" ht="35.15" customHeight="1" x14ac:dyDescent="0.4">
      <c r="A1019" s="11" t="s">
        <v>2082</v>
      </c>
      <c r="B1019" s="11" t="s">
        <v>2083</v>
      </c>
      <c r="C1019" s="11" t="s">
        <v>385</v>
      </c>
      <c r="D1019" s="11" t="s">
        <v>384</v>
      </c>
      <c r="E1019" s="18" t="str">
        <f>_xlfn.XLOOKUP(A1019,'Current Month'!A:A,'Current Month'!I:I,"")</f>
        <v/>
      </c>
      <c r="F1019" s="21" t="str">
        <f>_xlfn.XLOOKUP(A1019,'Prior Month'!A:A,'Prior Month'!I:I,"")</f>
        <v/>
      </c>
      <c r="G1019" s="18" t="str">
        <f>_xlfn.XLOOKUP(A1019,'Year end 2024'!A:A,'Year end 2024'!I:I,"")</f>
        <v/>
      </c>
      <c r="H1019" s="19">
        <f>_xlfn.XLOOKUP(A1019,'Current Month'!A:A,'Current Month'!E:E,0,0)</f>
        <v>3771560.58</v>
      </c>
      <c r="I1019" s="32">
        <f>_xlfn.XLOOKUP(A1019,'Prior Month'!A:A,'Prior Month'!E:E,0,0)</f>
        <v>3434927.2</v>
      </c>
      <c r="J1019" s="32">
        <f>_xlfn.XLOOKUP(A1019,'Year end 2024'!A:A,'Year end 2024'!E:E,0,0)</f>
        <v>3535089.68</v>
      </c>
      <c r="K1019" s="14">
        <f t="shared" si="32"/>
        <v>336633.37999999989</v>
      </c>
      <c r="L1019" s="14">
        <f t="shared" si="33"/>
        <v>236470.89999999991</v>
      </c>
    </row>
    <row r="1020" spans="1:12" ht="35.15" customHeight="1" x14ac:dyDescent="0.4">
      <c r="A1020" s="11" t="s">
        <v>2084</v>
      </c>
      <c r="B1020" s="11" t="s">
        <v>2085</v>
      </c>
      <c r="C1020" s="11" t="s">
        <v>15</v>
      </c>
      <c r="D1020" s="11" t="s">
        <v>14</v>
      </c>
      <c r="E1020" s="18" t="str">
        <f>_xlfn.XLOOKUP(A1020,'Current Month'!A:A,'Current Month'!I:I,"")</f>
        <v/>
      </c>
      <c r="F1020" s="21" t="str">
        <f>_xlfn.XLOOKUP(A1020,'Prior Month'!A:A,'Prior Month'!I:I,"")</f>
        <v/>
      </c>
      <c r="G1020" s="18" t="str">
        <f>_xlfn.XLOOKUP(A1020,'Year end 2024'!A:A,'Year end 2024'!I:I,"")</f>
        <v/>
      </c>
      <c r="H1020" s="19">
        <f>_xlfn.XLOOKUP(A1020,'Current Month'!A:A,'Current Month'!E:E,0,0)</f>
        <v>456202.51</v>
      </c>
      <c r="I1020" s="32">
        <f>_xlfn.XLOOKUP(A1020,'Prior Month'!A:A,'Prior Month'!E:E,0,0)</f>
        <v>204862.89</v>
      </c>
      <c r="J1020" s="32">
        <f>_xlfn.XLOOKUP(A1020,'Year end 2024'!A:A,'Year end 2024'!E:E,0,0)</f>
        <v>395993.99</v>
      </c>
      <c r="K1020" s="14">
        <f t="shared" si="32"/>
        <v>251339.62</v>
      </c>
      <c r="L1020" s="14">
        <f t="shared" si="33"/>
        <v>60208.520000000019</v>
      </c>
    </row>
    <row r="1021" spans="1:12" ht="35.15" customHeight="1" x14ac:dyDescent="0.4">
      <c r="A1021" s="11" t="s">
        <v>2086</v>
      </c>
      <c r="B1021" s="11" t="s">
        <v>2087</v>
      </c>
      <c r="C1021" s="11" t="s">
        <v>19</v>
      </c>
      <c r="D1021" s="11" t="s">
        <v>18</v>
      </c>
      <c r="E1021" s="18">
        <f>_xlfn.XLOOKUP(A1021,'Current Month'!A:A,'Current Month'!I:I,"")</f>
        <v>5.6648778284083545E-2</v>
      </c>
      <c r="F1021" s="21">
        <f>_xlfn.XLOOKUP(A1021,'Prior Month'!A:A,'Prior Month'!I:I,"")</f>
        <v>2.2960947909692154E-2</v>
      </c>
      <c r="G1021" s="18" t="str">
        <f>_xlfn.XLOOKUP(A1021,'Year end 2024'!A:A,'Year end 2024'!I:I,"")</f>
        <v/>
      </c>
      <c r="H1021" s="19">
        <f>_xlfn.XLOOKUP(A1021,'Current Month'!A:A,'Current Month'!E:E,0,0)</f>
        <v>27308.51</v>
      </c>
      <c r="I1021" s="32">
        <f>_xlfn.XLOOKUP(A1021,'Prior Month'!A:A,'Prior Month'!E:E,0,0)</f>
        <v>11091.02</v>
      </c>
      <c r="J1021" s="32">
        <f>_xlfn.XLOOKUP(A1021,'Year end 2024'!A:A,'Year end 2024'!E:E,0,0)</f>
        <v>0</v>
      </c>
      <c r="K1021" s="14">
        <f t="shared" si="32"/>
        <v>16217.489999999998</v>
      </c>
      <c r="L1021" s="14">
        <f t="shared" si="33"/>
        <v>27308.51</v>
      </c>
    </row>
    <row r="1022" spans="1:12" ht="35.15" customHeight="1" x14ac:dyDescent="0.4">
      <c r="A1022" s="11" t="s">
        <v>2088</v>
      </c>
      <c r="B1022" s="11" t="s">
        <v>2089</v>
      </c>
      <c r="C1022" s="11" t="s">
        <v>33</v>
      </c>
      <c r="D1022" s="11" t="s">
        <v>32</v>
      </c>
      <c r="E1022" s="18" t="str">
        <f>_xlfn.XLOOKUP(A1022,'Current Month'!A:A,'Current Month'!I:I,"")</f>
        <v/>
      </c>
      <c r="F1022" s="21" t="str">
        <f>_xlfn.XLOOKUP(A1022,'Prior Month'!A:A,'Prior Month'!I:I,"")</f>
        <v/>
      </c>
      <c r="G1022" s="18" t="str">
        <f>_xlfn.XLOOKUP(A1022,'Year end 2024'!A:A,'Year end 2024'!I:I,"")</f>
        <v/>
      </c>
      <c r="H1022" s="19">
        <f>_xlfn.XLOOKUP(A1022,'Current Month'!A:A,'Current Month'!E:E,0,0)</f>
        <v>790843.57</v>
      </c>
      <c r="I1022" s="32">
        <f>_xlfn.XLOOKUP(A1022,'Prior Month'!A:A,'Prior Month'!E:E,0,0)</f>
        <v>773716.15</v>
      </c>
      <c r="J1022" s="32">
        <f>_xlfn.XLOOKUP(A1022,'Year end 2024'!A:A,'Year end 2024'!E:E,0,0)</f>
        <v>662827.49</v>
      </c>
      <c r="K1022" s="14">
        <f t="shared" si="32"/>
        <v>17127.419999999925</v>
      </c>
      <c r="L1022" s="14">
        <f t="shared" si="33"/>
        <v>128016.07999999996</v>
      </c>
    </row>
    <row r="1023" spans="1:12" ht="35.15" customHeight="1" x14ac:dyDescent="0.4">
      <c r="A1023" s="11" t="s">
        <v>2090</v>
      </c>
      <c r="B1023" s="11" t="s">
        <v>2091</v>
      </c>
      <c r="C1023" s="11" t="s">
        <v>109</v>
      </c>
      <c r="D1023" s="11" t="s">
        <v>108</v>
      </c>
      <c r="E1023" s="18" t="str">
        <f>_xlfn.XLOOKUP(A1023,'Current Month'!A:A,'Current Month'!I:I,"")</f>
        <v/>
      </c>
      <c r="F1023" s="21" t="str">
        <f>_xlfn.XLOOKUP(A1023,'Prior Month'!A:A,'Prior Month'!I:I,"")</f>
        <v/>
      </c>
      <c r="G1023" s="18" t="str">
        <f>_xlfn.XLOOKUP(A1023,'Year end 2024'!A:A,'Year end 2024'!I:I,"")</f>
        <v/>
      </c>
      <c r="H1023" s="19">
        <f>_xlfn.XLOOKUP(A1023,'Current Month'!A:A,'Current Month'!E:E,0,0)</f>
        <v>41429.49</v>
      </c>
      <c r="I1023" s="32">
        <f>_xlfn.XLOOKUP(A1023,'Prior Month'!A:A,'Prior Month'!E:E,0,0)</f>
        <v>46174.76</v>
      </c>
      <c r="J1023" s="32">
        <f>_xlfn.XLOOKUP(A1023,'Year end 2024'!A:A,'Year end 2024'!E:E,0,0)</f>
        <v>37994.29</v>
      </c>
      <c r="K1023" s="14">
        <f t="shared" si="32"/>
        <v>-4745.2700000000041</v>
      </c>
      <c r="L1023" s="14">
        <f t="shared" si="33"/>
        <v>3435.1999999999971</v>
      </c>
    </row>
    <row r="1024" spans="1:12" ht="35.15" customHeight="1" x14ac:dyDescent="0.4">
      <c r="A1024" s="11" t="s">
        <v>2092</v>
      </c>
      <c r="B1024" s="11" t="s">
        <v>2093</v>
      </c>
      <c r="C1024" s="11" t="s">
        <v>19</v>
      </c>
      <c r="D1024" s="11" t="s">
        <v>18</v>
      </c>
      <c r="E1024" s="18" t="str">
        <f>_xlfn.XLOOKUP(A1024,'Current Month'!A:A,'Current Month'!I:I,"")</f>
        <v/>
      </c>
      <c r="F1024" s="21" t="str">
        <f>_xlfn.XLOOKUP(A1024,'Prior Month'!A:A,'Prior Month'!I:I,"")</f>
        <v/>
      </c>
      <c r="G1024" s="18" t="str">
        <f>_xlfn.XLOOKUP(A1024,'Year end 2024'!A:A,'Year end 2024'!I:I,"")</f>
        <v/>
      </c>
      <c r="H1024" s="19">
        <f>_xlfn.XLOOKUP(A1024,'Current Month'!A:A,'Current Month'!E:E,0,0)</f>
        <v>144969.87</v>
      </c>
      <c r="I1024" s="32">
        <f>_xlfn.XLOOKUP(A1024,'Prior Month'!A:A,'Prior Month'!E:E,0,0)</f>
        <v>150466.35</v>
      </c>
      <c r="J1024" s="32">
        <f>_xlfn.XLOOKUP(A1024,'Year end 2024'!A:A,'Year end 2024'!E:E,0,0)</f>
        <v>20566.32</v>
      </c>
      <c r="K1024" s="14">
        <f t="shared" si="32"/>
        <v>-5496.4800000000105</v>
      </c>
      <c r="L1024" s="14">
        <f t="shared" si="33"/>
        <v>124403.54999999999</v>
      </c>
    </row>
    <row r="1025" spans="1:12" ht="35.15" customHeight="1" x14ac:dyDescent="0.4">
      <c r="A1025" s="11" t="s">
        <v>2094</v>
      </c>
      <c r="B1025" s="11" t="s">
        <v>2095</v>
      </c>
      <c r="C1025" s="11" t="s">
        <v>51</v>
      </c>
      <c r="D1025" s="11" t="s">
        <v>50</v>
      </c>
      <c r="E1025" s="18" t="str">
        <f>_xlfn.XLOOKUP(A1025,'Current Month'!A:A,'Current Month'!I:I,"")</f>
        <v/>
      </c>
      <c r="F1025" s="21" t="str">
        <f>_xlfn.XLOOKUP(A1025,'Prior Month'!A:A,'Prior Month'!I:I,"")</f>
        <v/>
      </c>
      <c r="G1025" s="18" t="str">
        <f>_xlfn.XLOOKUP(A1025,'Year end 2024'!A:A,'Year end 2024'!I:I,"")</f>
        <v/>
      </c>
      <c r="H1025" s="19">
        <f>_xlfn.XLOOKUP(A1025,'Current Month'!A:A,'Current Month'!E:E,0,0)</f>
        <v>775752.31</v>
      </c>
      <c r="I1025" s="32">
        <f>_xlfn.XLOOKUP(A1025,'Prior Month'!A:A,'Prior Month'!E:E,0,0)</f>
        <v>625850.84</v>
      </c>
      <c r="J1025" s="32">
        <f>_xlfn.XLOOKUP(A1025,'Year end 2024'!A:A,'Year end 2024'!E:E,0,0)</f>
        <v>556499.91</v>
      </c>
      <c r="K1025" s="14">
        <f t="shared" si="32"/>
        <v>149901.47000000009</v>
      </c>
      <c r="L1025" s="14">
        <f t="shared" si="33"/>
        <v>219252.40000000002</v>
      </c>
    </row>
    <row r="1026" spans="1:12" ht="35.15" customHeight="1" x14ac:dyDescent="0.4">
      <c r="A1026" s="11" t="s">
        <v>2096</v>
      </c>
      <c r="B1026" s="11" t="s">
        <v>2097</v>
      </c>
      <c r="C1026" s="11" t="s">
        <v>19</v>
      </c>
      <c r="D1026" s="11" t="s">
        <v>18</v>
      </c>
      <c r="E1026" s="18" t="str">
        <f>_xlfn.XLOOKUP(A1026,'Current Month'!A:A,'Current Month'!I:I,"")</f>
        <v/>
      </c>
      <c r="F1026" s="21" t="str">
        <f>_xlfn.XLOOKUP(A1026,'Prior Month'!A:A,'Prior Month'!I:I,"")</f>
        <v/>
      </c>
      <c r="G1026" s="18" t="str">
        <f>_xlfn.XLOOKUP(A1026,'Year end 2024'!A:A,'Year end 2024'!I:I,"")</f>
        <v/>
      </c>
      <c r="H1026" s="19">
        <f>_xlfn.XLOOKUP(A1026,'Current Month'!A:A,'Current Month'!E:E,0,0)</f>
        <v>27663.279999999999</v>
      </c>
      <c r="I1026" s="32">
        <f>_xlfn.XLOOKUP(A1026,'Prior Month'!A:A,'Prior Month'!E:E,0,0)</f>
        <v>27663.279999999999</v>
      </c>
      <c r="J1026" s="32">
        <f>_xlfn.XLOOKUP(A1026,'Year end 2024'!A:A,'Year end 2024'!E:E,0,0)</f>
        <v>32661.279999999999</v>
      </c>
      <c r="K1026" s="14">
        <f t="shared" si="32"/>
        <v>0</v>
      </c>
      <c r="L1026" s="14">
        <f t="shared" si="33"/>
        <v>-4998</v>
      </c>
    </row>
    <row r="1027" spans="1:12" ht="35.15" customHeight="1" x14ac:dyDescent="0.4">
      <c r="A1027" s="11" t="s">
        <v>2098</v>
      </c>
      <c r="B1027" s="11" t="s">
        <v>2099</v>
      </c>
      <c r="C1027" s="11" t="s">
        <v>19</v>
      </c>
      <c r="D1027" s="11" t="s">
        <v>18</v>
      </c>
      <c r="E1027" s="18" t="str">
        <f>_xlfn.XLOOKUP(A1027,'Current Month'!A:A,'Current Month'!I:I,"")</f>
        <v/>
      </c>
      <c r="F1027" s="21" t="str">
        <f>_xlfn.XLOOKUP(A1027,'Prior Month'!A:A,'Prior Month'!I:I,"")</f>
        <v/>
      </c>
      <c r="G1027" s="18" t="str">
        <f>_xlfn.XLOOKUP(A1027,'Year end 2024'!A:A,'Year end 2024'!I:I,"")</f>
        <v/>
      </c>
      <c r="H1027" s="19">
        <f>_xlfn.XLOOKUP(A1027,'Current Month'!A:A,'Current Month'!E:E,0,0)</f>
        <v>186349.96</v>
      </c>
      <c r="I1027" s="32">
        <f>_xlfn.XLOOKUP(A1027,'Prior Month'!A:A,'Prior Month'!E:E,0,0)</f>
        <v>166176.07999999999</v>
      </c>
      <c r="J1027" s="32">
        <f>_xlfn.XLOOKUP(A1027,'Year end 2024'!A:A,'Year end 2024'!E:E,0,0)</f>
        <v>263735.95</v>
      </c>
      <c r="K1027" s="14">
        <f t="shared" si="32"/>
        <v>20173.880000000005</v>
      </c>
      <c r="L1027" s="14">
        <f t="shared" si="33"/>
        <v>-77385.99000000002</v>
      </c>
    </row>
    <row r="1028" spans="1:12" ht="35.15" customHeight="1" x14ac:dyDescent="0.4">
      <c r="A1028" s="11" t="s">
        <v>2100</v>
      </c>
      <c r="B1028" s="11" t="s">
        <v>2101</v>
      </c>
      <c r="C1028" s="11" t="s">
        <v>33</v>
      </c>
      <c r="D1028" s="11" t="s">
        <v>32</v>
      </c>
      <c r="E1028" s="18" t="str">
        <f>_xlfn.XLOOKUP(A1028,'Current Month'!A:A,'Current Month'!I:I,"")</f>
        <v/>
      </c>
      <c r="F1028" s="21" t="str">
        <f>_xlfn.XLOOKUP(A1028,'Prior Month'!A:A,'Prior Month'!I:I,"")</f>
        <v/>
      </c>
      <c r="G1028" s="18" t="str">
        <f>_xlfn.XLOOKUP(A1028,'Year end 2024'!A:A,'Year end 2024'!I:I,"")</f>
        <v/>
      </c>
      <c r="H1028" s="19">
        <f>_xlfn.XLOOKUP(A1028,'Current Month'!A:A,'Current Month'!E:E,0,0)</f>
        <v>82412.149999999994</v>
      </c>
      <c r="I1028" s="32">
        <f>_xlfn.XLOOKUP(A1028,'Prior Month'!A:A,'Prior Month'!E:E,0,0)</f>
        <v>78124.41</v>
      </c>
      <c r="J1028" s="32">
        <f>_xlfn.XLOOKUP(A1028,'Year end 2024'!A:A,'Year end 2024'!E:E,0,0)</f>
        <v>78060.19</v>
      </c>
      <c r="K1028" s="14">
        <f t="shared" si="32"/>
        <v>4287.7399999999907</v>
      </c>
      <c r="L1028" s="14">
        <f t="shared" si="33"/>
        <v>4351.9599999999919</v>
      </c>
    </row>
    <row r="1029" spans="1:12" ht="35.15" customHeight="1" x14ac:dyDescent="0.4">
      <c r="A1029" s="11" t="s">
        <v>2102</v>
      </c>
      <c r="B1029" s="11" t="s">
        <v>2103</v>
      </c>
      <c r="C1029" s="11" t="s">
        <v>51</v>
      </c>
      <c r="D1029" s="11" t="s">
        <v>50</v>
      </c>
      <c r="E1029" s="18" t="str">
        <f>_xlfn.XLOOKUP(A1029,'Current Month'!A:A,'Current Month'!I:I,"")</f>
        <v/>
      </c>
      <c r="F1029" s="21" t="str">
        <f>_xlfn.XLOOKUP(A1029,'Prior Month'!A:A,'Prior Month'!I:I,"")</f>
        <v/>
      </c>
      <c r="G1029" s="18" t="str">
        <f>_xlfn.XLOOKUP(A1029,'Year end 2024'!A:A,'Year end 2024'!I:I,"")</f>
        <v/>
      </c>
      <c r="H1029" s="19">
        <f>_xlfn.XLOOKUP(A1029,'Current Month'!A:A,'Current Month'!E:E,0,0)</f>
        <v>18709.13</v>
      </c>
      <c r="I1029" s="32">
        <f>_xlfn.XLOOKUP(A1029,'Prior Month'!A:A,'Prior Month'!E:E,0,0)</f>
        <v>14716.13</v>
      </c>
      <c r="J1029" s="32">
        <f>_xlfn.XLOOKUP(A1029,'Year end 2024'!A:A,'Year end 2024'!E:E,0,0)</f>
        <v>600.74</v>
      </c>
      <c r="K1029" s="14">
        <f t="shared" si="32"/>
        <v>3993.0000000000018</v>
      </c>
      <c r="L1029" s="14">
        <f t="shared" si="33"/>
        <v>18108.39</v>
      </c>
    </row>
    <row r="1030" spans="1:12" ht="35.15" customHeight="1" x14ac:dyDescent="0.4">
      <c r="A1030" s="11" t="s">
        <v>2104</v>
      </c>
      <c r="B1030" s="11" t="s">
        <v>2105</v>
      </c>
      <c r="C1030" s="11" t="s">
        <v>77</v>
      </c>
      <c r="D1030" s="11" t="s">
        <v>76</v>
      </c>
      <c r="E1030" s="18" t="str">
        <f>_xlfn.XLOOKUP(A1030,'Current Month'!A:A,'Current Month'!I:I,"")</f>
        <v/>
      </c>
      <c r="F1030" s="21" t="str">
        <f>_xlfn.XLOOKUP(A1030,'Prior Month'!A:A,'Prior Month'!I:I,"")</f>
        <v/>
      </c>
      <c r="G1030" s="18" t="str">
        <f>_xlfn.XLOOKUP(A1030,'Year end 2024'!A:A,'Year end 2024'!I:I,"")</f>
        <v/>
      </c>
      <c r="H1030" s="19">
        <f>_xlfn.XLOOKUP(A1030,'Current Month'!A:A,'Current Month'!E:E,0,0)</f>
        <v>417855.97</v>
      </c>
      <c r="I1030" s="32">
        <f>_xlfn.XLOOKUP(A1030,'Prior Month'!A:A,'Prior Month'!E:E,0,0)</f>
        <v>402862.63</v>
      </c>
      <c r="J1030" s="32">
        <f>_xlfn.XLOOKUP(A1030,'Year end 2024'!A:A,'Year end 2024'!E:E,0,0)</f>
        <v>343477.26</v>
      </c>
      <c r="K1030" s="14">
        <f t="shared" si="32"/>
        <v>14993.339999999967</v>
      </c>
      <c r="L1030" s="14">
        <f t="shared" si="33"/>
        <v>74378.709999999963</v>
      </c>
    </row>
    <row r="1031" spans="1:12" ht="35.15" customHeight="1" x14ac:dyDescent="0.4">
      <c r="A1031" s="11" t="s">
        <v>2106</v>
      </c>
      <c r="B1031" s="11" t="s">
        <v>2107</v>
      </c>
      <c r="C1031" s="11" t="s">
        <v>109</v>
      </c>
      <c r="D1031" s="11" t="s">
        <v>108</v>
      </c>
      <c r="E1031" s="18" t="str">
        <f>_xlfn.XLOOKUP(A1031,'Current Month'!A:A,'Current Month'!I:I,"")</f>
        <v/>
      </c>
      <c r="F1031" s="21" t="str">
        <f>_xlfn.XLOOKUP(A1031,'Prior Month'!A:A,'Prior Month'!I:I,"")</f>
        <v/>
      </c>
      <c r="G1031" s="18" t="str">
        <f>_xlfn.XLOOKUP(A1031,'Year end 2024'!A:A,'Year end 2024'!I:I,"")</f>
        <v/>
      </c>
      <c r="H1031" s="19">
        <f>_xlfn.XLOOKUP(A1031,'Current Month'!A:A,'Current Month'!E:E,0,0)</f>
        <v>3070.59</v>
      </c>
      <c r="I1031" s="32">
        <f>_xlfn.XLOOKUP(A1031,'Prior Month'!A:A,'Prior Month'!E:E,0,0)</f>
        <v>3602.95</v>
      </c>
      <c r="J1031" s="32">
        <f>_xlfn.XLOOKUP(A1031,'Year end 2024'!A:A,'Year end 2024'!E:E,0,0)</f>
        <v>3689.64</v>
      </c>
      <c r="K1031" s="14">
        <f t="shared" si="32"/>
        <v>-532.35999999999967</v>
      </c>
      <c r="L1031" s="14">
        <f t="shared" si="33"/>
        <v>-619.04999999999973</v>
      </c>
    </row>
    <row r="1032" spans="1:12" ht="35.15" customHeight="1" x14ac:dyDescent="0.4">
      <c r="A1032" s="11" t="s">
        <v>2108</v>
      </c>
      <c r="B1032" s="11" t="s">
        <v>2109</v>
      </c>
      <c r="C1032" s="11" t="s">
        <v>109</v>
      </c>
      <c r="D1032" s="11" t="s">
        <v>108</v>
      </c>
      <c r="E1032" s="18" t="str">
        <f>_xlfn.XLOOKUP(A1032,'Current Month'!A:A,'Current Month'!I:I,"")</f>
        <v/>
      </c>
      <c r="F1032" s="21" t="str">
        <f>_xlfn.XLOOKUP(A1032,'Prior Month'!A:A,'Prior Month'!I:I,"")</f>
        <v/>
      </c>
      <c r="G1032" s="18" t="str">
        <f>_xlfn.XLOOKUP(A1032,'Year end 2024'!A:A,'Year end 2024'!I:I,"")</f>
        <v/>
      </c>
      <c r="H1032" s="19">
        <f>_xlfn.XLOOKUP(A1032,'Current Month'!A:A,'Current Month'!E:E,0,0)</f>
        <v>99.48</v>
      </c>
      <c r="I1032" s="32">
        <f>_xlfn.XLOOKUP(A1032,'Prior Month'!A:A,'Prior Month'!E:E,0,0)</f>
        <v>267.61</v>
      </c>
      <c r="J1032" s="32">
        <f>_xlfn.XLOOKUP(A1032,'Year end 2024'!A:A,'Year end 2024'!E:E,0,0)</f>
        <v>8496.1299999999992</v>
      </c>
      <c r="K1032" s="14">
        <f t="shared" si="32"/>
        <v>-168.13</v>
      </c>
      <c r="L1032" s="14">
        <f t="shared" si="33"/>
        <v>-8396.65</v>
      </c>
    </row>
    <row r="1033" spans="1:12" ht="35.15" customHeight="1" x14ac:dyDescent="0.4">
      <c r="A1033" s="11" t="s">
        <v>2110</v>
      </c>
      <c r="B1033" s="11" t="s">
        <v>2111</v>
      </c>
      <c r="C1033" s="11" t="s">
        <v>19</v>
      </c>
      <c r="D1033" s="11" t="s">
        <v>18</v>
      </c>
      <c r="E1033" s="18" t="str">
        <f>_xlfn.XLOOKUP(A1033,'Current Month'!A:A,'Current Month'!I:I,"")</f>
        <v/>
      </c>
      <c r="F1033" s="21" t="str">
        <f>_xlfn.XLOOKUP(A1033,'Prior Month'!A:A,'Prior Month'!I:I,"")</f>
        <v/>
      </c>
      <c r="G1033" s="18" t="str">
        <f>_xlfn.XLOOKUP(A1033,'Year end 2024'!A:A,'Year end 2024'!I:I,"")</f>
        <v/>
      </c>
      <c r="H1033" s="19">
        <f>_xlfn.XLOOKUP(A1033,'Current Month'!A:A,'Current Month'!E:E,0,0)</f>
        <v>10233.870000000001</v>
      </c>
      <c r="I1033" s="32">
        <f>_xlfn.XLOOKUP(A1033,'Prior Month'!A:A,'Prior Month'!E:E,0,0)</f>
        <v>7391.45</v>
      </c>
      <c r="J1033" s="32">
        <f>_xlfn.XLOOKUP(A1033,'Year end 2024'!A:A,'Year end 2024'!E:E,0,0)</f>
        <v>85790</v>
      </c>
      <c r="K1033" s="14">
        <f t="shared" si="32"/>
        <v>2842.420000000001</v>
      </c>
      <c r="L1033" s="14">
        <f t="shared" si="33"/>
        <v>-75556.13</v>
      </c>
    </row>
    <row r="1034" spans="1:12" ht="35.15" customHeight="1" x14ac:dyDescent="0.4">
      <c r="A1034" s="11" t="s">
        <v>2112</v>
      </c>
      <c r="B1034" s="11" t="s">
        <v>2113</v>
      </c>
      <c r="C1034" s="11" t="s">
        <v>29</v>
      </c>
      <c r="D1034" s="11" t="s">
        <v>28</v>
      </c>
      <c r="E1034" s="18" t="str">
        <f>_xlfn.XLOOKUP(A1034,'Current Month'!A:A,'Current Month'!I:I,"")</f>
        <v/>
      </c>
      <c r="F1034" s="21" t="str">
        <f>_xlfn.XLOOKUP(A1034,'Prior Month'!A:A,'Prior Month'!I:I,"")</f>
        <v/>
      </c>
      <c r="G1034" s="18" t="str">
        <f>_xlfn.XLOOKUP(A1034,'Year end 2024'!A:A,'Year end 2024'!I:I,"")</f>
        <v/>
      </c>
      <c r="H1034" s="19">
        <f>_xlfn.XLOOKUP(A1034,'Current Month'!A:A,'Current Month'!E:E,0,0)</f>
        <v>112720.35</v>
      </c>
      <c r="I1034" s="32">
        <f>_xlfn.XLOOKUP(A1034,'Prior Month'!A:A,'Prior Month'!E:E,0,0)</f>
        <v>85657.09</v>
      </c>
      <c r="J1034" s="32">
        <f>_xlfn.XLOOKUP(A1034,'Year end 2024'!A:A,'Year end 2024'!E:E,0,0)</f>
        <v>177111.79</v>
      </c>
      <c r="K1034" s="14">
        <f t="shared" si="32"/>
        <v>27063.260000000009</v>
      </c>
      <c r="L1034" s="14">
        <f t="shared" si="33"/>
        <v>-64391.44</v>
      </c>
    </row>
    <row r="1035" spans="1:12" ht="35.15" customHeight="1" x14ac:dyDescent="0.4">
      <c r="A1035" s="11" t="s">
        <v>2114</v>
      </c>
      <c r="B1035" s="11" t="s">
        <v>2115</v>
      </c>
      <c r="C1035" s="11" t="s">
        <v>33</v>
      </c>
      <c r="D1035" s="11" t="s">
        <v>32</v>
      </c>
      <c r="E1035" s="18" t="str">
        <f>_xlfn.XLOOKUP(A1035,'Current Month'!A:A,'Current Month'!I:I,"")</f>
        <v/>
      </c>
      <c r="F1035" s="21" t="str">
        <f>_xlfn.XLOOKUP(A1035,'Prior Month'!A:A,'Prior Month'!I:I,"")</f>
        <v/>
      </c>
      <c r="G1035" s="18" t="str">
        <f>_xlfn.XLOOKUP(A1035,'Year end 2024'!A:A,'Year end 2024'!I:I,"")</f>
        <v/>
      </c>
      <c r="H1035" s="19">
        <f>_xlfn.XLOOKUP(A1035,'Current Month'!A:A,'Current Month'!E:E,0,0)</f>
        <v>114820.67</v>
      </c>
      <c r="I1035" s="32">
        <f>_xlfn.XLOOKUP(A1035,'Prior Month'!A:A,'Prior Month'!E:E,0,0)</f>
        <v>155613.54</v>
      </c>
      <c r="J1035" s="32">
        <f>_xlfn.XLOOKUP(A1035,'Year end 2024'!A:A,'Year end 2024'!E:E,0,0)</f>
        <v>107723.58</v>
      </c>
      <c r="K1035" s="14">
        <f t="shared" si="32"/>
        <v>-40792.87000000001</v>
      </c>
      <c r="L1035" s="14">
        <f t="shared" si="33"/>
        <v>7097.0899999999965</v>
      </c>
    </row>
    <row r="1036" spans="1:12" ht="35.15" customHeight="1" x14ac:dyDescent="0.4">
      <c r="A1036" s="11" t="s">
        <v>2116</v>
      </c>
      <c r="B1036" s="11" t="s">
        <v>2117</v>
      </c>
      <c r="C1036" s="11" t="s">
        <v>67</v>
      </c>
      <c r="D1036" s="11" t="s">
        <v>66</v>
      </c>
      <c r="E1036" s="18" t="str">
        <f>_xlfn.XLOOKUP(A1036,'Current Month'!A:A,'Current Month'!I:I,"")</f>
        <v/>
      </c>
      <c r="F1036" s="21" t="str">
        <f>_xlfn.XLOOKUP(A1036,'Prior Month'!A:A,'Prior Month'!I:I,"")</f>
        <v/>
      </c>
      <c r="G1036" s="18" t="str">
        <f>_xlfn.XLOOKUP(A1036,'Year end 2024'!A:A,'Year end 2024'!I:I,"")</f>
        <v/>
      </c>
      <c r="H1036" s="19">
        <f>_xlfn.XLOOKUP(A1036,'Current Month'!A:A,'Current Month'!E:E,0,0)</f>
        <v>380547.66</v>
      </c>
      <c r="I1036" s="32">
        <f>_xlfn.XLOOKUP(A1036,'Prior Month'!A:A,'Prior Month'!E:E,0,0)</f>
        <v>376660.98</v>
      </c>
      <c r="J1036" s="32">
        <f>_xlfn.XLOOKUP(A1036,'Year end 2024'!A:A,'Year end 2024'!E:E,0,0)</f>
        <v>93793.42</v>
      </c>
      <c r="K1036" s="14">
        <f t="shared" si="32"/>
        <v>3886.679999999993</v>
      </c>
      <c r="L1036" s="14">
        <f t="shared" si="33"/>
        <v>286754.24</v>
      </c>
    </row>
    <row r="1037" spans="1:12" ht="35.15" customHeight="1" x14ac:dyDescent="0.4">
      <c r="A1037" s="11" t="s">
        <v>2118</v>
      </c>
      <c r="B1037" s="11" t="s">
        <v>2119</v>
      </c>
      <c r="C1037" s="11" t="s">
        <v>29</v>
      </c>
      <c r="D1037" s="11" t="s">
        <v>28</v>
      </c>
      <c r="E1037" s="18" t="str">
        <f>_xlfn.XLOOKUP(A1037,'Current Month'!A:A,'Current Month'!I:I,"")</f>
        <v/>
      </c>
      <c r="F1037" s="21" t="str">
        <f>_xlfn.XLOOKUP(A1037,'Prior Month'!A:A,'Prior Month'!I:I,"")</f>
        <v/>
      </c>
      <c r="G1037" s="18" t="str">
        <f>_xlfn.XLOOKUP(A1037,'Year end 2024'!A:A,'Year end 2024'!I:I,"")</f>
        <v/>
      </c>
      <c r="H1037" s="19">
        <f>_xlfn.XLOOKUP(A1037,'Current Month'!A:A,'Current Month'!E:E,0,0)</f>
        <v>277328.28999999998</v>
      </c>
      <c r="I1037" s="32">
        <f>_xlfn.XLOOKUP(A1037,'Prior Month'!A:A,'Prior Month'!E:E,0,0)</f>
        <v>244278.15</v>
      </c>
      <c r="J1037" s="32">
        <f>_xlfn.XLOOKUP(A1037,'Year end 2024'!A:A,'Year end 2024'!E:E,0,0)</f>
        <v>333553.07</v>
      </c>
      <c r="K1037" s="14">
        <f t="shared" si="32"/>
        <v>33050.139999999985</v>
      </c>
      <c r="L1037" s="14">
        <f t="shared" si="33"/>
        <v>-56224.780000000028</v>
      </c>
    </row>
    <row r="1038" spans="1:12" ht="35.15" customHeight="1" x14ac:dyDescent="0.4">
      <c r="A1038" s="11" t="s">
        <v>2120</v>
      </c>
      <c r="B1038" s="11" t="s">
        <v>2121</v>
      </c>
      <c r="C1038" s="11" t="s">
        <v>185</v>
      </c>
      <c r="D1038" s="11" t="s">
        <v>184</v>
      </c>
      <c r="E1038" s="18" t="str">
        <f>_xlfn.XLOOKUP(A1038,'Current Month'!A:A,'Current Month'!I:I,"")</f>
        <v/>
      </c>
      <c r="F1038" s="21" t="str">
        <f>_xlfn.XLOOKUP(A1038,'Prior Month'!A:A,'Prior Month'!I:I,"")</f>
        <v/>
      </c>
      <c r="G1038" s="18" t="str">
        <f>_xlfn.XLOOKUP(A1038,'Year end 2024'!A:A,'Year end 2024'!I:I,"")</f>
        <v/>
      </c>
      <c r="H1038" s="19">
        <f>_xlfn.XLOOKUP(A1038,'Current Month'!A:A,'Current Month'!E:E,0,0)</f>
        <v>3382598</v>
      </c>
      <c r="I1038" s="32">
        <f>_xlfn.XLOOKUP(A1038,'Prior Month'!A:A,'Prior Month'!E:E,0,0)</f>
        <v>2458701.96</v>
      </c>
      <c r="J1038" s="32">
        <f>_xlfn.XLOOKUP(A1038,'Year end 2024'!A:A,'Year end 2024'!E:E,0,0)</f>
        <v>3274697.5</v>
      </c>
      <c r="K1038" s="14">
        <f t="shared" si="32"/>
        <v>923896.04</v>
      </c>
      <c r="L1038" s="14">
        <f t="shared" si="33"/>
        <v>107900.5</v>
      </c>
    </row>
    <row r="1039" spans="1:12" ht="35.15" customHeight="1" x14ac:dyDescent="0.4">
      <c r="A1039" s="11" t="s">
        <v>2122</v>
      </c>
      <c r="B1039" s="11" t="s">
        <v>2123</v>
      </c>
      <c r="C1039" s="11" t="s">
        <v>29</v>
      </c>
      <c r="D1039" s="11" t="s">
        <v>28</v>
      </c>
      <c r="E1039" s="18" t="str">
        <f>_xlfn.XLOOKUP(A1039,'Current Month'!A:A,'Current Month'!I:I,"")</f>
        <v/>
      </c>
      <c r="F1039" s="21" t="str">
        <f>_xlfn.XLOOKUP(A1039,'Prior Month'!A:A,'Prior Month'!I:I,"")</f>
        <v/>
      </c>
      <c r="G1039" s="18" t="str">
        <f>_xlfn.XLOOKUP(A1039,'Year end 2024'!A:A,'Year end 2024'!I:I,"")</f>
        <v/>
      </c>
      <c r="H1039" s="19">
        <f>_xlfn.XLOOKUP(A1039,'Current Month'!A:A,'Current Month'!E:E,0,0)</f>
        <v>765996.07</v>
      </c>
      <c r="I1039" s="32">
        <f>_xlfn.XLOOKUP(A1039,'Prior Month'!A:A,'Prior Month'!E:E,0,0)</f>
        <v>764625.5</v>
      </c>
      <c r="J1039" s="32">
        <f>_xlfn.XLOOKUP(A1039,'Year end 2024'!A:A,'Year end 2024'!E:E,0,0)</f>
        <v>754628.26</v>
      </c>
      <c r="K1039" s="14">
        <f t="shared" si="32"/>
        <v>1370.5699999999488</v>
      </c>
      <c r="L1039" s="14">
        <f t="shared" si="33"/>
        <v>11367.809999999939</v>
      </c>
    </row>
    <row r="1040" spans="1:12" ht="35.15" customHeight="1" x14ac:dyDescent="0.4">
      <c r="A1040" s="11" t="s">
        <v>2124</v>
      </c>
      <c r="B1040" s="11" t="s">
        <v>2125</v>
      </c>
      <c r="C1040" s="11" t="s">
        <v>461</v>
      </c>
      <c r="D1040" s="11" t="s">
        <v>460</v>
      </c>
      <c r="E1040" s="18" t="str">
        <f>_xlfn.XLOOKUP(A1040,'Current Month'!A:A,'Current Month'!I:I,"")</f>
        <v/>
      </c>
      <c r="F1040" s="21" t="str">
        <f>_xlfn.XLOOKUP(A1040,'Prior Month'!A:A,'Prior Month'!I:I,"")</f>
        <v/>
      </c>
      <c r="G1040" s="18" t="str">
        <f>_xlfn.XLOOKUP(A1040,'Year end 2024'!A:A,'Year end 2024'!I:I,"")</f>
        <v/>
      </c>
      <c r="H1040" s="19">
        <f>_xlfn.XLOOKUP(A1040,'Current Month'!A:A,'Current Month'!E:E,0,0)</f>
        <v>559.76</v>
      </c>
      <c r="I1040" s="32">
        <f>_xlfn.XLOOKUP(A1040,'Prior Month'!A:A,'Prior Month'!E:E,0,0)</f>
        <v>1110.8900000000001</v>
      </c>
      <c r="J1040" s="32">
        <f>_xlfn.XLOOKUP(A1040,'Year end 2024'!A:A,'Year end 2024'!E:E,0,0)</f>
        <v>1643.97</v>
      </c>
      <c r="K1040" s="14">
        <f t="shared" si="32"/>
        <v>-551.13000000000011</v>
      </c>
      <c r="L1040" s="14">
        <f t="shared" si="33"/>
        <v>-1084.21</v>
      </c>
    </row>
    <row r="1041" spans="1:12" ht="35.15" customHeight="1" x14ac:dyDescent="0.4">
      <c r="A1041" s="11" t="s">
        <v>2126</v>
      </c>
      <c r="B1041" s="11" t="s">
        <v>2127</v>
      </c>
      <c r="C1041" s="11" t="s">
        <v>41</v>
      </c>
      <c r="D1041" s="11" t="s">
        <v>40</v>
      </c>
      <c r="E1041" s="18">
        <f>_xlfn.XLOOKUP(A1041,'Current Month'!A:A,'Current Month'!I:I,"")</f>
        <v>8.0133422281521019E-4</v>
      </c>
      <c r="F1041" s="21">
        <f>_xlfn.XLOOKUP(A1041,'Prior Month'!A:A,'Prior Month'!I:I,"")</f>
        <v>8.2121414276184121E-4</v>
      </c>
      <c r="G1041" s="18">
        <f>_xlfn.XLOOKUP(A1041,'Year end 2024'!A:A,'Year end 2024'!I:I,"")</f>
        <v>6.4389593062041354E-4</v>
      </c>
      <c r="H1041" s="19">
        <f>_xlfn.XLOOKUP(A1041,'Current Month'!A:A,'Current Month'!E:E,0,0)</f>
        <v>120.12</v>
      </c>
      <c r="I1041" s="32">
        <f>_xlfn.XLOOKUP(A1041,'Prior Month'!A:A,'Prior Month'!E:E,0,0)</f>
        <v>123.1</v>
      </c>
      <c r="J1041" s="32">
        <f>_xlfn.XLOOKUP(A1041,'Year end 2024'!A:A,'Year end 2024'!E:E,0,0)</f>
        <v>96.52</v>
      </c>
      <c r="K1041" s="14">
        <f t="shared" si="32"/>
        <v>-2.9799999999999898</v>
      </c>
      <c r="L1041" s="14">
        <f t="shared" si="33"/>
        <v>23.600000000000009</v>
      </c>
    </row>
    <row r="1042" spans="1:12" ht="35.15" customHeight="1" x14ac:dyDescent="0.4">
      <c r="A1042" s="11" t="s">
        <v>2128</v>
      </c>
      <c r="B1042" s="11" t="s">
        <v>2129</v>
      </c>
      <c r="C1042" s="11" t="s">
        <v>33</v>
      </c>
      <c r="D1042" s="11" t="s">
        <v>32</v>
      </c>
      <c r="E1042" s="18" t="str">
        <f>_xlfn.XLOOKUP(A1042,'Current Month'!A:A,'Current Month'!I:I,"")</f>
        <v/>
      </c>
      <c r="F1042" s="21" t="str">
        <f>_xlfn.XLOOKUP(A1042,'Prior Month'!A:A,'Prior Month'!I:I,"")</f>
        <v/>
      </c>
      <c r="G1042" s="18" t="str">
        <f>_xlfn.XLOOKUP(A1042,'Year end 2024'!A:A,'Year end 2024'!I:I,"")</f>
        <v/>
      </c>
      <c r="H1042" s="19">
        <f>_xlfn.XLOOKUP(A1042,'Current Month'!A:A,'Current Month'!E:E,0,0)</f>
        <v>196240.52</v>
      </c>
      <c r="I1042" s="32">
        <f>_xlfn.XLOOKUP(A1042,'Prior Month'!A:A,'Prior Month'!E:E,0,0)</f>
        <v>196064.09</v>
      </c>
      <c r="J1042" s="32">
        <f>_xlfn.XLOOKUP(A1042,'Year end 2024'!A:A,'Year end 2024'!E:E,0,0)</f>
        <v>194535.11</v>
      </c>
      <c r="K1042" s="14">
        <f t="shared" si="32"/>
        <v>176.42999999999302</v>
      </c>
      <c r="L1042" s="14">
        <f t="shared" si="33"/>
        <v>1705.4100000000035</v>
      </c>
    </row>
    <row r="1043" spans="1:12" ht="35.15" customHeight="1" x14ac:dyDescent="0.4">
      <c r="A1043" s="11" t="s">
        <v>2130</v>
      </c>
      <c r="B1043" s="11" t="s">
        <v>2131</v>
      </c>
      <c r="C1043" s="11" t="s">
        <v>41</v>
      </c>
      <c r="D1043" s="11" t="s">
        <v>40</v>
      </c>
      <c r="E1043" s="18" t="str">
        <f>_xlfn.XLOOKUP(A1043,'Current Month'!A:A,'Current Month'!I:I,"")</f>
        <v/>
      </c>
      <c r="F1043" s="21" t="str">
        <f>_xlfn.XLOOKUP(A1043,'Prior Month'!A:A,'Prior Month'!I:I,"")</f>
        <v/>
      </c>
      <c r="G1043" s="18" t="str">
        <f>_xlfn.XLOOKUP(A1043,'Year end 2024'!A:A,'Year end 2024'!I:I,"")</f>
        <v/>
      </c>
      <c r="H1043" s="19">
        <f>_xlfn.XLOOKUP(A1043,'Current Month'!A:A,'Current Month'!E:E,0,0)</f>
        <v>27451.72</v>
      </c>
      <c r="I1043" s="32">
        <f>_xlfn.XLOOKUP(A1043,'Prior Month'!A:A,'Prior Month'!E:E,0,0)</f>
        <v>26906.799999999999</v>
      </c>
      <c r="J1043" s="32">
        <f>_xlfn.XLOOKUP(A1043,'Year end 2024'!A:A,'Year end 2024'!E:E,0,0)</f>
        <v>56712</v>
      </c>
      <c r="K1043" s="14">
        <f t="shared" si="32"/>
        <v>544.92000000000189</v>
      </c>
      <c r="L1043" s="14">
        <f t="shared" si="33"/>
        <v>-29260.28</v>
      </c>
    </row>
    <row r="1044" spans="1:12" ht="35.15" customHeight="1" x14ac:dyDescent="0.4">
      <c r="A1044" s="11" t="s">
        <v>2132</v>
      </c>
      <c r="B1044" s="11" t="s">
        <v>2133</v>
      </c>
      <c r="C1044" s="11" t="s">
        <v>41</v>
      </c>
      <c r="D1044" s="11" t="s">
        <v>40</v>
      </c>
      <c r="E1044" s="18" t="str">
        <f>_xlfn.XLOOKUP(A1044,'Current Month'!A:A,'Current Month'!I:I,"")</f>
        <v/>
      </c>
      <c r="F1044" s="21" t="str">
        <f>_xlfn.XLOOKUP(A1044,'Prior Month'!A:A,'Prior Month'!I:I,"")</f>
        <v/>
      </c>
      <c r="G1044" s="18" t="str">
        <f>_xlfn.XLOOKUP(A1044,'Year end 2024'!A:A,'Year end 2024'!I:I,"")</f>
        <v/>
      </c>
      <c r="H1044" s="19">
        <f>_xlfn.XLOOKUP(A1044,'Current Month'!A:A,'Current Month'!E:E,0,0)</f>
        <v>235045.14</v>
      </c>
      <c r="I1044" s="32">
        <f>_xlfn.XLOOKUP(A1044,'Prior Month'!A:A,'Prior Month'!E:E,0,0)</f>
        <v>234785.36</v>
      </c>
      <c r="J1044" s="32">
        <f>_xlfn.XLOOKUP(A1044,'Year end 2024'!A:A,'Year end 2024'!E:E,0,0)</f>
        <v>232522.56</v>
      </c>
      <c r="K1044" s="14">
        <f t="shared" si="32"/>
        <v>259.78000000002794</v>
      </c>
      <c r="L1044" s="14">
        <f t="shared" si="33"/>
        <v>2522.5800000000163</v>
      </c>
    </row>
    <row r="1045" spans="1:12" ht="35.15" customHeight="1" x14ac:dyDescent="0.4">
      <c r="A1045" s="11" t="s">
        <v>2134</v>
      </c>
      <c r="B1045" s="11" t="s">
        <v>2135</v>
      </c>
      <c r="C1045" s="11" t="s">
        <v>33</v>
      </c>
      <c r="D1045" s="11" t="s">
        <v>32</v>
      </c>
      <c r="E1045" s="18" t="str">
        <f>_xlfn.XLOOKUP(A1045,'Current Month'!A:A,'Current Month'!I:I,"")</f>
        <v/>
      </c>
      <c r="F1045" s="21" t="str">
        <f>_xlfn.XLOOKUP(A1045,'Prior Month'!A:A,'Prior Month'!I:I,"")</f>
        <v/>
      </c>
      <c r="G1045" s="18" t="str">
        <f>_xlfn.XLOOKUP(A1045,'Year end 2024'!A:A,'Year end 2024'!I:I,"")</f>
        <v/>
      </c>
      <c r="H1045" s="19">
        <f>_xlfn.XLOOKUP(A1045,'Current Month'!A:A,'Current Month'!E:E,0,0)</f>
        <v>691583.96</v>
      </c>
      <c r="I1045" s="32">
        <f>_xlfn.XLOOKUP(A1045,'Prior Month'!A:A,'Prior Month'!E:E,0,0)</f>
        <v>692405.07</v>
      </c>
      <c r="J1045" s="32">
        <f>_xlfn.XLOOKUP(A1045,'Year end 2024'!A:A,'Year end 2024'!E:E,0,0)</f>
        <v>689322.14</v>
      </c>
      <c r="K1045" s="14">
        <f t="shared" si="32"/>
        <v>-821.10999999998603</v>
      </c>
      <c r="L1045" s="14">
        <f t="shared" si="33"/>
        <v>2261.8199999999488</v>
      </c>
    </row>
    <row r="1046" spans="1:12" ht="35.15" customHeight="1" x14ac:dyDescent="0.4">
      <c r="A1046" s="11" t="s">
        <v>2136</v>
      </c>
      <c r="B1046" s="11" t="s">
        <v>2137</v>
      </c>
      <c r="C1046" s="11" t="s">
        <v>109</v>
      </c>
      <c r="D1046" s="11" t="s">
        <v>108</v>
      </c>
      <c r="E1046" s="18" t="str">
        <f>_xlfn.XLOOKUP(A1046,'Current Month'!A:A,'Current Month'!I:I,"")</f>
        <v/>
      </c>
      <c r="F1046" s="21" t="str">
        <f>_xlfn.XLOOKUP(A1046,'Prior Month'!A:A,'Prior Month'!I:I,"")</f>
        <v/>
      </c>
      <c r="G1046" s="18" t="str">
        <f>_xlfn.XLOOKUP(A1046,'Year end 2024'!A:A,'Year end 2024'!I:I,"")</f>
        <v/>
      </c>
      <c r="H1046" s="19">
        <f>_xlfn.XLOOKUP(A1046,'Current Month'!A:A,'Current Month'!E:E,0,0)</f>
        <v>324977.21000000002</v>
      </c>
      <c r="I1046" s="32">
        <f>_xlfn.XLOOKUP(A1046,'Prior Month'!A:A,'Prior Month'!E:E,0,0)</f>
        <v>284135.71999999997</v>
      </c>
      <c r="J1046" s="32">
        <f>_xlfn.XLOOKUP(A1046,'Year end 2024'!A:A,'Year end 2024'!E:E,0,0)</f>
        <v>285963.14</v>
      </c>
      <c r="K1046" s="14">
        <f t="shared" si="32"/>
        <v>40841.490000000049</v>
      </c>
      <c r="L1046" s="14">
        <f t="shared" si="33"/>
        <v>39014.070000000007</v>
      </c>
    </row>
    <row r="1047" spans="1:12" ht="35.15" customHeight="1" x14ac:dyDescent="0.4">
      <c r="A1047" s="11" t="s">
        <v>2138</v>
      </c>
      <c r="B1047" s="11" t="s">
        <v>2139</v>
      </c>
      <c r="C1047" s="11" t="s">
        <v>109</v>
      </c>
      <c r="D1047" s="11" t="s">
        <v>108</v>
      </c>
      <c r="E1047" s="18" t="str">
        <f>_xlfn.XLOOKUP(A1047,'Current Month'!A:A,'Current Month'!I:I,"")</f>
        <v/>
      </c>
      <c r="F1047" s="21" t="str">
        <f>_xlfn.XLOOKUP(A1047,'Prior Month'!A:A,'Prior Month'!I:I,"")</f>
        <v/>
      </c>
      <c r="G1047" s="18">
        <f>_xlfn.XLOOKUP(A1047,'Year end 2024'!A:A,'Year end 2024'!I:I,"")</f>
        <v>3.2838244285714286</v>
      </c>
      <c r="H1047" s="19">
        <f>_xlfn.XLOOKUP(A1047,'Current Month'!A:A,'Current Month'!E:E,0,0)</f>
        <v>48065.31</v>
      </c>
      <c r="I1047" s="32">
        <f>_xlfn.XLOOKUP(A1047,'Prior Month'!A:A,'Prior Month'!E:E,0,0)</f>
        <v>69780.039999999994</v>
      </c>
      <c r="J1047" s="32">
        <f>_xlfn.XLOOKUP(A1047,'Year end 2024'!A:A,'Year end 2024'!E:E,0,0)</f>
        <v>229867.71</v>
      </c>
      <c r="K1047" s="14">
        <f t="shared" si="32"/>
        <v>-21714.729999999996</v>
      </c>
      <c r="L1047" s="14">
        <f t="shared" si="33"/>
        <v>-181802.4</v>
      </c>
    </row>
    <row r="1048" spans="1:12" ht="35.15" customHeight="1" x14ac:dyDescent="0.4">
      <c r="A1048" s="11" t="s">
        <v>2140</v>
      </c>
      <c r="B1048" s="11" t="s">
        <v>2141</v>
      </c>
      <c r="C1048" s="11" t="s">
        <v>33</v>
      </c>
      <c r="D1048" s="11" t="s">
        <v>32</v>
      </c>
      <c r="E1048" s="18" t="str">
        <f>_xlfn.XLOOKUP(A1048,'Current Month'!A:A,'Current Month'!I:I,"")</f>
        <v/>
      </c>
      <c r="F1048" s="21" t="str">
        <f>_xlfn.XLOOKUP(A1048,'Prior Month'!A:A,'Prior Month'!I:I,"")</f>
        <v/>
      </c>
      <c r="G1048" s="18" t="str">
        <f>_xlfn.XLOOKUP(A1048,'Year end 2024'!A:A,'Year end 2024'!I:I,"")</f>
        <v/>
      </c>
      <c r="H1048" s="19">
        <f>_xlfn.XLOOKUP(A1048,'Current Month'!A:A,'Current Month'!E:E,0,0)</f>
        <v>216127.59</v>
      </c>
      <c r="I1048" s="32">
        <f>_xlfn.XLOOKUP(A1048,'Prior Month'!A:A,'Prior Month'!E:E,0,0)</f>
        <v>215009.44</v>
      </c>
      <c r="J1048" s="32">
        <f>_xlfn.XLOOKUP(A1048,'Year end 2024'!A:A,'Year end 2024'!E:E,0,0)</f>
        <v>209928.67</v>
      </c>
      <c r="K1048" s="14">
        <f t="shared" si="32"/>
        <v>1118.1499999999942</v>
      </c>
      <c r="L1048" s="14">
        <f t="shared" si="33"/>
        <v>6198.9199999999837</v>
      </c>
    </row>
    <row r="1049" spans="1:12" ht="35.15" customHeight="1" x14ac:dyDescent="0.4">
      <c r="A1049" s="11" t="s">
        <v>2142</v>
      </c>
      <c r="B1049" s="11" t="s">
        <v>2143</v>
      </c>
      <c r="C1049" s="11" t="s">
        <v>471</v>
      </c>
      <c r="D1049" s="11" t="s">
        <v>470</v>
      </c>
      <c r="E1049" s="18" t="str">
        <f>_xlfn.XLOOKUP(A1049,'Current Month'!A:A,'Current Month'!I:I,"")</f>
        <v/>
      </c>
      <c r="F1049" s="21" t="str">
        <f>_xlfn.XLOOKUP(A1049,'Prior Month'!A:A,'Prior Month'!I:I,"")</f>
        <v/>
      </c>
      <c r="G1049" s="18" t="str">
        <f>_xlfn.XLOOKUP(A1049,'Year end 2024'!A:A,'Year end 2024'!I:I,"")</f>
        <v/>
      </c>
      <c r="H1049" s="19">
        <f>_xlfn.XLOOKUP(A1049,'Current Month'!A:A,'Current Month'!E:E,0,0)</f>
        <v>287047.73</v>
      </c>
      <c r="I1049" s="32">
        <f>_xlfn.XLOOKUP(A1049,'Prior Month'!A:A,'Prior Month'!E:E,0,0)</f>
        <v>165793.41</v>
      </c>
      <c r="J1049" s="32">
        <f>_xlfn.XLOOKUP(A1049,'Year end 2024'!A:A,'Year end 2024'!E:E,0,0)</f>
        <v>651047.80000000005</v>
      </c>
      <c r="K1049" s="14">
        <f t="shared" si="32"/>
        <v>121254.31999999998</v>
      </c>
      <c r="L1049" s="14">
        <f t="shared" si="33"/>
        <v>-364000.07000000007</v>
      </c>
    </row>
    <row r="1050" spans="1:12" ht="35.15" customHeight="1" x14ac:dyDescent="0.4">
      <c r="A1050" s="11" t="s">
        <v>2144</v>
      </c>
      <c r="B1050" s="11" t="s">
        <v>2145</v>
      </c>
      <c r="C1050" s="11" t="s">
        <v>487</v>
      </c>
      <c r="D1050" s="11" t="s">
        <v>486</v>
      </c>
      <c r="E1050" s="18">
        <f>_xlfn.XLOOKUP(A1050,'Current Month'!A:A,'Current Month'!I:I,"")</f>
        <v>7.35620569301942E-2</v>
      </c>
      <c r="F1050" s="21">
        <f>_xlfn.XLOOKUP(A1050,'Prior Month'!A:A,'Prior Month'!I:I,"")</f>
        <v>0.14772637160396157</v>
      </c>
      <c r="G1050" s="18">
        <f>_xlfn.XLOOKUP(A1050,'Year end 2024'!A:A,'Year end 2024'!I:I,"")</f>
        <v>0.33182576877946579</v>
      </c>
      <c r="H1050" s="19">
        <f>_xlfn.XLOOKUP(A1050,'Current Month'!A:A,'Current Month'!E:E,0,0)</f>
        <v>191277.08</v>
      </c>
      <c r="I1050" s="32">
        <f>_xlfn.XLOOKUP(A1050,'Prior Month'!A:A,'Prior Month'!E:E,0,0)</f>
        <v>384485.34</v>
      </c>
      <c r="J1050" s="32">
        <f>_xlfn.XLOOKUP(A1050,'Year end 2024'!A:A,'Year end 2024'!E:E,0,0)</f>
        <v>538827.49</v>
      </c>
      <c r="K1050" s="14">
        <f t="shared" si="32"/>
        <v>-193208.26000000004</v>
      </c>
      <c r="L1050" s="14">
        <f t="shared" si="33"/>
        <v>-347550.41000000003</v>
      </c>
    </row>
    <row r="1051" spans="1:12" ht="35.15" customHeight="1" x14ac:dyDescent="0.4">
      <c r="A1051" s="11" t="s">
        <v>2146</v>
      </c>
      <c r="B1051" s="11" t="s">
        <v>2147</v>
      </c>
      <c r="C1051" s="11" t="s">
        <v>33</v>
      </c>
      <c r="D1051" s="11" t="s">
        <v>32</v>
      </c>
      <c r="E1051" s="18" t="str">
        <f>_xlfn.XLOOKUP(A1051,'Current Month'!A:A,'Current Month'!I:I,"")</f>
        <v/>
      </c>
      <c r="F1051" s="21" t="str">
        <f>_xlfn.XLOOKUP(A1051,'Prior Month'!A:A,'Prior Month'!I:I,"")</f>
        <v/>
      </c>
      <c r="G1051" s="18" t="str">
        <f>_xlfn.XLOOKUP(A1051,'Year end 2024'!A:A,'Year end 2024'!I:I,"")</f>
        <v/>
      </c>
      <c r="H1051" s="19">
        <f>_xlfn.XLOOKUP(A1051,'Current Month'!A:A,'Current Month'!E:E,0,0)</f>
        <v>521629.17</v>
      </c>
      <c r="I1051" s="32">
        <f>_xlfn.XLOOKUP(A1051,'Prior Month'!A:A,'Prior Month'!E:E,0,0)</f>
        <v>521077.54</v>
      </c>
      <c r="J1051" s="32">
        <f>_xlfn.XLOOKUP(A1051,'Year end 2024'!A:A,'Year end 2024'!E:E,0,0)</f>
        <v>516360.36</v>
      </c>
      <c r="K1051" s="14">
        <f t="shared" si="32"/>
        <v>551.63000000000466</v>
      </c>
      <c r="L1051" s="14">
        <f t="shared" si="33"/>
        <v>5268.8099999999977</v>
      </c>
    </row>
    <row r="1052" spans="1:12" ht="35.15" customHeight="1" x14ac:dyDescent="0.4">
      <c r="A1052" s="11" t="s">
        <v>2148</v>
      </c>
      <c r="B1052" s="11" t="s">
        <v>2149</v>
      </c>
      <c r="C1052" s="11" t="s">
        <v>965</v>
      </c>
      <c r="D1052" s="11" t="s">
        <v>964</v>
      </c>
      <c r="E1052" s="18" t="str">
        <f>_xlfn.XLOOKUP(A1052,'Current Month'!A:A,'Current Month'!I:I,"")</f>
        <v/>
      </c>
      <c r="F1052" s="21" t="str">
        <f>_xlfn.XLOOKUP(A1052,'Prior Month'!A:A,'Prior Month'!I:I,"")</f>
        <v/>
      </c>
      <c r="G1052" s="18" t="str">
        <f>_xlfn.XLOOKUP(A1052,'Year end 2024'!A:A,'Year end 2024'!I:I,"")</f>
        <v/>
      </c>
      <c r="H1052" s="19">
        <f>_xlfn.XLOOKUP(A1052,'Current Month'!A:A,'Current Month'!E:E,0,0)</f>
        <v>82.98</v>
      </c>
      <c r="I1052" s="32">
        <f>_xlfn.XLOOKUP(A1052,'Prior Month'!A:A,'Prior Month'!E:E,0,0)</f>
        <v>5.3</v>
      </c>
      <c r="J1052" s="32">
        <f>_xlfn.XLOOKUP(A1052,'Year end 2024'!A:A,'Year end 2024'!E:E,0,0)</f>
        <v>15.08</v>
      </c>
      <c r="K1052" s="14">
        <f t="shared" si="32"/>
        <v>77.680000000000007</v>
      </c>
      <c r="L1052" s="14">
        <f t="shared" si="33"/>
        <v>67.900000000000006</v>
      </c>
    </row>
    <row r="1053" spans="1:12" ht="35.15" customHeight="1" x14ac:dyDescent="0.4">
      <c r="A1053" s="11" t="s">
        <v>2150</v>
      </c>
      <c r="B1053" s="11" t="s">
        <v>2151</v>
      </c>
      <c r="C1053" s="11" t="s">
        <v>213</v>
      </c>
      <c r="D1053" s="11" t="s">
        <v>212</v>
      </c>
      <c r="E1053" s="18">
        <f>_xlfn.XLOOKUP(A1053,'Current Month'!A:A,'Current Month'!I:I,"")</f>
        <v>6.2330448195398473E-4</v>
      </c>
      <c r="F1053" s="21">
        <f>_xlfn.XLOOKUP(A1053,'Prior Month'!A:A,'Prior Month'!I:I,"")</f>
        <v>6.1305939115028328E-4</v>
      </c>
      <c r="G1053" s="18">
        <f>_xlfn.XLOOKUP(A1053,'Year end 2024'!A:A,'Year end 2024'!I:I,"")</f>
        <v>7.1604026867262964E-4</v>
      </c>
      <c r="H1053" s="19">
        <f>_xlfn.XLOOKUP(A1053,'Current Month'!A:A,'Current Month'!E:E,0,0)</f>
        <v>30</v>
      </c>
      <c r="I1053" s="32">
        <f>_xlfn.XLOOKUP(A1053,'Prior Month'!A:A,'Prior Month'!E:E,0,0)</f>
        <v>30</v>
      </c>
      <c r="J1053" s="32">
        <f>_xlfn.XLOOKUP(A1053,'Year end 2024'!A:A,'Year end 2024'!E:E,0,0)</f>
        <v>40</v>
      </c>
      <c r="K1053" s="14">
        <f t="shared" si="32"/>
        <v>0</v>
      </c>
      <c r="L1053" s="14">
        <f t="shared" si="33"/>
        <v>-10</v>
      </c>
    </row>
    <row r="1054" spans="1:12" ht="35.15" customHeight="1" x14ac:dyDescent="0.4">
      <c r="A1054" s="11" t="s">
        <v>2152</v>
      </c>
      <c r="B1054" s="11" t="s">
        <v>2153</v>
      </c>
      <c r="C1054" s="11" t="s">
        <v>41</v>
      </c>
      <c r="D1054" s="11" t="s">
        <v>40</v>
      </c>
      <c r="E1054" s="18">
        <f>_xlfn.XLOOKUP(A1054,'Current Month'!A:A,'Current Month'!I:I,"")</f>
        <v>0</v>
      </c>
      <c r="F1054" s="21">
        <f>_xlfn.XLOOKUP(A1054,'Prior Month'!A:A,'Prior Month'!I:I,"")</f>
        <v>0</v>
      </c>
      <c r="G1054" s="18">
        <f>_xlfn.XLOOKUP(A1054,'Year end 2024'!A:A,'Year end 2024'!I:I,"")</f>
        <v>0</v>
      </c>
      <c r="H1054" s="19">
        <f>_xlfn.XLOOKUP(A1054,'Current Month'!A:A,'Current Month'!E:E,0,0)</f>
        <v>0</v>
      </c>
      <c r="I1054" s="32">
        <f>_xlfn.XLOOKUP(A1054,'Prior Month'!A:A,'Prior Month'!E:E,0,0)</f>
        <v>0</v>
      </c>
      <c r="J1054" s="32">
        <f>_xlfn.XLOOKUP(A1054,'Year end 2024'!A:A,'Year end 2024'!E:E,0,0)</f>
        <v>0</v>
      </c>
      <c r="K1054" s="14">
        <f t="shared" si="32"/>
        <v>0</v>
      </c>
      <c r="L1054" s="14">
        <f t="shared" si="33"/>
        <v>0</v>
      </c>
    </row>
    <row r="1055" spans="1:12" ht="35.15" customHeight="1" x14ac:dyDescent="0.4">
      <c r="A1055" s="11" t="s">
        <v>2154</v>
      </c>
      <c r="B1055" s="11" t="s">
        <v>2155</v>
      </c>
      <c r="C1055" s="11" t="s">
        <v>51</v>
      </c>
      <c r="D1055" s="11" t="s">
        <v>50</v>
      </c>
      <c r="E1055" s="18" t="str">
        <f>_xlfn.XLOOKUP(A1055,'Current Month'!A:A,'Current Month'!I:I,"")</f>
        <v/>
      </c>
      <c r="F1055" s="21" t="str">
        <f>_xlfn.XLOOKUP(A1055,'Prior Month'!A:A,'Prior Month'!I:I,"")</f>
        <v/>
      </c>
      <c r="G1055" s="18" t="str">
        <f>_xlfn.XLOOKUP(A1055,'Year end 2024'!A:A,'Year end 2024'!I:I,"")</f>
        <v/>
      </c>
      <c r="H1055" s="19">
        <f>_xlfn.XLOOKUP(A1055,'Current Month'!A:A,'Current Month'!E:E,0,0)</f>
        <v>66390</v>
      </c>
      <c r="I1055" s="32">
        <f>_xlfn.XLOOKUP(A1055,'Prior Month'!A:A,'Prior Month'!E:E,0,0)</f>
        <v>83200</v>
      </c>
      <c r="J1055" s="32">
        <f>_xlfn.XLOOKUP(A1055,'Year end 2024'!A:A,'Year end 2024'!E:E,0,0)</f>
        <v>158828.57999999999</v>
      </c>
      <c r="K1055" s="14">
        <f t="shared" si="32"/>
        <v>-16810</v>
      </c>
      <c r="L1055" s="14">
        <f t="shared" si="33"/>
        <v>-92438.579999999987</v>
      </c>
    </row>
    <row r="1056" spans="1:12" ht="35.15" customHeight="1" x14ac:dyDescent="0.4">
      <c r="A1056" s="11" t="s">
        <v>2156</v>
      </c>
      <c r="B1056" s="11" t="s">
        <v>2157</v>
      </c>
      <c r="C1056" s="11" t="s">
        <v>19</v>
      </c>
      <c r="D1056" s="11" t="s">
        <v>18</v>
      </c>
      <c r="E1056" s="18" t="str">
        <f>_xlfn.XLOOKUP(A1056,'Current Month'!A:A,'Current Month'!I:I,"")</f>
        <v/>
      </c>
      <c r="F1056" s="21" t="str">
        <f>_xlfn.XLOOKUP(A1056,'Prior Month'!A:A,'Prior Month'!I:I,"")</f>
        <v/>
      </c>
      <c r="G1056" s="18" t="str">
        <f>_xlfn.XLOOKUP(A1056,'Year end 2024'!A:A,'Year end 2024'!I:I,"")</f>
        <v/>
      </c>
      <c r="H1056" s="19">
        <f>_xlfn.XLOOKUP(A1056,'Current Month'!A:A,'Current Month'!E:E,0,0)</f>
        <v>73930.789999999994</v>
      </c>
      <c r="I1056" s="32">
        <f>_xlfn.XLOOKUP(A1056,'Prior Month'!A:A,'Prior Month'!E:E,0,0)</f>
        <v>73741.7</v>
      </c>
      <c r="J1056" s="32">
        <f>_xlfn.XLOOKUP(A1056,'Year end 2024'!A:A,'Year end 2024'!E:E,0,0)</f>
        <v>73974.47</v>
      </c>
      <c r="K1056" s="14">
        <f t="shared" si="32"/>
        <v>189.08999999999651</v>
      </c>
      <c r="L1056" s="14">
        <f t="shared" si="33"/>
        <v>-43.680000000007567</v>
      </c>
    </row>
    <row r="1057" spans="1:12" ht="35.15" customHeight="1" x14ac:dyDescent="0.4">
      <c r="A1057" s="11" t="s">
        <v>2158</v>
      </c>
      <c r="B1057" s="11" t="s">
        <v>2159</v>
      </c>
      <c r="C1057" s="11" t="s">
        <v>109</v>
      </c>
      <c r="D1057" s="11" t="s">
        <v>108</v>
      </c>
      <c r="E1057" s="18" t="str">
        <f>_xlfn.XLOOKUP(A1057,'Current Month'!A:A,'Current Month'!I:I,"")</f>
        <v/>
      </c>
      <c r="F1057" s="21" t="str">
        <f>_xlfn.XLOOKUP(A1057,'Prior Month'!A:A,'Prior Month'!I:I,"")</f>
        <v/>
      </c>
      <c r="G1057" s="18" t="str">
        <f>_xlfn.XLOOKUP(A1057,'Year end 2024'!A:A,'Year end 2024'!I:I,"")</f>
        <v/>
      </c>
      <c r="H1057" s="19">
        <f>_xlfn.XLOOKUP(A1057,'Current Month'!A:A,'Current Month'!E:E,0,0)</f>
        <v>81748.009999999995</v>
      </c>
      <c r="I1057" s="32">
        <f>_xlfn.XLOOKUP(A1057,'Prior Month'!A:A,'Prior Month'!E:E,0,0)</f>
        <v>86906.33</v>
      </c>
      <c r="J1057" s="32">
        <f>_xlfn.XLOOKUP(A1057,'Year end 2024'!A:A,'Year end 2024'!E:E,0,0)</f>
        <v>82996.66</v>
      </c>
      <c r="K1057" s="14">
        <f t="shared" si="32"/>
        <v>-5158.320000000007</v>
      </c>
      <c r="L1057" s="14">
        <f t="shared" si="33"/>
        <v>-1248.6500000000087</v>
      </c>
    </row>
    <row r="1058" spans="1:12" ht="35.15" customHeight="1" x14ac:dyDescent="0.4">
      <c r="A1058" s="11" t="s">
        <v>2160</v>
      </c>
      <c r="B1058" s="11" t="s">
        <v>2161</v>
      </c>
      <c r="C1058" s="11" t="s">
        <v>77</v>
      </c>
      <c r="D1058" s="11" t="s">
        <v>76</v>
      </c>
      <c r="E1058" s="18" t="str">
        <f>_xlfn.XLOOKUP(A1058,'Current Month'!A:A,'Current Month'!I:I,"")</f>
        <v/>
      </c>
      <c r="F1058" s="21" t="str">
        <f>_xlfn.XLOOKUP(A1058,'Prior Month'!A:A,'Prior Month'!I:I,"")</f>
        <v/>
      </c>
      <c r="G1058" s="18" t="str">
        <f>_xlfn.XLOOKUP(A1058,'Year end 2024'!A:A,'Year end 2024'!I:I,"")</f>
        <v/>
      </c>
      <c r="H1058" s="19">
        <f>_xlfn.XLOOKUP(A1058,'Current Month'!A:A,'Current Month'!E:E,0,0)</f>
        <v>130765.11</v>
      </c>
      <c r="I1058" s="32">
        <f>_xlfn.XLOOKUP(A1058,'Prior Month'!A:A,'Prior Month'!E:E,0,0)</f>
        <v>129680.3</v>
      </c>
      <c r="J1058" s="32">
        <f>_xlfn.XLOOKUP(A1058,'Year end 2024'!A:A,'Year end 2024'!E:E,0,0)</f>
        <v>116308.56</v>
      </c>
      <c r="K1058" s="14">
        <f t="shared" si="32"/>
        <v>1084.8099999999977</v>
      </c>
      <c r="L1058" s="14">
        <f t="shared" si="33"/>
        <v>14456.550000000003</v>
      </c>
    </row>
    <row r="1059" spans="1:12" ht="35.15" customHeight="1" x14ac:dyDescent="0.4">
      <c r="A1059" s="11" t="s">
        <v>2162</v>
      </c>
      <c r="B1059" s="11" t="s">
        <v>2163</v>
      </c>
      <c r="C1059" s="11" t="s">
        <v>51</v>
      </c>
      <c r="D1059" s="11" t="s">
        <v>50</v>
      </c>
      <c r="E1059" s="18">
        <f>_xlfn.XLOOKUP(A1059,'Current Month'!A:A,'Current Month'!I:I,"")</f>
        <v>72.025964999999999</v>
      </c>
      <c r="F1059" s="21">
        <f>_xlfn.XLOOKUP(A1059,'Prior Month'!A:A,'Prior Month'!I:I,"")</f>
        <v>68.147594999999995</v>
      </c>
      <c r="G1059" s="18">
        <f>_xlfn.XLOOKUP(A1059,'Year end 2024'!A:A,'Year end 2024'!I:I,"")</f>
        <v>38.183769999999996</v>
      </c>
      <c r="H1059" s="19">
        <f>_xlfn.XLOOKUP(A1059,'Current Month'!A:A,'Current Month'!E:E,0,0)</f>
        <v>144051.93</v>
      </c>
      <c r="I1059" s="32">
        <f>_xlfn.XLOOKUP(A1059,'Prior Month'!A:A,'Prior Month'!E:E,0,0)</f>
        <v>136295.19</v>
      </c>
      <c r="J1059" s="32">
        <f>_xlfn.XLOOKUP(A1059,'Year end 2024'!A:A,'Year end 2024'!E:E,0,0)</f>
        <v>76367.539999999994</v>
      </c>
      <c r="K1059" s="14">
        <f t="shared" si="32"/>
        <v>7756.7399999999907</v>
      </c>
      <c r="L1059" s="14">
        <f t="shared" si="33"/>
        <v>67684.39</v>
      </c>
    </row>
    <row r="1060" spans="1:12" ht="35.15" customHeight="1" x14ac:dyDescent="0.4">
      <c r="A1060" s="11" t="s">
        <v>2164</v>
      </c>
      <c r="B1060" s="11" t="s">
        <v>2165</v>
      </c>
      <c r="C1060" s="11" t="s">
        <v>19</v>
      </c>
      <c r="D1060" s="11" t="s">
        <v>18</v>
      </c>
      <c r="E1060" s="18" t="str">
        <f>_xlfn.XLOOKUP(A1060,'Current Month'!A:A,'Current Month'!I:I,"")</f>
        <v/>
      </c>
      <c r="F1060" s="21" t="str">
        <f>_xlfn.XLOOKUP(A1060,'Prior Month'!A:A,'Prior Month'!I:I,"")</f>
        <v/>
      </c>
      <c r="G1060" s="18" t="str">
        <f>_xlfn.XLOOKUP(A1060,'Year end 2024'!A:A,'Year end 2024'!I:I,"")</f>
        <v/>
      </c>
      <c r="H1060" s="19">
        <f>_xlfn.XLOOKUP(A1060,'Current Month'!A:A,'Current Month'!E:E,0,0)</f>
        <v>206514.01</v>
      </c>
      <c r="I1060" s="32">
        <f>_xlfn.XLOOKUP(A1060,'Prior Month'!A:A,'Prior Month'!E:E,0,0)</f>
        <v>200023.7</v>
      </c>
      <c r="J1060" s="32">
        <f>_xlfn.XLOOKUP(A1060,'Year end 2024'!A:A,'Year end 2024'!E:E,0,0)</f>
        <v>132567.82999999999</v>
      </c>
      <c r="K1060" s="14">
        <f t="shared" si="32"/>
        <v>6490.3099999999977</v>
      </c>
      <c r="L1060" s="14">
        <f t="shared" si="33"/>
        <v>73946.180000000022</v>
      </c>
    </row>
    <row r="1061" spans="1:12" ht="35.15" customHeight="1" x14ac:dyDescent="0.4">
      <c r="A1061" s="11" t="s">
        <v>2166</v>
      </c>
      <c r="B1061" s="11" t="s">
        <v>2167</v>
      </c>
      <c r="C1061" s="11" t="s">
        <v>109</v>
      </c>
      <c r="D1061" s="11" t="s">
        <v>108</v>
      </c>
      <c r="E1061" s="18" t="str">
        <f>_xlfn.XLOOKUP(A1061,'Current Month'!A:A,'Current Month'!I:I,"")</f>
        <v/>
      </c>
      <c r="F1061" s="21" t="str">
        <f>_xlfn.XLOOKUP(A1061,'Prior Month'!A:A,'Prior Month'!I:I,"")</f>
        <v/>
      </c>
      <c r="G1061" s="18" t="str">
        <f>_xlfn.XLOOKUP(A1061,'Year end 2024'!A:A,'Year end 2024'!I:I,"")</f>
        <v/>
      </c>
      <c r="H1061" s="19">
        <f>_xlfn.XLOOKUP(A1061,'Current Month'!A:A,'Current Month'!E:E,0,0)</f>
        <v>219020.83</v>
      </c>
      <c r="I1061" s="32">
        <f>_xlfn.XLOOKUP(A1061,'Prior Month'!A:A,'Prior Month'!E:E,0,0)</f>
        <v>161808.10999999999</v>
      </c>
      <c r="J1061" s="32">
        <f>_xlfn.XLOOKUP(A1061,'Year end 2024'!A:A,'Year end 2024'!E:E,0,0)</f>
        <v>144704.20000000001</v>
      </c>
      <c r="K1061" s="14">
        <f t="shared" si="32"/>
        <v>57212.72</v>
      </c>
      <c r="L1061" s="14">
        <f t="shared" si="33"/>
        <v>74316.629999999976</v>
      </c>
    </row>
    <row r="1062" spans="1:12" ht="35.15" customHeight="1" x14ac:dyDescent="0.4">
      <c r="A1062" s="11" t="s">
        <v>2168</v>
      </c>
      <c r="B1062" s="11" t="s">
        <v>2169</v>
      </c>
      <c r="C1062" s="11" t="s">
        <v>67</v>
      </c>
      <c r="D1062" s="11" t="s">
        <v>66</v>
      </c>
      <c r="E1062" s="18" t="str">
        <f>_xlfn.XLOOKUP(A1062,'Current Month'!A:A,'Current Month'!I:I,"")</f>
        <v/>
      </c>
      <c r="F1062" s="21" t="str">
        <f>_xlfn.XLOOKUP(A1062,'Prior Month'!A:A,'Prior Month'!I:I,"")</f>
        <v/>
      </c>
      <c r="G1062" s="18" t="str">
        <f>_xlfn.XLOOKUP(A1062,'Year end 2024'!A:A,'Year end 2024'!I:I,"")</f>
        <v/>
      </c>
      <c r="H1062" s="19">
        <f>_xlfn.XLOOKUP(A1062,'Current Month'!A:A,'Current Month'!E:E,0,0)</f>
        <v>25654.17</v>
      </c>
      <c r="I1062" s="32">
        <f>_xlfn.XLOOKUP(A1062,'Prior Month'!A:A,'Prior Month'!E:E,0,0)</f>
        <v>30751.1</v>
      </c>
      <c r="J1062" s="32">
        <f>_xlfn.XLOOKUP(A1062,'Year end 2024'!A:A,'Year end 2024'!E:E,0,0)</f>
        <v>103781.33</v>
      </c>
      <c r="K1062" s="14">
        <f t="shared" si="32"/>
        <v>-5096.93</v>
      </c>
      <c r="L1062" s="14">
        <f t="shared" si="33"/>
        <v>-78127.16</v>
      </c>
    </row>
    <row r="1063" spans="1:12" ht="35.15" customHeight="1" x14ac:dyDescent="0.4">
      <c r="A1063" s="11" t="s">
        <v>2170</v>
      </c>
      <c r="B1063" s="11" t="s">
        <v>2171</v>
      </c>
      <c r="C1063" s="11" t="s">
        <v>109</v>
      </c>
      <c r="D1063" s="11" t="s">
        <v>108</v>
      </c>
      <c r="E1063" s="18" t="str">
        <f>_xlfn.XLOOKUP(A1063,'Current Month'!A:A,'Current Month'!I:I,"")</f>
        <v/>
      </c>
      <c r="F1063" s="21" t="str">
        <f>_xlfn.XLOOKUP(A1063,'Prior Month'!A:A,'Prior Month'!I:I,"")</f>
        <v/>
      </c>
      <c r="G1063" s="18" t="str">
        <f>_xlfn.XLOOKUP(A1063,'Year end 2024'!A:A,'Year end 2024'!I:I,"")</f>
        <v/>
      </c>
      <c r="H1063" s="19">
        <f>_xlfn.XLOOKUP(A1063,'Current Month'!A:A,'Current Month'!E:E,0,0)</f>
        <v>990704.43</v>
      </c>
      <c r="I1063" s="32">
        <f>_xlfn.XLOOKUP(A1063,'Prior Month'!A:A,'Prior Month'!E:E,0,0)</f>
        <v>974918.04</v>
      </c>
      <c r="J1063" s="32">
        <f>_xlfn.XLOOKUP(A1063,'Year end 2024'!A:A,'Year end 2024'!E:E,0,0)</f>
        <v>725218.88</v>
      </c>
      <c r="K1063" s="14">
        <f t="shared" si="32"/>
        <v>15786.390000000014</v>
      </c>
      <c r="L1063" s="14">
        <f t="shared" si="33"/>
        <v>265485.55000000005</v>
      </c>
    </row>
    <row r="1064" spans="1:12" ht="35.15" customHeight="1" x14ac:dyDescent="0.4">
      <c r="A1064" s="11" t="s">
        <v>2172</v>
      </c>
      <c r="B1064" s="11" t="s">
        <v>2173</v>
      </c>
      <c r="C1064" s="11" t="s">
        <v>19</v>
      </c>
      <c r="D1064" s="11" t="s">
        <v>18</v>
      </c>
      <c r="E1064" s="18" t="str">
        <f>_xlfn.XLOOKUP(A1064,'Current Month'!A:A,'Current Month'!I:I,"")</f>
        <v/>
      </c>
      <c r="F1064" s="21" t="str">
        <f>_xlfn.XLOOKUP(A1064,'Prior Month'!A:A,'Prior Month'!I:I,"")</f>
        <v/>
      </c>
      <c r="G1064" s="18" t="str">
        <f>_xlfn.XLOOKUP(A1064,'Year end 2024'!A:A,'Year end 2024'!I:I,"")</f>
        <v/>
      </c>
      <c r="H1064" s="19">
        <f>_xlfn.XLOOKUP(A1064,'Current Month'!A:A,'Current Month'!E:E,0,0)</f>
        <v>104783.57</v>
      </c>
      <c r="I1064" s="32">
        <f>_xlfn.XLOOKUP(A1064,'Prior Month'!A:A,'Prior Month'!E:E,0,0)</f>
        <v>94974.78</v>
      </c>
      <c r="J1064" s="32">
        <f>_xlfn.XLOOKUP(A1064,'Year end 2024'!A:A,'Year end 2024'!E:E,0,0)</f>
        <v>81761.570000000007</v>
      </c>
      <c r="K1064" s="14">
        <f t="shared" si="32"/>
        <v>9808.7900000000081</v>
      </c>
      <c r="L1064" s="14">
        <f t="shared" si="33"/>
        <v>23022</v>
      </c>
    </row>
    <row r="1065" spans="1:12" ht="35.15" customHeight="1" x14ac:dyDescent="0.4">
      <c r="A1065" s="11" t="s">
        <v>2174</v>
      </c>
      <c r="B1065" s="11" t="s">
        <v>2175</v>
      </c>
      <c r="C1065" s="11" t="s">
        <v>19</v>
      </c>
      <c r="D1065" s="11" t="s">
        <v>18</v>
      </c>
      <c r="E1065" s="18" t="str">
        <f>_xlfn.XLOOKUP(A1065,'Current Month'!A:A,'Current Month'!I:I,"")</f>
        <v/>
      </c>
      <c r="F1065" s="21" t="str">
        <f>_xlfn.XLOOKUP(A1065,'Prior Month'!A:A,'Prior Month'!I:I,"")</f>
        <v/>
      </c>
      <c r="G1065" s="18" t="str">
        <f>_xlfn.XLOOKUP(A1065,'Year end 2024'!A:A,'Year end 2024'!I:I,"")</f>
        <v/>
      </c>
      <c r="H1065" s="19">
        <f>_xlfn.XLOOKUP(A1065,'Current Month'!A:A,'Current Month'!E:E,0,0)</f>
        <v>271770.89</v>
      </c>
      <c r="I1065" s="32">
        <f>_xlfn.XLOOKUP(A1065,'Prior Month'!A:A,'Prior Month'!E:E,0,0)</f>
        <v>261039.25</v>
      </c>
      <c r="J1065" s="32">
        <f>_xlfn.XLOOKUP(A1065,'Year end 2024'!A:A,'Year end 2024'!E:E,0,0)</f>
        <v>223182.33</v>
      </c>
      <c r="K1065" s="14">
        <f t="shared" si="32"/>
        <v>10731.640000000014</v>
      </c>
      <c r="L1065" s="14">
        <f t="shared" si="33"/>
        <v>48588.560000000027</v>
      </c>
    </row>
    <row r="1066" spans="1:12" ht="35.15" customHeight="1" x14ac:dyDescent="0.4">
      <c r="A1066" s="11" t="s">
        <v>2176</v>
      </c>
      <c r="B1066" s="11" t="s">
        <v>2177</v>
      </c>
      <c r="C1066" s="11" t="s">
        <v>67</v>
      </c>
      <c r="D1066" s="11" t="s">
        <v>66</v>
      </c>
      <c r="E1066" s="18" t="str">
        <f>_xlfn.XLOOKUP(A1066,'Current Month'!A:A,'Current Month'!I:I,"")</f>
        <v/>
      </c>
      <c r="F1066" s="21" t="str">
        <f>_xlfn.XLOOKUP(A1066,'Prior Month'!A:A,'Prior Month'!I:I,"")</f>
        <v/>
      </c>
      <c r="G1066" s="18" t="str">
        <f>_xlfn.XLOOKUP(A1066,'Year end 2024'!A:A,'Year end 2024'!I:I,"")</f>
        <v/>
      </c>
      <c r="H1066" s="19">
        <f>_xlfn.XLOOKUP(A1066,'Current Month'!A:A,'Current Month'!E:E,0,0)</f>
        <v>8449.5300000000007</v>
      </c>
      <c r="I1066" s="32">
        <f>_xlfn.XLOOKUP(A1066,'Prior Month'!A:A,'Prior Month'!E:E,0,0)</f>
        <v>23850.78</v>
      </c>
      <c r="J1066" s="32">
        <f>_xlfn.XLOOKUP(A1066,'Year end 2024'!A:A,'Year end 2024'!E:E,0,0)</f>
        <v>99132.28</v>
      </c>
      <c r="K1066" s="14">
        <f t="shared" si="32"/>
        <v>-15401.249999999998</v>
      </c>
      <c r="L1066" s="14">
        <f t="shared" si="33"/>
        <v>-90682.75</v>
      </c>
    </row>
    <row r="1067" spans="1:12" ht="35.15" customHeight="1" x14ac:dyDescent="0.4">
      <c r="A1067" s="11" t="s">
        <v>2178</v>
      </c>
      <c r="B1067" s="11" t="s">
        <v>2179</v>
      </c>
      <c r="C1067" s="11" t="s">
        <v>19</v>
      </c>
      <c r="D1067" s="11" t="s">
        <v>18</v>
      </c>
      <c r="E1067" s="18" t="str">
        <f>_xlfn.XLOOKUP(A1067,'Current Month'!A:A,'Current Month'!I:I,"")</f>
        <v/>
      </c>
      <c r="F1067" s="21" t="str">
        <f>_xlfn.XLOOKUP(A1067,'Prior Month'!A:A,'Prior Month'!I:I,"")</f>
        <v/>
      </c>
      <c r="G1067" s="18" t="str">
        <f>_xlfn.XLOOKUP(A1067,'Year end 2024'!A:A,'Year end 2024'!I:I,"")</f>
        <v/>
      </c>
      <c r="H1067" s="19">
        <f>_xlfn.XLOOKUP(A1067,'Current Month'!A:A,'Current Month'!E:E,0,0)</f>
        <v>78817.789999999994</v>
      </c>
      <c r="I1067" s="32">
        <f>_xlfn.XLOOKUP(A1067,'Prior Month'!A:A,'Prior Month'!E:E,0,0)</f>
        <v>104371.45</v>
      </c>
      <c r="J1067" s="32">
        <f>_xlfn.XLOOKUP(A1067,'Year end 2024'!A:A,'Year end 2024'!E:E,0,0)</f>
        <v>121044.2</v>
      </c>
      <c r="K1067" s="14">
        <f t="shared" si="32"/>
        <v>-25553.660000000003</v>
      </c>
      <c r="L1067" s="14">
        <f t="shared" si="33"/>
        <v>-42226.41</v>
      </c>
    </row>
    <row r="1068" spans="1:12" ht="35.15" customHeight="1" x14ac:dyDescent="0.4">
      <c r="A1068" s="11" t="s">
        <v>2180</v>
      </c>
      <c r="B1068" s="11" t="s">
        <v>2181</v>
      </c>
      <c r="C1068" s="11" t="s">
        <v>51</v>
      </c>
      <c r="D1068" s="11" t="s">
        <v>50</v>
      </c>
      <c r="E1068" s="18" t="str">
        <f>_xlfn.XLOOKUP(A1068,'Current Month'!A:A,'Current Month'!I:I,"")</f>
        <v/>
      </c>
      <c r="F1068" s="21" t="str">
        <f>_xlfn.XLOOKUP(A1068,'Prior Month'!A:A,'Prior Month'!I:I,"")</f>
        <v/>
      </c>
      <c r="G1068" s="18" t="str">
        <f>_xlfn.XLOOKUP(A1068,'Year end 2024'!A:A,'Year end 2024'!I:I,"")</f>
        <v/>
      </c>
      <c r="H1068" s="19">
        <f>_xlfn.XLOOKUP(A1068,'Current Month'!A:A,'Current Month'!E:E,0,0)</f>
        <v>127630.87</v>
      </c>
      <c r="I1068" s="32">
        <f>_xlfn.XLOOKUP(A1068,'Prior Month'!A:A,'Prior Month'!E:E,0,0)</f>
        <v>130301.36</v>
      </c>
      <c r="J1068" s="32">
        <f>_xlfn.XLOOKUP(A1068,'Year end 2024'!A:A,'Year end 2024'!E:E,0,0)</f>
        <v>136146.09</v>
      </c>
      <c r="K1068" s="14">
        <f t="shared" si="32"/>
        <v>-2670.4900000000052</v>
      </c>
      <c r="L1068" s="14">
        <f t="shared" si="33"/>
        <v>-8515.2200000000012</v>
      </c>
    </row>
    <row r="1069" spans="1:12" ht="35.15" customHeight="1" x14ac:dyDescent="0.4">
      <c r="A1069" s="11" t="s">
        <v>2182</v>
      </c>
      <c r="B1069" s="11" t="s">
        <v>2183</v>
      </c>
      <c r="C1069" s="11" t="s">
        <v>57</v>
      </c>
      <c r="D1069" s="11" t="s">
        <v>56</v>
      </c>
      <c r="E1069" s="18" t="str">
        <f>_xlfn.XLOOKUP(A1069,'Current Month'!A:A,'Current Month'!I:I,"")</f>
        <v/>
      </c>
      <c r="F1069" s="21" t="str">
        <f>_xlfn.XLOOKUP(A1069,'Prior Month'!A:A,'Prior Month'!I:I,"")</f>
        <v/>
      </c>
      <c r="G1069" s="18" t="str">
        <f>_xlfn.XLOOKUP(A1069,'Year end 2024'!A:A,'Year end 2024'!I:I,"")</f>
        <v/>
      </c>
      <c r="H1069" s="19">
        <f>_xlfn.XLOOKUP(A1069,'Current Month'!A:A,'Current Month'!E:E,0,0)</f>
        <v>200834.49</v>
      </c>
      <c r="I1069" s="32">
        <f>_xlfn.XLOOKUP(A1069,'Prior Month'!A:A,'Prior Month'!E:E,0,0)</f>
        <v>173206.89</v>
      </c>
      <c r="J1069" s="32">
        <f>_xlfn.XLOOKUP(A1069,'Year end 2024'!A:A,'Year end 2024'!E:E,0,0)</f>
        <v>60253.64</v>
      </c>
      <c r="K1069" s="14">
        <f t="shared" si="32"/>
        <v>27627.599999999977</v>
      </c>
      <c r="L1069" s="14">
        <f t="shared" si="33"/>
        <v>140580.84999999998</v>
      </c>
    </row>
    <row r="1070" spans="1:12" ht="35.15" customHeight="1" x14ac:dyDescent="0.4">
      <c r="A1070" s="11" t="s">
        <v>2184</v>
      </c>
      <c r="B1070" s="11" t="s">
        <v>2185</v>
      </c>
      <c r="C1070" s="11" t="s">
        <v>29</v>
      </c>
      <c r="D1070" s="11" t="s">
        <v>28</v>
      </c>
      <c r="E1070" s="18" t="str">
        <f>_xlfn.XLOOKUP(A1070,'Current Month'!A:A,'Current Month'!I:I,"")</f>
        <v/>
      </c>
      <c r="F1070" s="21" t="str">
        <f>_xlfn.XLOOKUP(A1070,'Prior Month'!A:A,'Prior Month'!I:I,"")</f>
        <v/>
      </c>
      <c r="G1070" s="18" t="str">
        <f>_xlfn.XLOOKUP(A1070,'Year end 2024'!A:A,'Year end 2024'!I:I,"")</f>
        <v/>
      </c>
      <c r="H1070" s="19">
        <f>_xlfn.XLOOKUP(A1070,'Current Month'!A:A,'Current Month'!E:E,0,0)</f>
        <v>110556.44</v>
      </c>
      <c r="I1070" s="32">
        <f>_xlfn.XLOOKUP(A1070,'Prior Month'!A:A,'Prior Month'!E:E,0,0)</f>
        <v>113962.45</v>
      </c>
      <c r="J1070" s="32">
        <f>_xlfn.XLOOKUP(A1070,'Year end 2024'!A:A,'Year end 2024'!E:E,0,0)</f>
        <v>124924.57</v>
      </c>
      <c r="K1070" s="14">
        <f t="shared" si="32"/>
        <v>-3406.0099999999948</v>
      </c>
      <c r="L1070" s="14">
        <f t="shared" si="33"/>
        <v>-14368.130000000005</v>
      </c>
    </row>
    <row r="1071" spans="1:12" ht="35.15" customHeight="1" x14ac:dyDescent="0.4">
      <c r="A1071" s="11" t="s">
        <v>2186</v>
      </c>
      <c r="B1071" s="11" t="s">
        <v>2187</v>
      </c>
      <c r="C1071" s="11" t="s">
        <v>57</v>
      </c>
      <c r="D1071" s="11" t="s">
        <v>56</v>
      </c>
      <c r="E1071" s="18" t="str">
        <f>_xlfn.XLOOKUP(A1071,'Current Month'!A:A,'Current Month'!I:I,"")</f>
        <v/>
      </c>
      <c r="F1071" s="21" t="str">
        <f>_xlfn.XLOOKUP(A1071,'Prior Month'!A:A,'Prior Month'!I:I,"")</f>
        <v/>
      </c>
      <c r="G1071" s="18" t="str">
        <f>_xlfn.XLOOKUP(A1071,'Year end 2024'!A:A,'Year end 2024'!I:I,"")</f>
        <v/>
      </c>
      <c r="H1071" s="19">
        <f>_xlfn.XLOOKUP(A1071,'Current Month'!A:A,'Current Month'!E:E,0,0)</f>
        <v>111907.57</v>
      </c>
      <c r="I1071" s="32">
        <f>_xlfn.XLOOKUP(A1071,'Prior Month'!A:A,'Prior Month'!E:E,0,0)</f>
        <v>118472.21</v>
      </c>
      <c r="J1071" s="32">
        <f>_xlfn.XLOOKUP(A1071,'Year end 2024'!A:A,'Year end 2024'!E:E,0,0)</f>
        <v>130369.88</v>
      </c>
      <c r="K1071" s="14">
        <f t="shared" si="32"/>
        <v>-6564.6399999999994</v>
      </c>
      <c r="L1071" s="14">
        <f t="shared" si="33"/>
        <v>-18462.309999999998</v>
      </c>
    </row>
    <row r="1072" spans="1:12" ht="35.15" customHeight="1" x14ac:dyDescent="0.4">
      <c r="A1072" s="11" t="s">
        <v>2188</v>
      </c>
      <c r="B1072" s="11" t="s">
        <v>2189</v>
      </c>
      <c r="C1072" s="11" t="s">
        <v>57</v>
      </c>
      <c r="D1072" s="11" t="s">
        <v>56</v>
      </c>
      <c r="E1072" s="18" t="str">
        <f>_xlfn.XLOOKUP(A1072,'Current Month'!A:A,'Current Month'!I:I,"")</f>
        <v/>
      </c>
      <c r="F1072" s="21" t="str">
        <f>_xlfn.XLOOKUP(A1072,'Prior Month'!A:A,'Prior Month'!I:I,"")</f>
        <v/>
      </c>
      <c r="G1072" s="18" t="str">
        <f>_xlfn.XLOOKUP(A1072,'Year end 2024'!A:A,'Year end 2024'!I:I,"")</f>
        <v/>
      </c>
      <c r="H1072" s="19">
        <f>_xlfn.XLOOKUP(A1072,'Current Month'!A:A,'Current Month'!E:E,0,0)</f>
        <v>22800.42</v>
      </c>
      <c r="I1072" s="32">
        <f>_xlfn.XLOOKUP(A1072,'Prior Month'!A:A,'Prior Month'!E:E,0,0)</f>
        <v>22909.05</v>
      </c>
      <c r="J1072" s="32">
        <f>_xlfn.XLOOKUP(A1072,'Year end 2024'!A:A,'Year end 2024'!E:E,0,0)</f>
        <v>57508.26</v>
      </c>
      <c r="K1072" s="14">
        <f t="shared" si="32"/>
        <v>-108.63000000000102</v>
      </c>
      <c r="L1072" s="14">
        <f t="shared" si="33"/>
        <v>-34707.840000000004</v>
      </c>
    </row>
    <row r="1073" spans="1:12" ht="35.15" customHeight="1" x14ac:dyDescent="0.4">
      <c r="A1073" s="11" t="s">
        <v>2190</v>
      </c>
      <c r="B1073" s="11" t="s">
        <v>2191</v>
      </c>
      <c r="C1073" s="11" t="s">
        <v>109</v>
      </c>
      <c r="D1073" s="11" t="s">
        <v>108</v>
      </c>
      <c r="E1073" s="18" t="str">
        <f>_xlfn.XLOOKUP(A1073,'Current Month'!A:A,'Current Month'!I:I,"")</f>
        <v/>
      </c>
      <c r="F1073" s="21" t="str">
        <f>_xlfn.XLOOKUP(A1073,'Prior Month'!A:A,'Prior Month'!I:I,"")</f>
        <v/>
      </c>
      <c r="G1073" s="18" t="str">
        <f>_xlfn.XLOOKUP(A1073,'Year end 2024'!A:A,'Year end 2024'!I:I,"")</f>
        <v/>
      </c>
      <c r="H1073" s="19">
        <f>_xlfn.XLOOKUP(A1073,'Current Month'!A:A,'Current Month'!E:E,0,0)</f>
        <v>188942.58</v>
      </c>
      <c r="I1073" s="32">
        <f>_xlfn.XLOOKUP(A1073,'Prior Month'!A:A,'Prior Month'!E:E,0,0)</f>
        <v>200787.58</v>
      </c>
      <c r="J1073" s="32">
        <f>_xlfn.XLOOKUP(A1073,'Year end 2024'!A:A,'Year end 2024'!E:E,0,0)</f>
        <v>20106.8</v>
      </c>
      <c r="K1073" s="14">
        <f t="shared" si="32"/>
        <v>-11845</v>
      </c>
      <c r="L1073" s="14">
        <f t="shared" si="33"/>
        <v>168835.78</v>
      </c>
    </row>
    <row r="1074" spans="1:12" ht="35.15" customHeight="1" x14ac:dyDescent="0.4">
      <c r="A1074" s="11" t="s">
        <v>2192</v>
      </c>
      <c r="B1074" s="11" t="s">
        <v>2193</v>
      </c>
      <c r="C1074" s="11" t="s">
        <v>19</v>
      </c>
      <c r="D1074" s="11" t="s">
        <v>18</v>
      </c>
      <c r="E1074" s="18">
        <f>_xlfn.XLOOKUP(A1074,'Current Month'!A:A,'Current Month'!I:I,"")</f>
        <v>0.21187253168637671</v>
      </c>
      <c r="F1074" s="21">
        <f>_xlfn.XLOOKUP(A1074,'Prior Month'!A:A,'Prior Month'!I:I,"")</f>
        <v>0.21110455969136657</v>
      </c>
      <c r="G1074" s="18">
        <f>_xlfn.XLOOKUP(A1074,'Year end 2024'!A:A,'Year end 2024'!I:I,"")</f>
        <v>0.20406185195589663</v>
      </c>
      <c r="H1074" s="19">
        <f>_xlfn.XLOOKUP(A1074,'Current Month'!A:A,'Current Month'!E:E,0,0)</f>
        <v>47990.37</v>
      </c>
      <c r="I1074" s="32">
        <f>_xlfn.XLOOKUP(A1074,'Prior Month'!A:A,'Prior Month'!E:E,0,0)</f>
        <v>47990.37</v>
      </c>
      <c r="J1074" s="32">
        <f>_xlfn.XLOOKUP(A1074,'Year end 2024'!A:A,'Year end 2024'!E:E,0,0)</f>
        <v>47623</v>
      </c>
      <c r="K1074" s="14">
        <f t="shared" si="32"/>
        <v>0</v>
      </c>
      <c r="L1074" s="14">
        <f t="shared" si="33"/>
        <v>367.37000000000262</v>
      </c>
    </row>
    <row r="1075" spans="1:12" ht="35.15" customHeight="1" x14ac:dyDescent="0.4">
      <c r="A1075" s="11" t="s">
        <v>2194</v>
      </c>
      <c r="B1075" s="11" t="s">
        <v>2195</v>
      </c>
      <c r="C1075" s="11" t="s">
        <v>313</v>
      </c>
      <c r="D1075" s="11" t="s">
        <v>312</v>
      </c>
      <c r="E1075" s="18" t="str">
        <f>_xlfn.XLOOKUP(A1075,'Current Month'!A:A,'Current Month'!I:I,"")</f>
        <v/>
      </c>
      <c r="F1075" s="21" t="str">
        <f>_xlfn.XLOOKUP(A1075,'Prior Month'!A:A,'Prior Month'!I:I,"")</f>
        <v/>
      </c>
      <c r="G1075" s="18" t="str">
        <f>_xlfn.XLOOKUP(A1075,'Year end 2024'!A:A,'Year end 2024'!I:I,"")</f>
        <v/>
      </c>
      <c r="H1075" s="19">
        <f>_xlfn.XLOOKUP(A1075,'Current Month'!A:A,'Current Month'!E:E,0,0)</f>
        <v>49183.94</v>
      </c>
      <c r="I1075" s="32">
        <f>_xlfn.XLOOKUP(A1075,'Prior Month'!A:A,'Prior Month'!E:E,0,0)</f>
        <v>45915.07</v>
      </c>
      <c r="J1075" s="32">
        <f>_xlfn.XLOOKUP(A1075,'Year end 2024'!A:A,'Year end 2024'!E:E,0,0)</f>
        <v>73980.78</v>
      </c>
      <c r="K1075" s="14">
        <f t="shared" si="32"/>
        <v>3268.8700000000026</v>
      </c>
      <c r="L1075" s="14">
        <f t="shared" si="33"/>
        <v>-24796.839999999997</v>
      </c>
    </row>
    <row r="1076" spans="1:12" ht="35.15" customHeight="1" x14ac:dyDescent="0.4">
      <c r="A1076" s="11" t="s">
        <v>2196</v>
      </c>
      <c r="B1076" s="11" t="s">
        <v>2197</v>
      </c>
      <c r="C1076" s="11" t="s">
        <v>77</v>
      </c>
      <c r="D1076" s="11" t="s">
        <v>76</v>
      </c>
      <c r="E1076" s="18" t="str">
        <f>_xlfn.XLOOKUP(A1076,'Current Month'!A:A,'Current Month'!I:I,"")</f>
        <v/>
      </c>
      <c r="F1076" s="21" t="str">
        <f>_xlfn.XLOOKUP(A1076,'Prior Month'!A:A,'Prior Month'!I:I,"")</f>
        <v/>
      </c>
      <c r="G1076" s="18" t="str">
        <f>_xlfn.XLOOKUP(A1076,'Year end 2024'!A:A,'Year end 2024'!I:I,"")</f>
        <v/>
      </c>
      <c r="H1076" s="19">
        <f>_xlfn.XLOOKUP(A1076,'Current Month'!A:A,'Current Month'!E:E,0,0)</f>
        <v>228215.6</v>
      </c>
      <c r="I1076" s="32">
        <f>_xlfn.XLOOKUP(A1076,'Prior Month'!A:A,'Prior Month'!E:E,0,0)</f>
        <v>248836.22</v>
      </c>
      <c r="J1076" s="32">
        <f>_xlfn.XLOOKUP(A1076,'Year end 2024'!A:A,'Year end 2024'!E:E,0,0)</f>
        <v>247590.52</v>
      </c>
      <c r="K1076" s="14">
        <f t="shared" si="32"/>
        <v>-20620.619999999995</v>
      </c>
      <c r="L1076" s="14">
        <f t="shared" si="33"/>
        <v>-19374.919999999984</v>
      </c>
    </row>
    <row r="1077" spans="1:12" ht="35.15" customHeight="1" x14ac:dyDescent="0.4">
      <c r="A1077" s="11" t="s">
        <v>2198</v>
      </c>
      <c r="B1077" s="11" t="s">
        <v>2199</v>
      </c>
      <c r="C1077" s="11" t="s">
        <v>51</v>
      </c>
      <c r="D1077" s="11" t="s">
        <v>50</v>
      </c>
      <c r="E1077" s="18" t="str">
        <f>_xlfn.XLOOKUP(A1077,'Current Month'!A:A,'Current Month'!I:I,"")</f>
        <v/>
      </c>
      <c r="F1077" s="21" t="str">
        <f>_xlfn.XLOOKUP(A1077,'Prior Month'!A:A,'Prior Month'!I:I,"")</f>
        <v/>
      </c>
      <c r="G1077" s="18" t="str">
        <f>_xlfn.XLOOKUP(A1077,'Year end 2024'!A:A,'Year end 2024'!I:I,"")</f>
        <v/>
      </c>
      <c r="H1077" s="19">
        <f>_xlfn.XLOOKUP(A1077,'Current Month'!A:A,'Current Month'!E:E,0,0)</f>
        <v>6857.42</v>
      </c>
      <c r="I1077" s="32">
        <f>_xlfn.XLOOKUP(A1077,'Prior Month'!A:A,'Prior Month'!E:E,0,0)</f>
        <v>6697.78</v>
      </c>
      <c r="J1077" s="32">
        <f>_xlfn.XLOOKUP(A1077,'Year end 2024'!A:A,'Year end 2024'!E:E,0,0)</f>
        <v>15346.7</v>
      </c>
      <c r="K1077" s="14">
        <f t="shared" si="32"/>
        <v>159.64000000000033</v>
      </c>
      <c r="L1077" s="14">
        <f t="shared" si="33"/>
        <v>-8489.2800000000007</v>
      </c>
    </row>
    <row r="1078" spans="1:12" ht="35.15" customHeight="1" x14ac:dyDescent="0.4">
      <c r="A1078" s="11" t="s">
        <v>2200</v>
      </c>
      <c r="B1078" s="11" t="s">
        <v>2201</v>
      </c>
      <c r="C1078" s="11" t="s">
        <v>51</v>
      </c>
      <c r="D1078" s="11" t="s">
        <v>50</v>
      </c>
      <c r="E1078" s="18" t="str">
        <f>_xlfn.XLOOKUP(A1078,'Current Month'!A:A,'Current Month'!I:I,"")</f>
        <v/>
      </c>
      <c r="F1078" s="21" t="str">
        <f>_xlfn.XLOOKUP(A1078,'Prior Month'!A:A,'Prior Month'!I:I,"")</f>
        <v/>
      </c>
      <c r="G1078" s="18" t="str">
        <f>_xlfn.XLOOKUP(A1078,'Year end 2024'!A:A,'Year end 2024'!I:I,"")</f>
        <v/>
      </c>
      <c r="H1078" s="19">
        <f>_xlfn.XLOOKUP(A1078,'Current Month'!A:A,'Current Month'!E:E,0,0)</f>
        <v>89966.31</v>
      </c>
      <c r="I1078" s="32">
        <f>_xlfn.XLOOKUP(A1078,'Prior Month'!A:A,'Prior Month'!E:E,0,0)</f>
        <v>90004.31</v>
      </c>
      <c r="J1078" s="32">
        <f>_xlfn.XLOOKUP(A1078,'Year end 2024'!A:A,'Year end 2024'!E:E,0,0)</f>
        <v>82534.66</v>
      </c>
      <c r="K1078" s="14">
        <f t="shared" si="32"/>
        <v>-38</v>
      </c>
      <c r="L1078" s="14">
        <f t="shared" si="33"/>
        <v>7431.6499999999942</v>
      </c>
    </row>
    <row r="1079" spans="1:12" ht="35.15" customHeight="1" x14ac:dyDescent="0.4">
      <c r="A1079" s="11" t="s">
        <v>2202</v>
      </c>
      <c r="B1079" s="11" t="s">
        <v>2203</v>
      </c>
      <c r="C1079" s="11" t="s">
        <v>67</v>
      </c>
      <c r="D1079" s="11" t="s">
        <v>66</v>
      </c>
      <c r="E1079" s="18" t="str">
        <f>_xlfn.XLOOKUP(A1079,'Current Month'!A:A,'Current Month'!I:I,"")</f>
        <v/>
      </c>
      <c r="F1079" s="21" t="str">
        <f>_xlfn.XLOOKUP(A1079,'Prior Month'!A:A,'Prior Month'!I:I,"")</f>
        <v/>
      </c>
      <c r="G1079" s="18" t="str">
        <f>_xlfn.XLOOKUP(A1079,'Year end 2024'!A:A,'Year end 2024'!I:I,"")</f>
        <v/>
      </c>
      <c r="H1079" s="19">
        <f>_xlfn.XLOOKUP(A1079,'Current Month'!A:A,'Current Month'!E:E,0,0)</f>
        <v>22067.15</v>
      </c>
      <c r="I1079" s="32">
        <f>_xlfn.XLOOKUP(A1079,'Prior Month'!A:A,'Prior Month'!E:E,0,0)</f>
        <v>16702.95</v>
      </c>
      <c r="J1079" s="32">
        <f>_xlfn.XLOOKUP(A1079,'Year end 2024'!A:A,'Year end 2024'!E:E,0,0)</f>
        <v>49005.84</v>
      </c>
      <c r="K1079" s="14">
        <f t="shared" si="32"/>
        <v>5364.2000000000007</v>
      </c>
      <c r="L1079" s="14">
        <f t="shared" si="33"/>
        <v>-26938.689999999995</v>
      </c>
    </row>
    <row r="1080" spans="1:12" ht="35.15" customHeight="1" x14ac:dyDescent="0.4">
      <c r="A1080" s="11" t="s">
        <v>2204</v>
      </c>
      <c r="B1080" s="11" t="s">
        <v>2205</v>
      </c>
      <c r="C1080" s="11" t="s">
        <v>57</v>
      </c>
      <c r="D1080" s="11" t="s">
        <v>56</v>
      </c>
      <c r="E1080" s="18" t="str">
        <f>_xlfn.XLOOKUP(A1080,'Current Month'!A:A,'Current Month'!I:I,"")</f>
        <v/>
      </c>
      <c r="F1080" s="21" t="str">
        <f>_xlfn.XLOOKUP(A1080,'Prior Month'!A:A,'Prior Month'!I:I,"")</f>
        <v/>
      </c>
      <c r="G1080" s="18" t="str">
        <f>_xlfn.XLOOKUP(A1080,'Year end 2024'!A:A,'Year end 2024'!I:I,"")</f>
        <v/>
      </c>
      <c r="H1080" s="19">
        <f>_xlfn.XLOOKUP(A1080,'Current Month'!A:A,'Current Month'!E:E,0,0)</f>
        <v>115324.12</v>
      </c>
      <c r="I1080" s="32">
        <f>_xlfn.XLOOKUP(A1080,'Prior Month'!A:A,'Prior Month'!E:E,0,0)</f>
        <v>76118.17</v>
      </c>
      <c r="J1080" s="32">
        <f>_xlfn.XLOOKUP(A1080,'Year end 2024'!A:A,'Year end 2024'!E:E,0,0)</f>
        <v>174333.89</v>
      </c>
      <c r="K1080" s="14">
        <f t="shared" ref="K1080:K1083" si="34">IFERROR(SUM(H1080-I1080),H1080)</f>
        <v>39205.949999999997</v>
      </c>
      <c r="L1080" s="14">
        <f t="shared" ref="L1080:L1083" si="35">IFERROR(SUM(H1080-J1080),H1080)</f>
        <v>-59009.770000000019</v>
      </c>
    </row>
    <row r="1081" spans="1:12" ht="35.15" customHeight="1" x14ac:dyDescent="0.4">
      <c r="A1081" s="11" t="s">
        <v>2206</v>
      </c>
      <c r="B1081" s="11" t="s">
        <v>2207</v>
      </c>
      <c r="C1081" s="11" t="s">
        <v>109</v>
      </c>
      <c r="D1081" s="11" t="s">
        <v>108</v>
      </c>
      <c r="E1081" s="18" t="str">
        <f>_xlfn.XLOOKUP(A1081,'Current Month'!A:A,'Current Month'!I:I,"")</f>
        <v/>
      </c>
      <c r="F1081" s="21" t="str">
        <f>_xlfn.XLOOKUP(A1081,'Prior Month'!A:A,'Prior Month'!I:I,"")</f>
        <v/>
      </c>
      <c r="G1081" s="18" t="str">
        <f>_xlfn.XLOOKUP(A1081,'Year end 2024'!A:A,'Year end 2024'!I:I,"")</f>
        <v/>
      </c>
      <c r="H1081" s="19">
        <f>_xlfn.XLOOKUP(A1081,'Current Month'!A:A,'Current Month'!E:E,0,0)</f>
        <v>61632.95</v>
      </c>
      <c r="I1081" s="32">
        <f>_xlfn.XLOOKUP(A1081,'Prior Month'!A:A,'Prior Month'!E:E,0,0)</f>
        <v>59448.73</v>
      </c>
      <c r="J1081" s="32">
        <f>_xlfn.XLOOKUP(A1081,'Year end 2024'!A:A,'Year end 2024'!E:E,0,0)</f>
        <v>55038.74</v>
      </c>
      <c r="K1081" s="14">
        <f t="shared" si="34"/>
        <v>2184.2199999999939</v>
      </c>
      <c r="L1081" s="14">
        <f t="shared" si="35"/>
        <v>6594.2099999999991</v>
      </c>
    </row>
    <row r="1082" spans="1:12" ht="35.15" customHeight="1" x14ac:dyDescent="0.4">
      <c r="A1082" s="11" t="s">
        <v>2208</v>
      </c>
      <c r="B1082" s="11" t="s">
        <v>2209</v>
      </c>
      <c r="C1082" s="11" t="s">
        <v>67</v>
      </c>
      <c r="D1082" s="11" t="s">
        <v>66</v>
      </c>
      <c r="E1082" s="18" t="str">
        <f>_xlfn.XLOOKUP(A1082,'Current Month'!A:A,'Current Month'!I:I,"")</f>
        <v/>
      </c>
      <c r="F1082" s="21" t="str">
        <f>_xlfn.XLOOKUP(A1082,'Prior Month'!A:A,'Prior Month'!I:I,"")</f>
        <v/>
      </c>
      <c r="G1082" s="18" t="str">
        <f>_xlfn.XLOOKUP(A1082,'Year end 2024'!A:A,'Year end 2024'!I:I,"")</f>
        <v/>
      </c>
      <c r="H1082" s="19">
        <f>_xlfn.XLOOKUP(A1082,'Current Month'!A:A,'Current Month'!E:E,0,0)</f>
        <v>89189.51</v>
      </c>
      <c r="I1082" s="32">
        <f>_xlfn.XLOOKUP(A1082,'Prior Month'!A:A,'Prior Month'!E:E,0,0)</f>
        <v>93212.1</v>
      </c>
      <c r="J1082" s="32">
        <f>_xlfn.XLOOKUP(A1082,'Year end 2024'!A:A,'Year end 2024'!E:E,0,0)</f>
        <v>97767.83</v>
      </c>
      <c r="K1082" s="14">
        <f t="shared" si="34"/>
        <v>-4022.5900000000111</v>
      </c>
      <c r="L1082" s="14">
        <f t="shared" si="35"/>
        <v>-8578.320000000007</v>
      </c>
    </row>
    <row r="1083" spans="1:12" ht="35.15" customHeight="1" x14ac:dyDescent="0.4">
      <c r="A1083" s="11" t="s">
        <v>2210</v>
      </c>
      <c r="B1083" s="11" t="s">
        <v>2211</v>
      </c>
      <c r="C1083" s="11" t="s">
        <v>77</v>
      </c>
      <c r="D1083" s="11" t="s">
        <v>76</v>
      </c>
      <c r="E1083" s="18" t="str">
        <f>_xlfn.XLOOKUP(A1083,'Current Month'!A:A,'Current Month'!I:I,"")</f>
        <v/>
      </c>
      <c r="F1083" s="21" t="str">
        <f>_xlfn.XLOOKUP(A1083,'Prior Month'!A:A,'Prior Month'!I:I,"")</f>
        <v/>
      </c>
      <c r="G1083" s="18" t="str">
        <f>_xlfn.XLOOKUP(A1083,'Year end 2024'!A:A,'Year end 2024'!I:I,"")</f>
        <v/>
      </c>
      <c r="H1083" s="19">
        <f>_xlfn.XLOOKUP(A1083,'Current Month'!A:A,'Current Month'!E:E,0,0)</f>
        <v>367433.88</v>
      </c>
      <c r="I1083" s="32">
        <f>_xlfn.XLOOKUP(A1083,'Prior Month'!A:A,'Prior Month'!E:E,0,0)</f>
        <v>233391.48</v>
      </c>
      <c r="J1083" s="32">
        <f>_xlfn.XLOOKUP(A1083,'Year end 2024'!A:A,'Year end 2024'!E:E,0,0)</f>
        <v>224438.35</v>
      </c>
      <c r="K1083" s="14">
        <f t="shared" si="34"/>
        <v>134042.4</v>
      </c>
      <c r="L1083" s="14">
        <f t="shared" si="35"/>
        <v>142995.53</v>
      </c>
    </row>
    <row r="1084" spans="1:12" s="26" customFormat="1" ht="35.15" customHeight="1" x14ac:dyDescent="0.4">
      <c r="A1084" s="33" t="s">
        <v>2389</v>
      </c>
      <c r="B1084" s="34"/>
      <c r="C1084" s="34"/>
      <c r="D1084" s="34"/>
      <c r="E1084" s="13">
        <f>_xlfn.XLOOKUP(A1084,'Current Month'!A:A,'Current Month'!I:I,"")</f>
        <v>0.87124072506626304</v>
      </c>
      <c r="F1084" s="13">
        <f>_xlfn.XLOOKUP(A1084,'Prior Month'!A:A,'Prior Month'!I:I,"")</f>
        <v>0.75685916749137161</v>
      </c>
      <c r="G1084" s="13">
        <f>_xlfn.XLOOKUP(A1084,'Year end 2024'!A:A,'Year end 2024'!I:I,"")</f>
        <v>0.75325652417833455</v>
      </c>
      <c r="H1084" s="35">
        <f>SUM(H2:H1083)</f>
        <v>566805621.67000055</v>
      </c>
      <c r="I1084" s="35">
        <f t="shared" ref="I1084:J1084" si="36">SUM(I2:I1083)</f>
        <v>493907297.25999928</v>
      </c>
      <c r="J1084" s="35">
        <f t="shared" si="36"/>
        <v>438262628.7099992</v>
      </c>
      <c r="K1084" s="36">
        <f>SUM(K2:K1083)</f>
        <v>72898324.410000145</v>
      </c>
      <c r="L1084" s="35">
        <f>SUM(L2:L1083)</f>
        <v>128542992.95999998</v>
      </c>
    </row>
  </sheetData>
  <autoFilter ref="A1:L1084" xr:uid="{159D25EC-24E6-4E07-9C7B-68BE5C51A429}">
    <sortState xmlns:xlrd2="http://schemas.microsoft.com/office/spreadsheetml/2017/richdata2" ref="A41:L1002">
      <sortCondition ref="A1:A1067"/>
    </sortState>
  </autoFilter>
  <conditionalFormatting sqref="A2:A1083">
    <cfRule type="duplicateValues" dxfId="10" priority="107"/>
  </conditionalFormatting>
  <conditionalFormatting sqref="A1084:A1048576 A1">
    <cfRule type="duplicateValues" dxfId="9" priority="2"/>
  </conditionalFormatting>
  <conditionalFormatting sqref="E1:G1048576">
    <cfRule type="cellIs" dxfId="8" priority="4" operator="lessThan">
      <formula>0.25</formula>
    </cfRule>
  </conditionalFormatting>
  <conditionalFormatting sqref="E2:G1084">
    <cfRule type="cellIs" dxfId="7" priority="3" operator="greaterThan">
      <formula>0.25</formula>
    </cfRule>
  </conditionalFormatting>
  <conditionalFormatting sqref="K1:L1083 K1085:L1048576">
    <cfRule type="cellIs" dxfId="6" priority="5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4B04-7EBD-4C7A-87AD-8D18B46B7AC0}">
  <dimension ref="A1:I1086"/>
  <sheetViews>
    <sheetView workbookViewId="0">
      <pane ySplit="1" topLeftCell="A1072" activePane="bottomLeft" state="frozen"/>
      <selection activeCell="B124" sqref="B124"/>
      <selection pane="bottomLeft" activeCell="B124" sqref="B124"/>
    </sheetView>
  </sheetViews>
  <sheetFormatPr defaultColWidth="9.1796875" defaultRowHeight="30" customHeight="1" x14ac:dyDescent="0.35"/>
  <cols>
    <col min="1" max="1" width="11.1796875" style="1" customWidth="1"/>
    <col min="2" max="2" width="21.26953125" style="1" customWidth="1"/>
    <col min="3" max="4" width="9.1796875" style="1"/>
    <col min="5" max="5" width="15.453125" style="1" customWidth="1"/>
    <col min="6" max="6" width="11.81640625" customWidth="1"/>
    <col min="7" max="7" width="12.1796875" customWidth="1"/>
    <col min="8" max="8" width="15.54296875" style="4" customWidth="1"/>
    <col min="9" max="9" width="13.1796875" style="5" customWidth="1"/>
    <col min="10" max="16384" width="9.1796875" style="1"/>
  </cols>
  <sheetData>
    <row r="1" spans="1:9" ht="58.5" customHeight="1" x14ac:dyDescent="0.35">
      <c r="A1" s="3" t="s">
        <v>0</v>
      </c>
      <c r="B1" s="3" t="s">
        <v>1</v>
      </c>
      <c r="C1" s="3" t="s">
        <v>3</v>
      </c>
      <c r="D1" s="3" t="s">
        <v>2</v>
      </c>
      <c r="E1" s="3" t="s">
        <v>7</v>
      </c>
      <c r="F1" s="3" t="s">
        <v>2212</v>
      </c>
      <c r="G1" s="3" t="s">
        <v>2213</v>
      </c>
      <c r="H1" s="4" t="s">
        <v>2214</v>
      </c>
      <c r="I1" s="5" t="s">
        <v>2215</v>
      </c>
    </row>
    <row r="2" spans="1:9" ht="30" customHeight="1" x14ac:dyDescent="0.35">
      <c r="A2" t="s">
        <v>8</v>
      </c>
      <c r="B2" t="s">
        <v>9</v>
      </c>
      <c r="C2" t="s">
        <v>11</v>
      </c>
      <c r="D2" t="s">
        <v>10</v>
      </c>
      <c r="E2" s="2">
        <v>33327940.379999999</v>
      </c>
      <c r="F2" s="2">
        <v>764130.12</v>
      </c>
      <c r="G2" s="2">
        <v>600000</v>
      </c>
      <c r="H2" s="4">
        <f>IF(ISBLANK(F2),"",(F2+G2))</f>
        <v>1364130.12</v>
      </c>
      <c r="I2" s="6">
        <f>IF(ISBLANK(F2), "", E2/H2)</f>
        <v>24.4316432071744</v>
      </c>
    </row>
    <row r="3" spans="1:9" ht="30" customHeight="1" x14ac:dyDescent="0.35">
      <c r="A3" t="s">
        <v>12</v>
      </c>
      <c r="B3" t="s">
        <v>13</v>
      </c>
      <c r="C3" t="s">
        <v>15</v>
      </c>
      <c r="D3" t="s">
        <v>14</v>
      </c>
      <c r="E3" s="2">
        <v>165289.76</v>
      </c>
      <c r="F3" s="2">
        <v>855812.56</v>
      </c>
      <c r="G3" s="2">
        <v>350000</v>
      </c>
      <c r="H3" s="4">
        <f t="shared" ref="H3:H66" si="0">IF(ISBLANK(F3),"",(F3+G3))</f>
        <v>1205812.56</v>
      </c>
      <c r="I3" s="6">
        <f t="shared" ref="I3:I66" si="1">IF(ISBLANK(F3), "", E3/H3)</f>
        <v>0.13707749071713102</v>
      </c>
    </row>
    <row r="4" spans="1:9" ht="30" customHeight="1" x14ac:dyDescent="0.35">
      <c r="A4" t="s">
        <v>16</v>
      </c>
      <c r="B4" t="s">
        <v>17</v>
      </c>
      <c r="C4" t="s">
        <v>19</v>
      </c>
      <c r="D4" t="s">
        <v>18</v>
      </c>
      <c r="E4" s="2">
        <v>22867.55</v>
      </c>
      <c r="F4" s="2"/>
      <c r="G4" s="2"/>
      <c r="H4" s="4" t="str">
        <f t="shared" si="0"/>
        <v/>
      </c>
      <c r="I4" s="6" t="str">
        <f t="shared" si="1"/>
        <v/>
      </c>
    </row>
    <row r="5" spans="1:9" ht="30" customHeight="1" x14ac:dyDescent="0.35">
      <c r="A5" t="s">
        <v>20</v>
      </c>
      <c r="B5" t="s">
        <v>21</v>
      </c>
      <c r="C5" t="s">
        <v>23</v>
      </c>
      <c r="D5" t="s">
        <v>22</v>
      </c>
      <c r="E5" s="2">
        <v>0</v>
      </c>
      <c r="F5" s="2"/>
      <c r="G5" s="2"/>
      <c r="H5" s="4" t="str">
        <f t="shared" si="0"/>
        <v/>
      </c>
      <c r="I5" s="6" t="str">
        <f t="shared" si="1"/>
        <v/>
      </c>
    </row>
    <row r="6" spans="1:9" ht="30" customHeight="1" x14ac:dyDescent="0.35">
      <c r="A6" t="s">
        <v>24</v>
      </c>
      <c r="B6" t="s">
        <v>25</v>
      </c>
      <c r="C6" t="s">
        <v>19</v>
      </c>
      <c r="D6" t="s">
        <v>18</v>
      </c>
      <c r="E6" s="2">
        <v>220739.22</v>
      </c>
      <c r="F6" s="2"/>
      <c r="G6" s="2"/>
      <c r="H6" s="4" t="str">
        <f t="shared" si="0"/>
        <v/>
      </c>
      <c r="I6" s="6" t="str">
        <f t="shared" si="1"/>
        <v/>
      </c>
    </row>
    <row r="7" spans="1:9" ht="30" customHeight="1" x14ac:dyDescent="0.35">
      <c r="A7" t="s">
        <v>26</v>
      </c>
      <c r="B7" t="s">
        <v>27</v>
      </c>
      <c r="C7" t="s">
        <v>29</v>
      </c>
      <c r="D7" t="s">
        <v>28</v>
      </c>
      <c r="E7" s="2">
        <v>20688.59</v>
      </c>
      <c r="F7" s="2"/>
      <c r="G7" s="2"/>
      <c r="H7" s="4" t="str">
        <f t="shared" si="0"/>
        <v/>
      </c>
      <c r="I7" s="6" t="str">
        <f t="shared" si="1"/>
        <v/>
      </c>
    </row>
    <row r="8" spans="1:9" ht="30" customHeight="1" x14ac:dyDescent="0.35">
      <c r="A8" t="s">
        <v>30</v>
      </c>
      <c r="B8" t="s">
        <v>31</v>
      </c>
      <c r="C8" t="s">
        <v>33</v>
      </c>
      <c r="D8" t="s">
        <v>32</v>
      </c>
      <c r="E8" s="2">
        <v>728270.09</v>
      </c>
      <c r="F8" s="2"/>
      <c r="G8" s="2"/>
      <c r="H8" s="4" t="str">
        <f t="shared" si="0"/>
        <v/>
      </c>
      <c r="I8" s="6" t="str">
        <f t="shared" si="1"/>
        <v/>
      </c>
    </row>
    <row r="9" spans="1:9" ht="30" customHeight="1" x14ac:dyDescent="0.35">
      <c r="A9" t="s">
        <v>34</v>
      </c>
      <c r="B9" t="s">
        <v>35</v>
      </c>
      <c r="C9" t="s">
        <v>19</v>
      </c>
      <c r="D9" t="s">
        <v>18</v>
      </c>
      <c r="E9" s="2">
        <v>233578.99</v>
      </c>
      <c r="F9" s="2"/>
      <c r="G9" s="2"/>
      <c r="H9" s="4" t="str">
        <f t="shared" si="0"/>
        <v/>
      </c>
      <c r="I9" s="6" t="str">
        <f t="shared" si="1"/>
        <v/>
      </c>
    </row>
    <row r="10" spans="1:9" ht="30" customHeight="1" x14ac:dyDescent="0.35">
      <c r="A10" t="s">
        <v>36</v>
      </c>
      <c r="B10" t="s">
        <v>37</v>
      </c>
      <c r="C10" t="s">
        <v>29</v>
      </c>
      <c r="D10" t="s">
        <v>28</v>
      </c>
      <c r="E10" s="2">
        <v>5961.65</v>
      </c>
      <c r="F10" s="2"/>
      <c r="G10" s="2"/>
      <c r="H10" s="4" t="str">
        <f t="shared" si="0"/>
        <v/>
      </c>
      <c r="I10" s="6" t="str">
        <f t="shared" si="1"/>
        <v/>
      </c>
    </row>
    <row r="11" spans="1:9" ht="30" customHeight="1" x14ac:dyDescent="0.35">
      <c r="A11" t="s">
        <v>38</v>
      </c>
      <c r="B11" t="s">
        <v>39</v>
      </c>
      <c r="C11" t="s">
        <v>41</v>
      </c>
      <c r="D11" t="s">
        <v>40</v>
      </c>
      <c r="E11" s="2">
        <v>57558.93</v>
      </c>
      <c r="F11" s="2"/>
      <c r="G11" s="2"/>
      <c r="H11" s="4" t="str">
        <f t="shared" si="0"/>
        <v/>
      </c>
      <c r="I11" s="6" t="str">
        <f t="shared" si="1"/>
        <v/>
      </c>
    </row>
    <row r="12" spans="1:9" ht="30" customHeight="1" x14ac:dyDescent="0.35">
      <c r="A12" t="s">
        <v>42</v>
      </c>
      <c r="B12" t="s">
        <v>43</v>
      </c>
      <c r="C12" t="s">
        <v>45</v>
      </c>
      <c r="D12" t="s">
        <v>44</v>
      </c>
      <c r="E12" s="2">
        <v>152500.04</v>
      </c>
      <c r="F12" s="2"/>
      <c r="G12" s="2"/>
      <c r="H12" s="4" t="str">
        <f t="shared" si="0"/>
        <v/>
      </c>
      <c r="I12" s="6" t="str">
        <f t="shared" si="1"/>
        <v/>
      </c>
    </row>
    <row r="13" spans="1:9" ht="30" customHeight="1" x14ac:dyDescent="0.35">
      <c r="A13" t="s">
        <v>46</v>
      </c>
      <c r="B13" t="s">
        <v>47</v>
      </c>
      <c r="C13" t="s">
        <v>29</v>
      </c>
      <c r="D13" t="s">
        <v>28</v>
      </c>
      <c r="E13" s="2">
        <v>2030.78</v>
      </c>
      <c r="F13" s="2"/>
      <c r="G13" s="2"/>
      <c r="H13" s="4" t="str">
        <f t="shared" si="0"/>
        <v/>
      </c>
      <c r="I13" s="6" t="str">
        <f t="shared" si="1"/>
        <v/>
      </c>
    </row>
    <row r="14" spans="1:9" ht="30" customHeight="1" x14ac:dyDescent="0.35">
      <c r="A14" t="s">
        <v>48</v>
      </c>
      <c r="B14" t="s">
        <v>49</v>
      </c>
      <c r="C14" t="s">
        <v>51</v>
      </c>
      <c r="D14" t="s">
        <v>50</v>
      </c>
      <c r="E14" s="2">
        <v>32535.81</v>
      </c>
      <c r="F14" s="2">
        <v>483293.21</v>
      </c>
      <c r="G14" s="2">
        <v>1776.3</v>
      </c>
      <c r="H14" s="4">
        <f t="shared" si="0"/>
        <v>485069.51</v>
      </c>
      <c r="I14" s="6">
        <f t="shared" si="1"/>
        <v>6.7074531235739809E-2</v>
      </c>
    </row>
    <row r="15" spans="1:9" ht="30" customHeight="1" x14ac:dyDescent="0.35">
      <c r="A15" t="s">
        <v>52</v>
      </c>
      <c r="B15" t="s">
        <v>53</v>
      </c>
      <c r="C15" t="s">
        <v>19</v>
      </c>
      <c r="D15" t="s">
        <v>18</v>
      </c>
      <c r="E15" s="2">
        <v>4004.87</v>
      </c>
      <c r="F15" s="2"/>
      <c r="G15" s="2"/>
      <c r="H15" s="4" t="str">
        <f t="shared" si="0"/>
        <v/>
      </c>
      <c r="I15" s="6" t="str">
        <f t="shared" si="1"/>
        <v/>
      </c>
    </row>
    <row r="16" spans="1:9" ht="30" customHeight="1" x14ac:dyDescent="0.35">
      <c r="A16" t="s">
        <v>54</v>
      </c>
      <c r="B16" t="s">
        <v>55</v>
      </c>
      <c r="C16" t="s">
        <v>57</v>
      </c>
      <c r="D16" t="s">
        <v>56</v>
      </c>
      <c r="E16" s="2">
        <v>8312.0400000000009</v>
      </c>
      <c r="F16" s="2">
        <v>40162.42</v>
      </c>
      <c r="G16" s="2">
        <v>39837.58</v>
      </c>
      <c r="H16" s="4">
        <f t="shared" si="0"/>
        <v>80000</v>
      </c>
      <c r="I16" s="6">
        <f t="shared" si="1"/>
        <v>0.10390050000000001</v>
      </c>
    </row>
    <row r="17" spans="1:9" ht="30" customHeight="1" x14ac:dyDescent="0.35">
      <c r="A17" t="s">
        <v>58</v>
      </c>
      <c r="B17" t="s">
        <v>59</v>
      </c>
      <c r="C17" t="s">
        <v>41</v>
      </c>
      <c r="D17" t="s">
        <v>40</v>
      </c>
      <c r="E17" s="2">
        <v>2043.06</v>
      </c>
      <c r="F17" s="2">
        <v>486220.48</v>
      </c>
      <c r="G17" s="2">
        <v>13779.52</v>
      </c>
      <c r="H17" s="4">
        <f t="shared" si="0"/>
        <v>500000</v>
      </c>
      <c r="I17" s="6">
        <f t="shared" si="1"/>
        <v>4.0861199999999995E-3</v>
      </c>
    </row>
    <row r="18" spans="1:9" ht="30" customHeight="1" x14ac:dyDescent="0.35">
      <c r="A18" t="s">
        <v>60</v>
      </c>
      <c r="B18" t="s">
        <v>61</v>
      </c>
      <c r="C18" t="s">
        <v>19</v>
      </c>
      <c r="D18" t="s">
        <v>18</v>
      </c>
      <c r="E18" s="2">
        <v>5006.72</v>
      </c>
      <c r="F18" s="2">
        <v>221649.57</v>
      </c>
      <c r="G18" s="2"/>
      <c r="H18" s="4">
        <f t="shared" si="0"/>
        <v>221649.57</v>
      </c>
      <c r="I18" s="6">
        <f t="shared" si="1"/>
        <v>2.2588448964732933E-2</v>
      </c>
    </row>
    <row r="19" spans="1:9" ht="30" customHeight="1" x14ac:dyDescent="0.35">
      <c r="A19" t="s">
        <v>62</v>
      </c>
      <c r="B19" t="s">
        <v>63</v>
      </c>
      <c r="C19" t="s">
        <v>51</v>
      </c>
      <c r="D19" t="s">
        <v>50</v>
      </c>
      <c r="E19" s="2">
        <v>387.53</v>
      </c>
      <c r="F19" s="2">
        <v>52200.87</v>
      </c>
      <c r="G19" s="2"/>
      <c r="H19" s="4">
        <f t="shared" si="0"/>
        <v>52200.87</v>
      </c>
      <c r="I19" s="6">
        <f t="shared" si="1"/>
        <v>7.4238226297760924E-3</v>
      </c>
    </row>
    <row r="20" spans="1:9" ht="30" customHeight="1" x14ac:dyDescent="0.35">
      <c r="A20" t="s">
        <v>64</v>
      </c>
      <c r="B20" t="s">
        <v>65</v>
      </c>
      <c r="C20" t="s">
        <v>67</v>
      </c>
      <c r="D20" t="s">
        <v>66</v>
      </c>
      <c r="E20" s="2">
        <v>152109.17000000001</v>
      </c>
      <c r="F20" s="2"/>
      <c r="G20" s="2"/>
      <c r="H20" s="4" t="str">
        <f t="shared" si="0"/>
        <v/>
      </c>
      <c r="I20" s="6" t="str">
        <f t="shared" si="1"/>
        <v/>
      </c>
    </row>
    <row r="21" spans="1:9" ht="30" customHeight="1" x14ac:dyDescent="0.35">
      <c r="A21" t="s">
        <v>68</v>
      </c>
      <c r="B21" t="s">
        <v>69</v>
      </c>
      <c r="C21" t="s">
        <v>33</v>
      </c>
      <c r="D21" t="s">
        <v>32</v>
      </c>
      <c r="E21" s="2">
        <v>186.9</v>
      </c>
      <c r="F21" s="2"/>
      <c r="G21" s="2"/>
      <c r="H21" s="4" t="str">
        <f t="shared" si="0"/>
        <v/>
      </c>
      <c r="I21" s="6" t="str">
        <f t="shared" si="1"/>
        <v/>
      </c>
    </row>
    <row r="22" spans="1:9" ht="30" customHeight="1" x14ac:dyDescent="0.35">
      <c r="A22" t="s">
        <v>70</v>
      </c>
      <c r="B22" t="s">
        <v>71</v>
      </c>
      <c r="C22" t="s">
        <v>73</v>
      </c>
      <c r="D22" t="s">
        <v>72</v>
      </c>
      <c r="E22" s="2">
        <v>109473.77</v>
      </c>
      <c r="F22" s="2"/>
      <c r="G22" s="2"/>
      <c r="H22" s="4" t="str">
        <f t="shared" si="0"/>
        <v/>
      </c>
      <c r="I22" s="6" t="str">
        <f t="shared" si="1"/>
        <v/>
      </c>
    </row>
    <row r="23" spans="1:9" ht="30" customHeight="1" x14ac:dyDescent="0.35">
      <c r="A23" t="s">
        <v>74</v>
      </c>
      <c r="B23" t="s">
        <v>75</v>
      </c>
      <c r="C23" t="s">
        <v>77</v>
      </c>
      <c r="D23" t="s">
        <v>76</v>
      </c>
      <c r="E23" s="2">
        <v>65065.61</v>
      </c>
      <c r="F23" s="2"/>
      <c r="G23" s="2"/>
      <c r="H23" s="4" t="str">
        <f t="shared" si="0"/>
        <v/>
      </c>
      <c r="I23" s="6" t="str">
        <f t="shared" si="1"/>
        <v/>
      </c>
    </row>
    <row r="24" spans="1:9" ht="30" customHeight="1" x14ac:dyDescent="0.35">
      <c r="A24" t="s">
        <v>78</v>
      </c>
      <c r="B24" t="s">
        <v>79</v>
      </c>
      <c r="C24" t="s">
        <v>33</v>
      </c>
      <c r="D24" t="s">
        <v>32</v>
      </c>
      <c r="E24" s="2">
        <v>185197.59</v>
      </c>
      <c r="F24" s="2"/>
      <c r="G24" s="2"/>
      <c r="H24" s="4" t="str">
        <f t="shared" si="0"/>
        <v/>
      </c>
      <c r="I24" s="6" t="str">
        <f t="shared" si="1"/>
        <v/>
      </c>
    </row>
    <row r="25" spans="1:9" ht="30" customHeight="1" x14ac:dyDescent="0.35">
      <c r="A25" t="s">
        <v>80</v>
      </c>
      <c r="B25" t="s">
        <v>81</v>
      </c>
      <c r="C25" t="s">
        <v>33</v>
      </c>
      <c r="D25" t="s">
        <v>32</v>
      </c>
      <c r="E25" s="2">
        <v>305229.83</v>
      </c>
      <c r="F25" s="2"/>
      <c r="G25" s="2"/>
      <c r="H25" s="4" t="str">
        <f t="shared" si="0"/>
        <v/>
      </c>
      <c r="I25" s="6" t="str">
        <f t="shared" si="1"/>
        <v/>
      </c>
    </row>
    <row r="26" spans="1:9" ht="30" customHeight="1" x14ac:dyDescent="0.35">
      <c r="A26" t="s">
        <v>82</v>
      </c>
      <c r="B26" t="s">
        <v>83</v>
      </c>
      <c r="C26" t="s">
        <v>73</v>
      </c>
      <c r="D26" t="s">
        <v>72</v>
      </c>
      <c r="E26" s="2">
        <v>26271.27</v>
      </c>
      <c r="F26" s="2"/>
      <c r="G26" s="2"/>
      <c r="H26" s="4" t="str">
        <f t="shared" si="0"/>
        <v/>
      </c>
      <c r="I26" s="6" t="str">
        <f t="shared" si="1"/>
        <v/>
      </c>
    </row>
    <row r="27" spans="1:9" ht="30" customHeight="1" x14ac:dyDescent="0.35">
      <c r="A27" t="s">
        <v>84</v>
      </c>
      <c r="B27" t="s">
        <v>85</v>
      </c>
      <c r="C27" t="s">
        <v>29</v>
      </c>
      <c r="D27" t="s">
        <v>28</v>
      </c>
      <c r="E27" s="2">
        <v>858</v>
      </c>
      <c r="F27" s="2"/>
      <c r="G27" s="2"/>
      <c r="H27" s="4" t="str">
        <f t="shared" si="0"/>
        <v/>
      </c>
      <c r="I27" s="6" t="str">
        <f t="shared" si="1"/>
        <v/>
      </c>
    </row>
    <row r="28" spans="1:9" ht="30" customHeight="1" x14ac:dyDescent="0.35">
      <c r="A28" t="s">
        <v>86</v>
      </c>
      <c r="B28" t="s">
        <v>87</v>
      </c>
      <c r="C28" t="s">
        <v>73</v>
      </c>
      <c r="D28" t="s">
        <v>72</v>
      </c>
      <c r="E28" s="2">
        <v>3773.67</v>
      </c>
      <c r="F28" s="2"/>
      <c r="G28" s="2"/>
      <c r="H28" s="4" t="str">
        <f t="shared" si="0"/>
        <v/>
      </c>
      <c r="I28" s="6" t="str">
        <f t="shared" si="1"/>
        <v/>
      </c>
    </row>
    <row r="29" spans="1:9" ht="30" customHeight="1" x14ac:dyDescent="0.35">
      <c r="A29" t="s">
        <v>88</v>
      </c>
      <c r="B29" t="s">
        <v>89</v>
      </c>
      <c r="C29" t="s">
        <v>19</v>
      </c>
      <c r="D29" t="s">
        <v>18</v>
      </c>
      <c r="E29" s="2">
        <v>2084.15</v>
      </c>
      <c r="F29" s="2"/>
      <c r="G29" s="2"/>
      <c r="H29" s="4" t="str">
        <f t="shared" si="0"/>
        <v/>
      </c>
      <c r="I29" s="6" t="str">
        <f t="shared" si="1"/>
        <v/>
      </c>
    </row>
    <row r="30" spans="1:9" ht="30" customHeight="1" x14ac:dyDescent="0.35">
      <c r="A30" t="s">
        <v>90</v>
      </c>
      <c r="B30" t="s">
        <v>91</v>
      </c>
      <c r="C30" t="s">
        <v>29</v>
      </c>
      <c r="D30" t="s">
        <v>28</v>
      </c>
      <c r="E30" s="2">
        <v>2738.09</v>
      </c>
      <c r="F30" s="2">
        <v>40014.85</v>
      </c>
      <c r="G30" s="2"/>
      <c r="H30" s="4">
        <f t="shared" si="0"/>
        <v>40014.85</v>
      </c>
      <c r="I30" s="6">
        <f t="shared" si="1"/>
        <v>6.8426846533224547E-2</v>
      </c>
    </row>
    <row r="31" spans="1:9" ht="30" customHeight="1" x14ac:dyDescent="0.35">
      <c r="A31" t="s">
        <v>92</v>
      </c>
      <c r="B31" t="s">
        <v>93</v>
      </c>
      <c r="C31" t="s">
        <v>29</v>
      </c>
      <c r="D31" t="s">
        <v>28</v>
      </c>
      <c r="E31" s="2">
        <v>8.0299999999999994</v>
      </c>
      <c r="F31" s="2"/>
      <c r="G31" s="2"/>
      <c r="H31" s="4" t="str">
        <f t="shared" si="0"/>
        <v/>
      </c>
      <c r="I31" s="6" t="str">
        <f t="shared" si="1"/>
        <v/>
      </c>
    </row>
    <row r="32" spans="1:9" ht="30" customHeight="1" x14ac:dyDescent="0.35">
      <c r="A32" t="s">
        <v>94</v>
      </c>
      <c r="B32" t="s">
        <v>95</v>
      </c>
      <c r="C32" t="s">
        <v>19</v>
      </c>
      <c r="D32" t="s">
        <v>18</v>
      </c>
      <c r="E32" s="2">
        <v>227.52</v>
      </c>
      <c r="F32" s="2"/>
      <c r="G32" s="2"/>
      <c r="H32" s="4" t="str">
        <f t="shared" si="0"/>
        <v/>
      </c>
      <c r="I32" s="6" t="str">
        <f t="shared" si="1"/>
        <v/>
      </c>
    </row>
    <row r="33" spans="1:9" ht="30" customHeight="1" x14ac:dyDescent="0.35">
      <c r="A33" t="s">
        <v>96</v>
      </c>
      <c r="B33" t="s">
        <v>97</v>
      </c>
      <c r="C33" t="s">
        <v>41</v>
      </c>
      <c r="D33" t="s">
        <v>40</v>
      </c>
      <c r="E33" s="2">
        <v>267819.74</v>
      </c>
      <c r="F33" s="2"/>
      <c r="G33" s="2"/>
      <c r="H33" s="4" t="str">
        <f t="shared" si="0"/>
        <v/>
      </c>
      <c r="I33" s="6" t="str">
        <f t="shared" si="1"/>
        <v/>
      </c>
    </row>
    <row r="34" spans="1:9" ht="30" customHeight="1" x14ac:dyDescent="0.35">
      <c r="A34" t="s">
        <v>98</v>
      </c>
      <c r="B34" t="s">
        <v>99</v>
      </c>
      <c r="C34" t="s">
        <v>101</v>
      </c>
      <c r="D34" t="s">
        <v>100</v>
      </c>
      <c r="E34" s="2">
        <v>2141560.44</v>
      </c>
      <c r="F34" s="2">
        <v>1713695.08</v>
      </c>
      <c r="G34" s="2"/>
      <c r="H34" s="4">
        <f t="shared" si="0"/>
        <v>1713695.08</v>
      </c>
      <c r="I34" s="6">
        <f t="shared" si="1"/>
        <v>1.2496741485655662</v>
      </c>
    </row>
    <row r="35" spans="1:9" ht="30" customHeight="1" x14ac:dyDescent="0.35">
      <c r="A35" t="s">
        <v>102</v>
      </c>
      <c r="B35" t="s">
        <v>103</v>
      </c>
      <c r="C35" t="s">
        <v>101</v>
      </c>
      <c r="D35" t="s">
        <v>100</v>
      </c>
      <c r="E35" s="2">
        <v>632211.49</v>
      </c>
      <c r="F35" s="2"/>
      <c r="G35" s="2"/>
      <c r="H35" s="4" t="str">
        <f t="shared" si="0"/>
        <v/>
      </c>
      <c r="I35" s="6" t="str">
        <f t="shared" si="1"/>
        <v/>
      </c>
    </row>
    <row r="36" spans="1:9" ht="30" customHeight="1" x14ac:dyDescent="0.35">
      <c r="A36" t="s">
        <v>104</v>
      </c>
      <c r="B36" t="s">
        <v>105</v>
      </c>
      <c r="C36" t="s">
        <v>29</v>
      </c>
      <c r="D36" t="s">
        <v>28</v>
      </c>
      <c r="E36" s="2">
        <v>37346.589999999997</v>
      </c>
      <c r="F36" s="2"/>
      <c r="G36" s="2"/>
      <c r="H36" s="4" t="str">
        <f t="shared" si="0"/>
        <v/>
      </c>
      <c r="I36" s="6" t="str">
        <f t="shared" si="1"/>
        <v/>
      </c>
    </row>
    <row r="37" spans="1:9" ht="30" customHeight="1" x14ac:dyDescent="0.35">
      <c r="A37" t="s">
        <v>106</v>
      </c>
      <c r="B37" t="s">
        <v>107</v>
      </c>
      <c r="C37" t="s">
        <v>109</v>
      </c>
      <c r="D37" t="s">
        <v>108</v>
      </c>
      <c r="E37" s="2">
        <v>110593.52</v>
      </c>
      <c r="F37" s="2"/>
      <c r="G37" s="2"/>
      <c r="H37" s="4" t="str">
        <f t="shared" si="0"/>
        <v/>
      </c>
      <c r="I37" s="6" t="str">
        <f t="shared" si="1"/>
        <v/>
      </c>
    </row>
    <row r="38" spans="1:9" ht="30" customHeight="1" x14ac:dyDescent="0.35">
      <c r="A38" t="s">
        <v>110</v>
      </c>
      <c r="B38" t="s">
        <v>111</v>
      </c>
      <c r="C38" t="s">
        <v>33</v>
      </c>
      <c r="D38" t="s">
        <v>32</v>
      </c>
      <c r="E38" s="2">
        <v>7773376.2999999998</v>
      </c>
      <c r="F38" s="2"/>
      <c r="G38" s="2"/>
      <c r="H38" s="4" t="str">
        <f t="shared" si="0"/>
        <v/>
      </c>
      <c r="I38" s="6" t="str">
        <f t="shared" si="1"/>
        <v/>
      </c>
    </row>
    <row r="39" spans="1:9" ht="30" customHeight="1" x14ac:dyDescent="0.35">
      <c r="A39" t="s">
        <v>112</v>
      </c>
      <c r="B39" t="s">
        <v>113</v>
      </c>
      <c r="C39" t="s">
        <v>15</v>
      </c>
      <c r="D39" t="s">
        <v>14</v>
      </c>
      <c r="E39" s="2">
        <v>342320.23</v>
      </c>
      <c r="F39" s="2">
        <v>0</v>
      </c>
      <c r="G39" s="2">
        <v>100000</v>
      </c>
      <c r="H39" s="4">
        <f t="shared" si="0"/>
        <v>100000</v>
      </c>
      <c r="I39" s="6">
        <f t="shared" si="1"/>
        <v>3.4232022999999998</v>
      </c>
    </row>
    <row r="40" spans="1:9" ht="30" customHeight="1" x14ac:dyDescent="0.35">
      <c r="A40" t="s">
        <v>114</v>
      </c>
      <c r="B40" t="s">
        <v>115</v>
      </c>
      <c r="C40" t="s">
        <v>19</v>
      </c>
      <c r="D40" t="s">
        <v>18</v>
      </c>
      <c r="E40" s="2">
        <v>340.72</v>
      </c>
      <c r="F40" s="2"/>
      <c r="G40" s="2"/>
      <c r="H40" s="4" t="str">
        <f t="shared" si="0"/>
        <v/>
      </c>
      <c r="I40" s="6" t="str">
        <f t="shared" si="1"/>
        <v/>
      </c>
    </row>
    <row r="41" spans="1:9" ht="30" customHeight="1" x14ac:dyDescent="0.35">
      <c r="A41" t="s">
        <v>116</v>
      </c>
      <c r="B41" t="s">
        <v>117</v>
      </c>
      <c r="C41" t="s">
        <v>77</v>
      </c>
      <c r="D41" t="s">
        <v>76</v>
      </c>
      <c r="E41" s="2">
        <v>1212.2</v>
      </c>
      <c r="F41" s="2">
        <v>0</v>
      </c>
      <c r="G41" s="2">
        <v>200000</v>
      </c>
      <c r="H41" s="4">
        <f t="shared" si="0"/>
        <v>200000</v>
      </c>
      <c r="I41" s="6">
        <f t="shared" si="1"/>
        <v>6.0610000000000004E-3</v>
      </c>
    </row>
    <row r="42" spans="1:9" ht="30" customHeight="1" x14ac:dyDescent="0.35">
      <c r="A42" t="s">
        <v>118</v>
      </c>
      <c r="B42" t="s">
        <v>119</v>
      </c>
      <c r="C42" t="s">
        <v>121</v>
      </c>
      <c r="D42" t="s">
        <v>120</v>
      </c>
      <c r="E42" s="2">
        <v>286.32</v>
      </c>
      <c r="F42" s="2">
        <v>156129.01</v>
      </c>
      <c r="G42" s="2"/>
      <c r="H42" s="4">
        <f t="shared" si="0"/>
        <v>156129.01</v>
      </c>
      <c r="I42" s="6">
        <f t="shared" si="1"/>
        <v>1.8338680300349049E-3</v>
      </c>
    </row>
    <row r="43" spans="1:9" ht="30" customHeight="1" x14ac:dyDescent="0.35">
      <c r="A43" t="s">
        <v>122</v>
      </c>
      <c r="B43" t="s">
        <v>123</v>
      </c>
      <c r="C43" t="s">
        <v>33</v>
      </c>
      <c r="D43" t="s">
        <v>32</v>
      </c>
      <c r="E43" s="2">
        <v>3145.28</v>
      </c>
      <c r="F43" s="2">
        <v>155231.25</v>
      </c>
      <c r="G43" s="2"/>
      <c r="H43" s="4">
        <f t="shared" si="0"/>
        <v>155231.25</v>
      </c>
      <c r="I43" s="6">
        <f t="shared" si="1"/>
        <v>2.0261899585296131E-2</v>
      </c>
    </row>
    <row r="44" spans="1:9" ht="30" customHeight="1" x14ac:dyDescent="0.35">
      <c r="A44" t="s">
        <v>124</v>
      </c>
      <c r="B44" t="s">
        <v>125</v>
      </c>
      <c r="C44" t="s">
        <v>19</v>
      </c>
      <c r="D44" t="s">
        <v>18</v>
      </c>
      <c r="E44" s="2">
        <v>755.84</v>
      </c>
      <c r="F44" s="2">
        <v>227026.44</v>
      </c>
      <c r="G44" s="2">
        <v>27550</v>
      </c>
      <c r="H44" s="4">
        <f t="shared" si="0"/>
        <v>254576.44</v>
      </c>
      <c r="I44" s="6">
        <f t="shared" si="1"/>
        <v>2.9690100152237183E-3</v>
      </c>
    </row>
    <row r="45" spans="1:9" ht="30" customHeight="1" x14ac:dyDescent="0.35">
      <c r="A45" t="s">
        <v>126</v>
      </c>
      <c r="B45" t="s">
        <v>127</v>
      </c>
      <c r="C45" t="s">
        <v>19</v>
      </c>
      <c r="D45" t="s">
        <v>18</v>
      </c>
      <c r="E45" s="2">
        <v>12070.15</v>
      </c>
      <c r="F45" s="2">
        <v>148580.03</v>
      </c>
      <c r="G45" s="2">
        <v>1300</v>
      </c>
      <c r="H45" s="4">
        <f t="shared" si="0"/>
        <v>149880.03</v>
      </c>
      <c r="I45" s="6">
        <f t="shared" si="1"/>
        <v>8.0532076221228405E-2</v>
      </c>
    </row>
    <row r="46" spans="1:9" ht="30" customHeight="1" x14ac:dyDescent="0.35">
      <c r="A46" t="s">
        <v>128</v>
      </c>
      <c r="B46" t="s">
        <v>129</v>
      </c>
      <c r="C46" t="s">
        <v>57</v>
      </c>
      <c r="D46" t="s">
        <v>56</v>
      </c>
      <c r="E46" s="2">
        <v>9198.82</v>
      </c>
      <c r="F46" s="2">
        <v>139288.76999999999</v>
      </c>
      <c r="G46" s="2"/>
      <c r="H46" s="4">
        <f t="shared" si="0"/>
        <v>139288.76999999999</v>
      </c>
      <c r="I46" s="6">
        <f t="shared" si="1"/>
        <v>6.6041361410543009E-2</v>
      </c>
    </row>
    <row r="47" spans="1:9" ht="30" customHeight="1" x14ac:dyDescent="0.35">
      <c r="A47" t="s">
        <v>130</v>
      </c>
      <c r="B47" t="s">
        <v>131</v>
      </c>
      <c r="C47" t="s">
        <v>19</v>
      </c>
      <c r="D47" t="s">
        <v>18</v>
      </c>
      <c r="E47" s="2">
        <v>177.18</v>
      </c>
      <c r="F47" s="2"/>
      <c r="G47" s="2"/>
      <c r="H47" s="4" t="str">
        <f t="shared" si="0"/>
        <v/>
      </c>
      <c r="I47" s="6" t="str">
        <f t="shared" si="1"/>
        <v/>
      </c>
    </row>
    <row r="48" spans="1:9" ht="30" customHeight="1" x14ac:dyDescent="0.35">
      <c r="A48" t="s">
        <v>132</v>
      </c>
      <c r="B48" t="s">
        <v>133</v>
      </c>
      <c r="C48" t="s">
        <v>51</v>
      </c>
      <c r="D48" t="s">
        <v>50</v>
      </c>
      <c r="E48" s="2">
        <v>205.67</v>
      </c>
      <c r="F48" s="2">
        <v>135826.35999999999</v>
      </c>
      <c r="G48" s="2">
        <v>1173.6400000000001</v>
      </c>
      <c r="H48" s="4">
        <f t="shared" si="0"/>
        <v>137000</v>
      </c>
      <c r="I48" s="6">
        <f t="shared" si="1"/>
        <v>1.5012408759124086E-3</v>
      </c>
    </row>
    <row r="49" spans="1:9" ht="30" customHeight="1" x14ac:dyDescent="0.35">
      <c r="A49" t="s">
        <v>134</v>
      </c>
      <c r="B49" t="s">
        <v>135</v>
      </c>
      <c r="C49" t="s">
        <v>51</v>
      </c>
      <c r="D49" t="s">
        <v>50</v>
      </c>
      <c r="E49" s="2">
        <v>-288.48</v>
      </c>
      <c r="F49" s="2">
        <v>118560.39</v>
      </c>
      <c r="G49" s="2"/>
      <c r="H49" s="4">
        <f t="shared" si="0"/>
        <v>118560.39</v>
      </c>
      <c r="I49" s="6">
        <f t="shared" si="1"/>
        <v>-2.4331903766510892E-3</v>
      </c>
    </row>
    <row r="50" spans="1:9" ht="30" customHeight="1" x14ac:dyDescent="0.35">
      <c r="A50" t="s">
        <v>136</v>
      </c>
      <c r="B50" t="s">
        <v>137</v>
      </c>
      <c r="C50" t="s">
        <v>51</v>
      </c>
      <c r="D50" t="s">
        <v>50</v>
      </c>
      <c r="E50" s="2">
        <v>64086.83</v>
      </c>
      <c r="F50" s="2"/>
      <c r="G50" s="2"/>
      <c r="H50" s="4" t="str">
        <f t="shared" si="0"/>
        <v/>
      </c>
      <c r="I50" s="6" t="str">
        <f t="shared" si="1"/>
        <v/>
      </c>
    </row>
    <row r="51" spans="1:9" ht="30" customHeight="1" x14ac:dyDescent="0.35">
      <c r="A51" t="s">
        <v>138</v>
      </c>
      <c r="B51" t="s">
        <v>139</v>
      </c>
      <c r="C51" t="s">
        <v>77</v>
      </c>
      <c r="D51" t="s">
        <v>76</v>
      </c>
      <c r="E51" s="2">
        <v>104546.2</v>
      </c>
      <c r="F51" s="2"/>
      <c r="G51" s="2"/>
      <c r="H51" s="4" t="str">
        <f t="shared" si="0"/>
        <v/>
      </c>
      <c r="I51" s="6" t="str">
        <f t="shared" si="1"/>
        <v/>
      </c>
    </row>
    <row r="52" spans="1:9" ht="30" customHeight="1" x14ac:dyDescent="0.35">
      <c r="A52" t="s">
        <v>140</v>
      </c>
      <c r="B52" t="s">
        <v>141</v>
      </c>
      <c r="C52" t="s">
        <v>57</v>
      </c>
      <c r="D52" t="s">
        <v>56</v>
      </c>
      <c r="E52" s="2">
        <v>24177.54</v>
      </c>
      <c r="F52" s="2"/>
      <c r="G52" s="2"/>
      <c r="H52" s="4" t="str">
        <f t="shared" si="0"/>
        <v/>
      </c>
      <c r="I52" s="6" t="str">
        <f t="shared" si="1"/>
        <v/>
      </c>
    </row>
    <row r="53" spans="1:9" ht="30" customHeight="1" x14ac:dyDescent="0.35">
      <c r="A53" t="s">
        <v>142</v>
      </c>
      <c r="B53" t="s">
        <v>143</v>
      </c>
      <c r="C53" t="s">
        <v>51</v>
      </c>
      <c r="D53" t="s">
        <v>50</v>
      </c>
      <c r="E53" s="2">
        <v>120746.65</v>
      </c>
      <c r="F53" s="2"/>
      <c r="G53" s="2"/>
      <c r="H53" s="4" t="str">
        <f t="shared" si="0"/>
        <v/>
      </c>
      <c r="I53" s="6" t="str">
        <f t="shared" si="1"/>
        <v/>
      </c>
    </row>
    <row r="54" spans="1:9" ht="30" customHeight="1" x14ac:dyDescent="0.35">
      <c r="A54" t="s">
        <v>144</v>
      </c>
      <c r="B54" t="s">
        <v>145</v>
      </c>
      <c r="C54" t="s">
        <v>19</v>
      </c>
      <c r="D54" t="s">
        <v>18</v>
      </c>
      <c r="E54" s="2">
        <v>224672.72</v>
      </c>
      <c r="F54" s="2">
        <v>0</v>
      </c>
      <c r="G54" s="2">
        <v>2500</v>
      </c>
      <c r="H54" s="4">
        <f t="shared" si="0"/>
        <v>2500</v>
      </c>
      <c r="I54" s="6">
        <f t="shared" si="1"/>
        <v>89.869088000000005</v>
      </c>
    </row>
    <row r="55" spans="1:9" ht="30" customHeight="1" x14ac:dyDescent="0.35">
      <c r="A55" t="s">
        <v>146</v>
      </c>
      <c r="B55" t="s">
        <v>147</v>
      </c>
      <c r="C55" t="s">
        <v>19</v>
      </c>
      <c r="D55" t="s">
        <v>18</v>
      </c>
      <c r="E55" s="2">
        <v>332073.3</v>
      </c>
      <c r="F55" s="2">
        <v>502.9</v>
      </c>
      <c r="G55" s="2">
        <v>497.1</v>
      </c>
      <c r="H55" s="4">
        <f t="shared" si="0"/>
        <v>1000</v>
      </c>
      <c r="I55" s="6">
        <f t="shared" si="1"/>
        <v>332.07329999999996</v>
      </c>
    </row>
    <row r="56" spans="1:9" ht="30" customHeight="1" x14ac:dyDescent="0.35">
      <c r="A56" t="s">
        <v>148</v>
      </c>
      <c r="B56" t="s">
        <v>149</v>
      </c>
      <c r="C56" t="s">
        <v>77</v>
      </c>
      <c r="D56" t="s">
        <v>76</v>
      </c>
      <c r="E56" s="2">
        <v>31011.4</v>
      </c>
      <c r="F56" s="2">
        <v>58402.04</v>
      </c>
      <c r="G56" s="2">
        <v>191597.96</v>
      </c>
      <c r="H56" s="4">
        <f t="shared" si="0"/>
        <v>250000</v>
      </c>
      <c r="I56" s="6">
        <f t="shared" si="1"/>
        <v>0.12404560000000001</v>
      </c>
    </row>
    <row r="57" spans="1:9" ht="30" customHeight="1" x14ac:dyDescent="0.35">
      <c r="A57" t="s">
        <v>150</v>
      </c>
      <c r="B57" t="s">
        <v>151</v>
      </c>
      <c r="C57" t="s">
        <v>19</v>
      </c>
      <c r="D57" t="s">
        <v>18</v>
      </c>
      <c r="E57" s="2">
        <v>16494.84</v>
      </c>
      <c r="F57" s="2"/>
      <c r="G57" s="2"/>
      <c r="H57" s="4" t="str">
        <f t="shared" si="0"/>
        <v/>
      </c>
      <c r="I57" s="6" t="str">
        <f t="shared" si="1"/>
        <v/>
      </c>
    </row>
    <row r="58" spans="1:9" ht="30" customHeight="1" x14ac:dyDescent="0.35">
      <c r="A58" t="s">
        <v>152</v>
      </c>
      <c r="B58" t="s">
        <v>153</v>
      </c>
      <c r="C58" t="s">
        <v>109</v>
      </c>
      <c r="D58" t="s">
        <v>108</v>
      </c>
      <c r="E58" s="2">
        <v>115343.22</v>
      </c>
      <c r="F58" s="2"/>
      <c r="G58" s="2"/>
      <c r="H58" s="4" t="str">
        <f t="shared" si="0"/>
        <v/>
      </c>
      <c r="I58" s="6" t="str">
        <f t="shared" si="1"/>
        <v/>
      </c>
    </row>
    <row r="59" spans="1:9" ht="30" customHeight="1" x14ac:dyDescent="0.35">
      <c r="A59" t="s">
        <v>154</v>
      </c>
      <c r="B59" t="s">
        <v>155</v>
      </c>
      <c r="C59" t="s">
        <v>51</v>
      </c>
      <c r="D59" t="s">
        <v>50</v>
      </c>
      <c r="E59" s="2">
        <v>315066.84999999998</v>
      </c>
      <c r="F59" s="2"/>
      <c r="G59" s="2"/>
      <c r="H59" s="4" t="str">
        <f t="shared" si="0"/>
        <v/>
      </c>
      <c r="I59" s="6" t="str">
        <f t="shared" si="1"/>
        <v/>
      </c>
    </row>
    <row r="60" spans="1:9" ht="30" customHeight="1" x14ac:dyDescent="0.35">
      <c r="A60" t="s">
        <v>156</v>
      </c>
      <c r="B60" t="s">
        <v>157</v>
      </c>
      <c r="C60" t="s">
        <v>109</v>
      </c>
      <c r="D60" t="s">
        <v>108</v>
      </c>
      <c r="E60" s="2">
        <v>29656.18</v>
      </c>
      <c r="F60" s="2"/>
      <c r="G60" s="2"/>
      <c r="H60" s="4" t="str">
        <f t="shared" si="0"/>
        <v/>
      </c>
      <c r="I60" s="6" t="str">
        <f t="shared" si="1"/>
        <v/>
      </c>
    </row>
    <row r="61" spans="1:9" ht="30" customHeight="1" x14ac:dyDescent="0.35">
      <c r="A61" t="s">
        <v>158</v>
      </c>
      <c r="B61" t="s">
        <v>159</v>
      </c>
      <c r="C61" t="s">
        <v>51</v>
      </c>
      <c r="D61" t="s">
        <v>50</v>
      </c>
      <c r="E61" s="2">
        <v>12793.21</v>
      </c>
      <c r="F61" s="2"/>
      <c r="G61" s="2"/>
      <c r="H61" s="4" t="str">
        <f t="shared" si="0"/>
        <v/>
      </c>
      <c r="I61" s="6" t="str">
        <f t="shared" si="1"/>
        <v/>
      </c>
    </row>
    <row r="62" spans="1:9" ht="30" customHeight="1" x14ac:dyDescent="0.35">
      <c r="A62" t="s">
        <v>160</v>
      </c>
      <c r="B62" t="s">
        <v>161</v>
      </c>
      <c r="C62" t="s">
        <v>19</v>
      </c>
      <c r="D62" t="s">
        <v>18</v>
      </c>
      <c r="E62" s="2">
        <v>41804.25</v>
      </c>
      <c r="F62" s="2"/>
      <c r="G62" s="2"/>
      <c r="H62" s="4" t="str">
        <f t="shared" si="0"/>
        <v/>
      </c>
      <c r="I62" s="6" t="str">
        <f t="shared" si="1"/>
        <v/>
      </c>
    </row>
    <row r="63" spans="1:9" ht="30" customHeight="1" x14ac:dyDescent="0.35">
      <c r="A63" t="s">
        <v>162</v>
      </c>
      <c r="B63" t="s">
        <v>163</v>
      </c>
      <c r="C63" t="s">
        <v>51</v>
      </c>
      <c r="D63" t="s">
        <v>50</v>
      </c>
      <c r="E63" s="2">
        <v>17357.13</v>
      </c>
      <c r="F63" s="2"/>
      <c r="G63" s="2"/>
      <c r="H63" s="4" t="str">
        <f t="shared" si="0"/>
        <v/>
      </c>
      <c r="I63" s="6" t="str">
        <f t="shared" si="1"/>
        <v/>
      </c>
    </row>
    <row r="64" spans="1:9" ht="30" customHeight="1" x14ac:dyDescent="0.35">
      <c r="A64" t="s">
        <v>164</v>
      </c>
      <c r="B64" t="s">
        <v>165</v>
      </c>
      <c r="C64" t="s">
        <v>51</v>
      </c>
      <c r="D64" t="s">
        <v>50</v>
      </c>
      <c r="E64" s="2">
        <v>7651.16</v>
      </c>
      <c r="F64" s="2"/>
      <c r="G64" s="2"/>
      <c r="H64" s="4" t="str">
        <f t="shared" si="0"/>
        <v/>
      </c>
      <c r="I64" s="6" t="str">
        <f t="shared" si="1"/>
        <v/>
      </c>
    </row>
    <row r="65" spans="1:9" ht="30" customHeight="1" x14ac:dyDescent="0.35">
      <c r="A65" t="s">
        <v>166</v>
      </c>
      <c r="B65" t="s">
        <v>167</v>
      </c>
      <c r="C65" t="s">
        <v>51</v>
      </c>
      <c r="D65" t="s">
        <v>50</v>
      </c>
      <c r="E65" s="2">
        <v>154088.25</v>
      </c>
      <c r="F65" s="2"/>
      <c r="G65" s="2"/>
      <c r="H65" s="4" t="str">
        <f t="shared" si="0"/>
        <v/>
      </c>
      <c r="I65" s="6" t="str">
        <f t="shared" si="1"/>
        <v/>
      </c>
    </row>
    <row r="66" spans="1:9" ht="30" customHeight="1" x14ac:dyDescent="0.35">
      <c r="A66" t="s">
        <v>168</v>
      </c>
      <c r="B66" t="s">
        <v>169</v>
      </c>
      <c r="C66" t="s">
        <v>51</v>
      </c>
      <c r="D66" t="s">
        <v>50</v>
      </c>
      <c r="E66" s="2">
        <v>1293.8900000000001</v>
      </c>
      <c r="F66" s="2"/>
      <c r="G66" s="2"/>
      <c r="H66" s="4" t="str">
        <f t="shared" si="0"/>
        <v/>
      </c>
      <c r="I66" s="6" t="str">
        <f t="shared" si="1"/>
        <v/>
      </c>
    </row>
    <row r="67" spans="1:9" ht="30" customHeight="1" x14ac:dyDescent="0.35">
      <c r="A67" t="s">
        <v>170</v>
      </c>
      <c r="B67" t="s">
        <v>171</v>
      </c>
      <c r="C67" t="s">
        <v>51</v>
      </c>
      <c r="D67" t="s">
        <v>50</v>
      </c>
      <c r="E67" s="2">
        <v>351751.02</v>
      </c>
      <c r="F67" s="2"/>
      <c r="G67" s="2"/>
      <c r="H67" s="4" t="str">
        <f t="shared" ref="H67:H130" si="2">IF(ISBLANK(F67),"",(F67+G67))</f>
        <v/>
      </c>
      <c r="I67" s="6" t="str">
        <f t="shared" ref="I67:I130" si="3">IF(ISBLANK(F67), "", E67/H67)</f>
        <v/>
      </c>
    </row>
    <row r="68" spans="1:9" ht="30" customHeight="1" x14ac:dyDescent="0.35">
      <c r="A68" t="s">
        <v>172</v>
      </c>
      <c r="B68" t="s">
        <v>173</v>
      </c>
      <c r="C68" t="s">
        <v>51</v>
      </c>
      <c r="D68" t="s">
        <v>50</v>
      </c>
      <c r="E68" s="2">
        <v>32128.04</v>
      </c>
      <c r="F68" s="2"/>
      <c r="G68" s="2"/>
      <c r="H68" s="4" t="str">
        <f t="shared" si="2"/>
        <v/>
      </c>
      <c r="I68" s="6" t="str">
        <f t="shared" si="3"/>
        <v/>
      </c>
    </row>
    <row r="69" spans="1:9" ht="30" customHeight="1" x14ac:dyDescent="0.35">
      <c r="A69" t="s">
        <v>174</v>
      </c>
      <c r="B69" t="s">
        <v>175</v>
      </c>
      <c r="C69" t="s">
        <v>19</v>
      </c>
      <c r="D69" t="s">
        <v>18</v>
      </c>
      <c r="E69" s="2">
        <v>527.79999999999995</v>
      </c>
      <c r="F69" s="2"/>
      <c r="G69" s="2"/>
      <c r="H69" s="4" t="str">
        <f t="shared" si="2"/>
        <v/>
      </c>
      <c r="I69" s="6" t="str">
        <f t="shared" si="3"/>
        <v/>
      </c>
    </row>
    <row r="70" spans="1:9" ht="30" customHeight="1" x14ac:dyDescent="0.35">
      <c r="A70" t="s">
        <v>176</v>
      </c>
      <c r="B70" t="s">
        <v>177</v>
      </c>
      <c r="C70" t="s">
        <v>51</v>
      </c>
      <c r="D70" t="s">
        <v>50</v>
      </c>
      <c r="E70" s="2">
        <v>141604.20000000001</v>
      </c>
      <c r="F70" s="2"/>
      <c r="G70" s="2"/>
      <c r="H70" s="4" t="str">
        <f t="shared" si="2"/>
        <v/>
      </c>
      <c r="I70" s="6" t="str">
        <f t="shared" si="3"/>
        <v/>
      </c>
    </row>
    <row r="71" spans="1:9" ht="30" customHeight="1" x14ac:dyDescent="0.35">
      <c r="A71" t="s">
        <v>178</v>
      </c>
      <c r="B71" t="s">
        <v>179</v>
      </c>
      <c r="C71" t="s">
        <v>57</v>
      </c>
      <c r="D71" t="s">
        <v>56</v>
      </c>
      <c r="E71" s="2">
        <v>2733590.87</v>
      </c>
      <c r="F71" s="2"/>
      <c r="G71" s="2"/>
      <c r="H71" s="4" t="str">
        <f t="shared" si="2"/>
        <v/>
      </c>
      <c r="I71" s="6" t="str">
        <f t="shared" si="3"/>
        <v/>
      </c>
    </row>
    <row r="72" spans="1:9" ht="30" customHeight="1" x14ac:dyDescent="0.35">
      <c r="A72" t="s">
        <v>180</v>
      </c>
      <c r="B72" t="s">
        <v>181</v>
      </c>
      <c r="C72" t="s">
        <v>51</v>
      </c>
      <c r="D72" t="s">
        <v>50</v>
      </c>
      <c r="E72" s="2">
        <v>236340.52</v>
      </c>
      <c r="F72" s="2"/>
      <c r="G72" s="2"/>
      <c r="H72" s="4" t="str">
        <f t="shared" si="2"/>
        <v/>
      </c>
      <c r="I72" s="6" t="str">
        <f t="shared" si="3"/>
        <v/>
      </c>
    </row>
    <row r="73" spans="1:9" ht="30" customHeight="1" x14ac:dyDescent="0.35">
      <c r="A73" t="s">
        <v>182</v>
      </c>
      <c r="B73" t="s">
        <v>183</v>
      </c>
      <c r="C73" t="s">
        <v>185</v>
      </c>
      <c r="D73" t="s">
        <v>184</v>
      </c>
      <c r="E73" s="2">
        <v>4815.37</v>
      </c>
      <c r="F73" s="2">
        <v>336675.82</v>
      </c>
      <c r="G73" s="2"/>
      <c r="H73" s="4">
        <f t="shared" si="2"/>
        <v>336675.82</v>
      </c>
      <c r="I73" s="6">
        <f t="shared" si="3"/>
        <v>1.4302690344676371E-2</v>
      </c>
    </row>
    <row r="74" spans="1:9" ht="30" customHeight="1" x14ac:dyDescent="0.35">
      <c r="A74" t="s">
        <v>186</v>
      </c>
      <c r="B74" t="s">
        <v>187</v>
      </c>
      <c r="C74" t="s">
        <v>19</v>
      </c>
      <c r="D74" t="s">
        <v>18</v>
      </c>
      <c r="E74" s="2">
        <v>3991.07</v>
      </c>
      <c r="F74" s="2">
        <v>542136.54</v>
      </c>
      <c r="G74" s="2">
        <v>85363.46</v>
      </c>
      <c r="H74" s="4">
        <f t="shared" si="2"/>
        <v>627500</v>
      </c>
      <c r="I74" s="6">
        <f t="shared" si="3"/>
        <v>6.3602709163346613E-3</v>
      </c>
    </row>
    <row r="75" spans="1:9" ht="30" customHeight="1" x14ac:dyDescent="0.35">
      <c r="A75" t="s">
        <v>188</v>
      </c>
      <c r="B75" t="s">
        <v>189</v>
      </c>
      <c r="C75" t="s">
        <v>77</v>
      </c>
      <c r="D75" t="s">
        <v>76</v>
      </c>
      <c r="E75" s="2">
        <v>1182.82</v>
      </c>
      <c r="F75" s="2">
        <v>254516.93</v>
      </c>
      <c r="G75" s="2">
        <v>583.91</v>
      </c>
      <c r="H75" s="4">
        <f t="shared" si="2"/>
        <v>255100.84</v>
      </c>
      <c r="I75" s="6">
        <f t="shared" si="3"/>
        <v>4.63667622576233E-3</v>
      </c>
    </row>
    <row r="76" spans="1:9" ht="30" customHeight="1" x14ac:dyDescent="0.35">
      <c r="A76" t="s">
        <v>190</v>
      </c>
      <c r="B76" t="s">
        <v>191</v>
      </c>
      <c r="C76" t="s">
        <v>51</v>
      </c>
      <c r="D76" t="s">
        <v>50</v>
      </c>
      <c r="E76" s="2">
        <v>35189.07</v>
      </c>
      <c r="F76" s="2"/>
      <c r="G76" s="2"/>
      <c r="H76" s="4" t="str">
        <f t="shared" si="2"/>
        <v/>
      </c>
      <c r="I76" s="6" t="str">
        <f t="shared" si="3"/>
        <v/>
      </c>
    </row>
    <row r="77" spans="1:9" ht="30" customHeight="1" x14ac:dyDescent="0.35">
      <c r="A77" t="s">
        <v>192</v>
      </c>
      <c r="B77" t="s">
        <v>193</v>
      </c>
      <c r="C77" t="s">
        <v>15</v>
      </c>
      <c r="D77" t="s">
        <v>14</v>
      </c>
      <c r="E77" s="2">
        <v>1324732.1399999999</v>
      </c>
      <c r="F77" s="2">
        <v>206760.95</v>
      </c>
      <c r="G77" s="2">
        <v>294239.05</v>
      </c>
      <c r="H77" s="4">
        <f t="shared" si="2"/>
        <v>501000</v>
      </c>
      <c r="I77" s="6">
        <f t="shared" si="3"/>
        <v>2.6441759281437123</v>
      </c>
    </row>
    <row r="78" spans="1:9" ht="30" customHeight="1" x14ac:dyDescent="0.35">
      <c r="A78" t="s">
        <v>194</v>
      </c>
      <c r="B78" t="s">
        <v>195</v>
      </c>
      <c r="C78" t="s">
        <v>19</v>
      </c>
      <c r="D78" t="s">
        <v>18</v>
      </c>
      <c r="E78" s="2">
        <v>869103.75</v>
      </c>
      <c r="F78" s="2"/>
      <c r="G78" s="2"/>
      <c r="H78" s="4" t="str">
        <f t="shared" si="2"/>
        <v/>
      </c>
      <c r="I78" s="6" t="str">
        <f t="shared" si="3"/>
        <v/>
      </c>
    </row>
    <row r="79" spans="1:9" ht="30" customHeight="1" x14ac:dyDescent="0.35">
      <c r="A79" t="s">
        <v>196</v>
      </c>
      <c r="B79" t="s">
        <v>197</v>
      </c>
      <c r="C79" t="s">
        <v>51</v>
      </c>
      <c r="D79" t="s">
        <v>50</v>
      </c>
      <c r="E79" s="2">
        <v>23998.21</v>
      </c>
      <c r="F79" s="2"/>
      <c r="G79" s="2"/>
      <c r="H79" s="4" t="str">
        <f t="shared" si="2"/>
        <v/>
      </c>
      <c r="I79" s="6" t="str">
        <f t="shared" si="3"/>
        <v/>
      </c>
    </row>
    <row r="80" spans="1:9" ht="30" customHeight="1" x14ac:dyDescent="0.35">
      <c r="A80" t="s">
        <v>198</v>
      </c>
      <c r="B80" t="s">
        <v>199</v>
      </c>
      <c r="C80" t="s">
        <v>109</v>
      </c>
      <c r="D80" t="s">
        <v>108</v>
      </c>
      <c r="E80" s="2">
        <v>44528.1</v>
      </c>
      <c r="F80" s="2"/>
      <c r="G80" s="2"/>
      <c r="H80" s="4" t="str">
        <f t="shared" si="2"/>
        <v/>
      </c>
      <c r="I80" s="6" t="str">
        <f t="shared" si="3"/>
        <v/>
      </c>
    </row>
    <row r="81" spans="1:9" ht="30" customHeight="1" x14ac:dyDescent="0.35">
      <c r="A81" t="s">
        <v>200</v>
      </c>
      <c r="B81" t="s">
        <v>201</v>
      </c>
      <c r="C81" t="s">
        <v>51</v>
      </c>
      <c r="D81" t="s">
        <v>50</v>
      </c>
      <c r="E81" s="2">
        <v>73008.31</v>
      </c>
      <c r="F81" s="2"/>
      <c r="G81" s="2"/>
      <c r="H81" s="4" t="str">
        <f t="shared" si="2"/>
        <v/>
      </c>
      <c r="I81" s="6" t="str">
        <f t="shared" si="3"/>
        <v/>
      </c>
    </row>
    <row r="82" spans="1:9" ht="30" customHeight="1" x14ac:dyDescent="0.35">
      <c r="A82" t="s">
        <v>202</v>
      </c>
      <c r="B82" t="s">
        <v>203</v>
      </c>
      <c r="C82" t="s">
        <v>19</v>
      </c>
      <c r="D82" t="s">
        <v>18</v>
      </c>
      <c r="E82" s="2">
        <v>73948.039999999994</v>
      </c>
      <c r="F82" s="2"/>
      <c r="G82" s="2"/>
      <c r="H82" s="4" t="str">
        <f t="shared" si="2"/>
        <v/>
      </c>
      <c r="I82" s="6" t="str">
        <f t="shared" si="3"/>
        <v/>
      </c>
    </row>
    <row r="83" spans="1:9" ht="30" customHeight="1" x14ac:dyDescent="0.35">
      <c r="A83" t="s">
        <v>204</v>
      </c>
      <c r="B83" t="s">
        <v>205</v>
      </c>
      <c r="C83" t="s">
        <v>19</v>
      </c>
      <c r="D83" t="s">
        <v>18</v>
      </c>
      <c r="E83" s="2">
        <v>41189.980000000003</v>
      </c>
      <c r="F83" s="2"/>
      <c r="G83" s="2"/>
      <c r="H83" s="4" t="str">
        <f t="shared" si="2"/>
        <v/>
      </c>
      <c r="I83" s="6" t="str">
        <f t="shared" si="3"/>
        <v/>
      </c>
    </row>
    <row r="84" spans="1:9" ht="30" customHeight="1" x14ac:dyDescent="0.35">
      <c r="A84" t="s">
        <v>206</v>
      </c>
      <c r="B84" t="s">
        <v>207</v>
      </c>
      <c r="C84" t="s">
        <v>51</v>
      </c>
      <c r="D84" t="s">
        <v>50</v>
      </c>
      <c r="E84" s="2">
        <v>601.92999999999995</v>
      </c>
      <c r="F84" s="2"/>
      <c r="G84" s="2"/>
      <c r="H84" s="4" t="str">
        <f t="shared" si="2"/>
        <v/>
      </c>
      <c r="I84" s="6" t="str">
        <f t="shared" si="3"/>
        <v/>
      </c>
    </row>
    <row r="85" spans="1:9" ht="30" customHeight="1" x14ac:dyDescent="0.35">
      <c r="A85" t="s">
        <v>208</v>
      </c>
      <c r="B85" t="s">
        <v>209</v>
      </c>
      <c r="C85" t="s">
        <v>15</v>
      </c>
      <c r="D85" t="s">
        <v>14</v>
      </c>
      <c r="E85" s="2">
        <v>638439.52</v>
      </c>
      <c r="F85" s="2">
        <v>8163644.6799999997</v>
      </c>
      <c r="G85" s="2">
        <v>0</v>
      </c>
      <c r="H85" s="4">
        <f t="shared" si="2"/>
        <v>8163644.6799999997</v>
      </c>
      <c r="I85" s="6">
        <f t="shared" si="3"/>
        <v>7.8205206745965344E-2</v>
      </c>
    </row>
    <row r="86" spans="1:9" ht="30" customHeight="1" x14ac:dyDescent="0.35">
      <c r="A86" t="s">
        <v>210</v>
      </c>
      <c r="B86" t="s">
        <v>211</v>
      </c>
      <c r="C86" t="s">
        <v>213</v>
      </c>
      <c r="D86" t="s">
        <v>212</v>
      </c>
      <c r="E86" s="2">
        <v>71.73</v>
      </c>
      <c r="F86" s="2">
        <v>12304.29</v>
      </c>
      <c r="G86" s="2"/>
      <c r="H86" s="4">
        <f t="shared" si="2"/>
        <v>12304.29</v>
      </c>
      <c r="I86" s="6">
        <f t="shared" si="3"/>
        <v>5.8296740405175754E-3</v>
      </c>
    </row>
    <row r="87" spans="1:9" ht="30" customHeight="1" x14ac:dyDescent="0.35">
      <c r="A87" t="s">
        <v>214</v>
      </c>
      <c r="B87" t="s">
        <v>215</v>
      </c>
      <c r="C87" t="s">
        <v>51</v>
      </c>
      <c r="D87" t="s">
        <v>50</v>
      </c>
      <c r="E87" s="2">
        <v>29035.5</v>
      </c>
      <c r="F87" s="2"/>
      <c r="G87" s="2"/>
      <c r="H87" s="4" t="str">
        <f t="shared" si="2"/>
        <v/>
      </c>
      <c r="I87" s="6" t="str">
        <f t="shared" si="3"/>
        <v/>
      </c>
    </row>
    <row r="88" spans="1:9" ht="30" customHeight="1" x14ac:dyDescent="0.35">
      <c r="A88" t="s">
        <v>216</v>
      </c>
      <c r="B88" t="s">
        <v>217</v>
      </c>
      <c r="C88" t="s">
        <v>67</v>
      </c>
      <c r="D88" t="s">
        <v>66</v>
      </c>
      <c r="E88" s="2">
        <v>24672.57</v>
      </c>
      <c r="F88" s="2"/>
      <c r="G88" s="2"/>
      <c r="H88" s="4" t="str">
        <f t="shared" si="2"/>
        <v/>
      </c>
      <c r="I88" s="6" t="str">
        <f t="shared" si="3"/>
        <v/>
      </c>
    </row>
    <row r="89" spans="1:9" ht="30" customHeight="1" x14ac:dyDescent="0.35">
      <c r="A89" t="s">
        <v>218</v>
      </c>
      <c r="B89" t="s">
        <v>219</v>
      </c>
      <c r="C89" t="s">
        <v>51</v>
      </c>
      <c r="D89" t="s">
        <v>50</v>
      </c>
      <c r="E89" s="2">
        <v>25728.35</v>
      </c>
      <c r="F89" s="2"/>
      <c r="G89" s="2"/>
      <c r="H89" s="4" t="str">
        <f t="shared" si="2"/>
        <v/>
      </c>
      <c r="I89" s="6" t="str">
        <f t="shared" si="3"/>
        <v/>
      </c>
    </row>
    <row r="90" spans="1:9" ht="30" customHeight="1" x14ac:dyDescent="0.35">
      <c r="A90" t="s">
        <v>220</v>
      </c>
      <c r="B90" t="s">
        <v>221</v>
      </c>
      <c r="C90" t="s">
        <v>51</v>
      </c>
      <c r="D90" t="s">
        <v>50</v>
      </c>
      <c r="E90" s="2">
        <v>30267.78</v>
      </c>
      <c r="F90" s="2"/>
      <c r="G90" s="2"/>
      <c r="H90" s="4" t="str">
        <f t="shared" si="2"/>
        <v/>
      </c>
      <c r="I90" s="6" t="str">
        <f t="shared" si="3"/>
        <v/>
      </c>
    </row>
    <row r="91" spans="1:9" ht="30" customHeight="1" x14ac:dyDescent="0.35">
      <c r="A91" t="s">
        <v>222</v>
      </c>
      <c r="B91" t="s">
        <v>223</v>
      </c>
      <c r="C91" t="s">
        <v>67</v>
      </c>
      <c r="D91" t="s">
        <v>66</v>
      </c>
      <c r="E91" s="2">
        <v>3169.7</v>
      </c>
      <c r="F91" s="2"/>
      <c r="G91" s="2"/>
      <c r="H91" s="4" t="str">
        <f t="shared" si="2"/>
        <v/>
      </c>
      <c r="I91" s="6" t="str">
        <f t="shared" si="3"/>
        <v/>
      </c>
    </row>
    <row r="92" spans="1:9" ht="30" customHeight="1" x14ac:dyDescent="0.35">
      <c r="A92" t="s">
        <v>224</v>
      </c>
      <c r="B92" t="s">
        <v>225</v>
      </c>
      <c r="C92" t="s">
        <v>67</v>
      </c>
      <c r="D92" t="s">
        <v>66</v>
      </c>
      <c r="E92" s="2">
        <v>1443.15</v>
      </c>
      <c r="F92" s="2"/>
      <c r="G92" s="2"/>
      <c r="H92" s="4" t="str">
        <f t="shared" si="2"/>
        <v/>
      </c>
      <c r="I92" s="6" t="str">
        <f t="shared" si="3"/>
        <v/>
      </c>
    </row>
    <row r="93" spans="1:9" ht="30" customHeight="1" x14ac:dyDescent="0.35">
      <c r="A93" t="s">
        <v>226</v>
      </c>
      <c r="B93" t="s">
        <v>227</v>
      </c>
      <c r="C93" t="s">
        <v>51</v>
      </c>
      <c r="D93" t="s">
        <v>50</v>
      </c>
      <c r="E93" s="2">
        <v>16283.06</v>
      </c>
      <c r="F93" s="2"/>
      <c r="G93" s="2"/>
      <c r="H93" s="4" t="str">
        <f t="shared" si="2"/>
        <v/>
      </c>
      <c r="I93" s="6" t="str">
        <f t="shared" si="3"/>
        <v/>
      </c>
    </row>
    <row r="94" spans="1:9" ht="30" customHeight="1" x14ac:dyDescent="0.35">
      <c r="A94" t="s">
        <v>228</v>
      </c>
      <c r="B94" t="s">
        <v>229</v>
      </c>
      <c r="C94" t="s">
        <v>57</v>
      </c>
      <c r="D94" t="s">
        <v>56</v>
      </c>
      <c r="E94" s="2">
        <v>2114219.71</v>
      </c>
      <c r="F94" s="2">
        <v>15282.26</v>
      </c>
      <c r="G94" s="2">
        <v>34717.74</v>
      </c>
      <c r="H94" s="4">
        <f t="shared" si="2"/>
        <v>50000</v>
      </c>
      <c r="I94" s="6">
        <f t="shared" si="3"/>
        <v>42.284394200000001</v>
      </c>
    </row>
    <row r="95" spans="1:9" ht="30" customHeight="1" x14ac:dyDescent="0.35">
      <c r="A95" t="s">
        <v>230</v>
      </c>
      <c r="B95" t="s">
        <v>231</v>
      </c>
      <c r="C95" t="s">
        <v>29</v>
      </c>
      <c r="D95" t="s">
        <v>28</v>
      </c>
      <c r="E95" s="2">
        <v>109119.61</v>
      </c>
      <c r="F95" s="2"/>
      <c r="G95" s="2"/>
      <c r="H95" s="4" t="str">
        <f t="shared" si="2"/>
        <v/>
      </c>
      <c r="I95" s="6" t="str">
        <f t="shared" si="3"/>
        <v/>
      </c>
    </row>
    <row r="96" spans="1:9" ht="30" customHeight="1" x14ac:dyDescent="0.35">
      <c r="A96" t="s">
        <v>232</v>
      </c>
      <c r="B96" t="s">
        <v>233</v>
      </c>
      <c r="C96" t="s">
        <v>77</v>
      </c>
      <c r="D96" t="s">
        <v>76</v>
      </c>
      <c r="E96" s="2">
        <v>960908.32</v>
      </c>
      <c r="F96" s="2"/>
      <c r="G96" s="2"/>
      <c r="H96" s="4" t="str">
        <f t="shared" si="2"/>
        <v/>
      </c>
      <c r="I96" s="6" t="str">
        <f t="shared" si="3"/>
        <v/>
      </c>
    </row>
    <row r="97" spans="1:9" ht="30" customHeight="1" x14ac:dyDescent="0.35">
      <c r="A97" t="s">
        <v>234</v>
      </c>
      <c r="B97" t="s">
        <v>235</v>
      </c>
      <c r="C97" t="s">
        <v>109</v>
      </c>
      <c r="D97" t="s">
        <v>108</v>
      </c>
      <c r="E97" s="2">
        <v>154607.28</v>
      </c>
      <c r="F97" s="2"/>
      <c r="G97" s="2"/>
      <c r="H97" s="4" t="str">
        <f t="shared" si="2"/>
        <v/>
      </c>
      <c r="I97" s="6" t="str">
        <f t="shared" si="3"/>
        <v/>
      </c>
    </row>
    <row r="98" spans="1:9" ht="30" customHeight="1" x14ac:dyDescent="0.35">
      <c r="A98" t="s">
        <v>236</v>
      </c>
      <c r="B98" t="s">
        <v>237</v>
      </c>
      <c r="C98" t="s">
        <v>77</v>
      </c>
      <c r="D98" t="s">
        <v>76</v>
      </c>
      <c r="E98" s="2">
        <v>31602.46</v>
      </c>
      <c r="F98" s="2"/>
      <c r="G98" s="2"/>
      <c r="H98" s="4" t="str">
        <f t="shared" si="2"/>
        <v/>
      </c>
      <c r="I98" s="6" t="str">
        <f t="shared" si="3"/>
        <v/>
      </c>
    </row>
    <row r="99" spans="1:9" ht="30" customHeight="1" x14ac:dyDescent="0.35">
      <c r="A99" t="s">
        <v>238</v>
      </c>
      <c r="B99" t="s">
        <v>239</v>
      </c>
      <c r="C99" t="s">
        <v>19</v>
      </c>
      <c r="D99" t="s">
        <v>18</v>
      </c>
      <c r="E99" s="2">
        <v>7251.33</v>
      </c>
      <c r="F99" s="2"/>
      <c r="G99" s="2"/>
      <c r="H99" s="4" t="str">
        <f t="shared" si="2"/>
        <v/>
      </c>
      <c r="I99" s="6" t="str">
        <f t="shared" si="3"/>
        <v/>
      </c>
    </row>
    <row r="100" spans="1:9" ht="30" customHeight="1" x14ac:dyDescent="0.35">
      <c r="A100" t="s">
        <v>240</v>
      </c>
      <c r="B100" t="s">
        <v>241</v>
      </c>
      <c r="C100" t="s">
        <v>77</v>
      </c>
      <c r="D100" t="s">
        <v>76</v>
      </c>
      <c r="E100" s="2">
        <v>2187.15</v>
      </c>
      <c r="F100" s="2"/>
      <c r="G100" s="2"/>
      <c r="H100" s="4" t="str">
        <f t="shared" si="2"/>
        <v/>
      </c>
      <c r="I100" s="6" t="str">
        <f t="shared" si="3"/>
        <v/>
      </c>
    </row>
    <row r="101" spans="1:9" ht="30" customHeight="1" x14ac:dyDescent="0.35">
      <c r="A101" t="s">
        <v>242</v>
      </c>
      <c r="B101" t="s">
        <v>243</v>
      </c>
      <c r="C101" t="s">
        <v>19</v>
      </c>
      <c r="D101" t="s">
        <v>18</v>
      </c>
      <c r="E101" s="2">
        <v>28874.87</v>
      </c>
      <c r="F101" s="2"/>
      <c r="G101" s="2"/>
      <c r="H101" s="4" t="str">
        <f t="shared" si="2"/>
        <v/>
      </c>
      <c r="I101" s="6" t="str">
        <f t="shared" si="3"/>
        <v/>
      </c>
    </row>
    <row r="102" spans="1:9" ht="30" customHeight="1" x14ac:dyDescent="0.35">
      <c r="A102" t="s">
        <v>244</v>
      </c>
      <c r="B102" t="s">
        <v>245</v>
      </c>
      <c r="C102" t="s">
        <v>109</v>
      </c>
      <c r="D102" t="s">
        <v>108</v>
      </c>
      <c r="E102" s="2">
        <v>4650.04</v>
      </c>
      <c r="F102" s="2"/>
      <c r="G102" s="2"/>
      <c r="H102" s="4" t="str">
        <f t="shared" si="2"/>
        <v/>
      </c>
      <c r="I102" s="6" t="str">
        <f t="shared" si="3"/>
        <v/>
      </c>
    </row>
    <row r="103" spans="1:9" ht="30" customHeight="1" x14ac:dyDescent="0.35">
      <c r="A103" t="s">
        <v>246</v>
      </c>
      <c r="B103" t="s">
        <v>247</v>
      </c>
      <c r="C103" t="s">
        <v>29</v>
      </c>
      <c r="D103" t="s">
        <v>28</v>
      </c>
      <c r="E103" s="2">
        <v>232113.98</v>
      </c>
      <c r="F103" s="2"/>
      <c r="G103" s="2"/>
      <c r="H103" s="4" t="str">
        <f t="shared" si="2"/>
        <v/>
      </c>
      <c r="I103" s="6" t="str">
        <f t="shared" si="3"/>
        <v/>
      </c>
    </row>
    <row r="104" spans="1:9" ht="30" customHeight="1" x14ac:dyDescent="0.35">
      <c r="A104" t="s">
        <v>248</v>
      </c>
      <c r="B104" t="s">
        <v>249</v>
      </c>
      <c r="C104" t="s">
        <v>33</v>
      </c>
      <c r="D104" t="s">
        <v>32</v>
      </c>
      <c r="E104" s="2">
        <v>3191.81</v>
      </c>
      <c r="F104" s="2"/>
      <c r="G104" s="2"/>
      <c r="H104" s="4" t="str">
        <f t="shared" si="2"/>
        <v/>
      </c>
      <c r="I104" s="6" t="str">
        <f t="shared" si="3"/>
        <v/>
      </c>
    </row>
    <row r="105" spans="1:9" ht="30" customHeight="1" x14ac:dyDescent="0.35">
      <c r="A105" t="s">
        <v>250</v>
      </c>
      <c r="B105" t="s">
        <v>251</v>
      </c>
      <c r="C105" t="s">
        <v>253</v>
      </c>
      <c r="D105" t="s">
        <v>252</v>
      </c>
      <c r="E105" s="2">
        <v>983346.18</v>
      </c>
      <c r="F105" s="2">
        <v>912060.57</v>
      </c>
      <c r="G105" s="2"/>
      <c r="H105" s="4">
        <f t="shared" si="2"/>
        <v>912060.57</v>
      </c>
      <c r="I105" s="6">
        <f t="shared" si="3"/>
        <v>1.0781588551734016</v>
      </c>
    </row>
    <row r="106" spans="1:9" ht="30" customHeight="1" x14ac:dyDescent="0.35">
      <c r="A106" t="s">
        <v>254</v>
      </c>
      <c r="B106" t="s">
        <v>255</v>
      </c>
      <c r="C106" t="s">
        <v>101</v>
      </c>
      <c r="D106" t="s">
        <v>100</v>
      </c>
      <c r="E106" s="2">
        <v>8183.83</v>
      </c>
      <c r="F106" s="2">
        <v>1379000</v>
      </c>
      <c r="G106" s="2"/>
      <c r="H106" s="4">
        <f t="shared" si="2"/>
        <v>1379000</v>
      </c>
      <c r="I106" s="6">
        <f t="shared" si="3"/>
        <v>5.9346120377084845E-3</v>
      </c>
    </row>
    <row r="107" spans="1:9" ht="30" customHeight="1" x14ac:dyDescent="0.35">
      <c r="A107" t="s">
        <v>256</v>
      </c>
      <c r="B107" t="s">
        <v>257</v>
      </c>
      <c r="C107" t="s">
        <v>259</v>
      </c>
      <c r="D107" t="s">
        <v>258</v>
      </c>
      <c r="E107" s="2">
        <v>11682.73</v>
      </c>
      <c r="F107" s="2">
        <v>525353.88</v>
      </c>
      <c r="G107" s="2">
        <v>200000</v>
      </c>
      <c r="H107" s="4">
        <f t="shared" si="2"/>
        <v>725353.88</v>
      </c>
      <c r="I107" s="6">
        <f t="shared" si="3"/>
        <v>1.6106248718211862E-2</v>
      </c>
    </row>
    <row r="108" spans="1:9" ht="30" customHeight="1" x14ac:dyDescent="0.35">
      <c r="A108" t="s">
        <v>260</v>
      </c>
      <c r="B108" t="s">
        <v>261</v>
      </c>
      <c r="C108" t="s">
        <v>51</v>
      </c>
      <c r="D108" t="s">
        <v>50</v>
      </c>
      <c r="E108" s="2">
        <v>1184189.17</v>
      </c>
      <c r="F108" s="2"/>
      <c r="G108" s="2"/>
      <c r="H108" s="4" t="str">
        <f t="shared" si="2"/>
        <v/>
      </c>
      <c r="I108" s="6" t="str">
        <f t="shared" si="3"/>
        <v/>
      </c>
    </row>
    <row r="109" spans="1:9" ht="30" customHeight="1" x14ac:dyDescent="0.35">
      <c r="A109" t="s">
        <v>262</v>
      </c>
      <c r="B109" t="s">
        <v>263</v>
      </c>
      <c r="C109" t="s">
        <v>33</v>
      </c>
      <c r="D109" t="s">
        <v>32</v>
      </c>
      <c r="E109" s="2">
        <v>81304.600000000006</v>
      </c>
      <c r="F109" s="2"/>
      <c r="G109" s="2"/>
      <c r="H109" s="4" t="str">
        <f t="shared" si="2"/>
        <v/>
      </c>
      <c r="I109" s="6" t="str">
        <f t="shared" si="3"/>
        <v/>
      </c>
    </row>
    <row r="110" spans="1:9" ht="30" customHeight="1" x14ac:dyDescent="0.35">
      <c r="A110" t="s">
        <v>264</v>
      </c>
      <c r="B110" t="s">
        <v>265</v>
      </c>
      <c r="C110" t="s">
        <v>57</v>
      </c>
      <c r="D110" t="s">
        <v>56</v>
      </c>
      <c r="E110" s="2">
        <v>40</v>
      </c>
      <c r="F110" s="2"/>
      <c r="G110" s="2"/>
      <c r="H110" s="4" t="str">
        <f t="shared" si="2"/>
        <v/>
      </c>
      <c r="I110" s="6" t="str">
        <f t="shared" si="3"/>
        <v/>
      </c>
    </row>
    <row r="111" spans="1:9" ht="30" customHeight="1" x14ac:dyDescent="0.35">
      <c r="A111" t="s">
        <v>266</v>
      </c>
      <c r="B111" t="s">
        <v>267</v>
      </c>
      <c r="C111" t="s">
        <v>77</v>
      </c>
      <c r="D111" t="s">
        <v>76</v>
      </c>
      <c r="E111" s="2">
        <v>70483.02</v>
      </c>
      <c r="F111" s="2"/>
      <c r="G111" s="2"/>
      <c r="H111" s="4" t="str">
        <f t="shared" si="2"/>
        <v/>
      </c>
      <c r="I111" s="6" t="str">
        <f t="shared" si="3"/>
        <v/>
      </c>
    </row>
    <row r="112" spans="1:9" ht="30" customHeight="1" x14ac:dyDescent="0.35">
      <c r="A112" t="s">
        <v>268</v>
      </c>
      <c r="B112" t="s">
        <v>269</v>
      </c>
      <c r="C112" t="s">
        <v>77</v>
      </c>
      <c r="D112" t="s">
        <v>76</v>
      </c>
      <c r="E112" s="2">
        <v>1253.0899999999999</v>
      </c>
      <c r="F112" s="2">
        <v>13261.41</v>
      </c>
      <c r="G112" s="2">
        <v>1000</v>
      </c>
      <c r="H112" s="4">
        <f t="shared" si="2"/>
        <v>14261.41</v>
      </c>
      <c r="I112" s="6">
        <f t="shared" si="3"/>
        <v>8.7865786061826975E-2</v>
      </c>
    </row>
    <row r="113" spans="1:9" ht="30" customHeight="1" x14ac:dyDescent="0.35">
      <c r="A113" t="s">
        <v>270</v>
      </c>
      <c r="B113" t="s">
        <v>271</v>
      </c>
      <c r="C113" t="s">
        <v>51</v>
      </c>
      <c r="D113" t="s">
        <v>50</v>
      </c>
      <c r="E113" s="2">
        <v>78155.710000000006</v>
      </c>
      <c r="F113" s="2"/>
      <c r="G113" s="2"/>
      <c r="H113" s="4" t="str">
        <f t="shared" si="2"/>
        <v/>
      </c>
      <c r="I113" s="6" t="str">
        <f t="shared" si="3"/>
        <v/>
      </c>
    </row>
    <row r="114" spans="1:9" ht="30" customHeight="1" x14ac:dyDescent="0.35">
      <c r="A114" t="s">
        <v>272</v>
      </c>
      <c r="B114" t="s">
        <v>273</v>
      </c>
      <c r="C114" t="s">
        <v>19</v>
      </c>
      <c r="D114" t="s">
        <v>18</v>
      </c>
      <c r="E114" s="2">
        <v>587294.13</v>
      </c>
      <c r="F114" s="2"/>
      <c r="G114" s="2"/>
      <c r="H114" s="4" t="str">
        <f t="shared" si="2"/>
        <v/>
      </c>
      <c r="I114" s="6" t="str">
        <f t="shared" si="3"/>
        <v/>
      </c>
    </row>
    <row r="115" spans="1:9" ht="30" customHeight="1" x14ac:dyDescent="0.35">
      <c r="A115" t="s">
        <v>274</v>
      </c>
      <c r="B115" t="s">
        <v>275</v>
      </c>
      <c r="C115" t="s">
        <v>51</v>
      </c>
      <c r="D115" t="s">
        <v>50</v>
      </c>
      <c r="E115" s="2">
        <v>131167.35</v>
      </c>
      <c r="F115" s="2">
        <v>0</v>
      </c>
      <c r="G115" s="2">
        <v>1000</v>
      </c>
      <c r="H115" s="4">
        <f t="shared" si="2"/>
        <v>1000</v>
      </c>
      <c r="I115" s="6">
        <f t="shared" si="3"/>
        <v>131.16735</v>
      </c>
    </row>
    <row r="116" spans="1:9" ht="30" customHeight="1" x14ac:dyDescent="0.35">
      <c r="A116" t="s">
        <v>276</v>
      </c>
      <c r="B116" t="s">
        <v>277</v>
      </c>
      <c r="C116" t="s">
        <v>51</v>
      </c>
      <c r="D116" t="s">
        <v>50</v>
      </c>
      <c r="E116" s="2">
        <v>946.3</v>
      </c>
      <c r="F116" s="2">
        <v>0</v>
      </c>
      <c r="G116" s="2">
        <v>1000</v>
      </c>
      <c r="H116" s="4">
        <f t="shared" si="2"/>
        <v>1000</v>
      </c>
      <c r="I116" s="6">
        <f t="shared" si="3"/>
        <v>0.94629999999999992</v>
      </c>
    </row>
    <row r="117" spans="1:9" ht="30" customHeight="1" x14ac:dyDescent="0.35">
      <c r="A117" t="s">
        <v>278</v>
      </c>
      <c r="B117" t="s">
        <v>279</v>
      </c>
      <c r="C117" t="s">
        <v>51</v>
      </c>
      <c r="D117" t="s">
        <v>50</v>
      </c>
      <c r="E117" s="2">
        <v>243276.11</v>
      </c>
      <c r="F117" s="2">
        <v>803.83</v>
      </c>
      <c r="G117" s="2">
        <v>196.17</v>
      </c>
      <c r="H117" s="4">
        <f t="shared" si="2"/>
        <v>1000</v>
      </c>
      <c r="I117" s="6">
        <f t="shared" si="3"/>
        <v>243.27610999999999</v>
      </c>
    </row>
    <row r="118" spans="1:9" ht="30" customHeight="1" x14ac:dyDescent="0.35">
      <c r="A118" t="s">
        <v>280</v>
      </c>
      <c r="B118" t="s">
        <v>281</v>
      </c>
      <c r="C118" t="s">
        <v>19</v>
      </c>
      <c r="D118" t="s">
        <v>18</v>
      </c>
      <c r="E118" s="2">
        <v>88088.639999999999</v>
      </c>
      <c r="F118" s="2"/>
      <c r="G118" s="2"/>
      <c r="H118" s="4" t="str">
        <f t="shared" si="2"/>
        <v/>
      </c>
      <c r="I118" s="6" t="str">
        <f t="shared" si="3"/>
        <v/>
      </c>
    </row>
    <row r="119" spans="1:9" ht="30" customHeight="1" x14ac:dyDescent="0.35">
      <c r="A119" t="s">
        <v>282</v>
      </c>
      <c r="B119" t="s">
        <v>283</v>
      </c>
      <c r="C119" t="s">
        <v>19</v>
      </c>
      <c r="D119" t="s">
        <v>18</v>
      </c>
      <c r="E119" s="2">
        <v>11032.94</v>
      </c>
      <c r="F119" s="2"/>
      <c r="G119" s="2"/>
      <c r="H119" s="4" t="str">
        <f t="shared" si="2"/>
        <v/>
      </c>
      <c r="I119" s="6" t="str">
        <f t="shared" si="3"/>
        <v/>
      </c>
    </row>
    <row r="120" spans="1:9" ht="30" customHeight="1" x14ac:dyDescent="0.35">
      <c r="A120" t="s">
        <v>284</v>
      </c>
      <c r="B120" t="s">
        <v>285</v>
      </c>
      <c r="C120" t="s">
        <v>77</v>
      </c>
      <c r="D120" t="s">
        <v>76</v>
      </c>
      <c r="E120" s="2">
        <v>13222.88</v>
      </c>
      <c r="F120" s="2">
        <v>0</v>
      </c>
      <c r="G120" s="2">
        <v>1000</v>
      </c>
      <c r="H120" s="4">
        <f t="shared" si="2"/>
        <v>1000</v>
      </c>
      <c r="I120" s="6">
        <f t="shared" si="3"/>
        <v>13.22288</v>
      </c>
    </row>
    <row r="121" spans="1:9" ht="30" customHeight="1" x14ac:dyDescent="0.35">
      <c r="A121" t="s">
        <v>286</v>
      </c>
      <c r="B121" t="s">
        <v>287</v>
      </c>
      <c r="C121" t="s">
        <v>19</v>
      </c>
      <c r="D121" t="s">
        <v>18</v>
      </c>
      <c r="E121" s="2">
        <v>16470.12</v>
      </c>
      <c r="F121" s="2"/>
      <c r="G121" s="2"/>
      <c r="H121" s="4" t="str">
        <f t="shared" si="2"/>
        <v/>
      </c>
      <c r="I121" s="6" t="str">
        <f t="shared" si="3"/>
        <v/>
      </c>
    </row>
    <row r="122" spans="1:9" ht="30" customHeight="1" x14ac:dyDescent="0.35">
      <c r="A122" t="s">
        <v>288</v>
      </c>
      <c r="B122" t="s">
        <v>289</v>
      </c>
      <c r="C122" t="s">
        <v>109</v>
      </c>
      <c r="D122" t="s">
        <v>108</v>
      </c>
      <c r="E122" s="2">
        <v>8974.58</v>
      </c>
      <c r="F122" s="2"/>
      <c r="G122" s="2"/>
      <c r="H122" s="4" t="str">
        <f t="shared" si="2"/>
        <v/>
      </c>
      <c r="I122" s="6" t="str">
        <f t="shared" si="3"/>
        <v/>
      </c>
    </row>
    <row r="123" spans="1:9" ht="30" customHeight="1" x14ac:dyDescent="0.35">
      <c r="A123" t="s">
        <v>290</v>
      </c>
      <c r="B123" t="s">
        <v>291</v>
      </c>
      <c r="C123" t="s">
        <v>109</v>
      </c>
      <c r="D123" t="s">
        <v>108</v>
      </c>
      <c r="E123" s="2">
        <v>38046.03</v>
      </c>
      <c r="F123" s="2">
        <v>43075.7</v>
      </c>
      <c r="G123" s="2">
        <v>57424.3</v>
      </c>
      <c r="H123" s="4">
        <f t="shared" si="2"/>
        <v>100500</v>
      </c>
      <c r="I123" s="6">
        <f t="shared" si="3"/>
        <v>0.37856746268656716</v>
      </c>
    </row>
    <row r="124" spans="1:9" ht="30" customHeight="1" x14ac:dyDescent="0.35">
      <c r="A124" t="s">
        <v>292</v>
      </c>
      <c r="B124" t="s">
        <v>293</v>
      </c>
      <c r="C124" t="s">
        <v>51</v>
      </c>
      <c r="D124" t="s">
        <v>50</v>
      </c>
      <c r="E124" s="2">
        <v>190536.21</v>
      </c>
      <c r="F124" s="2"/>
      <c r="G124" s="2"/>
      <c r="H124" s="4" t="str">
        <f t="shared" si="2"/>
        <v/>
      </c>
      <c r="I124" s="6" t="str">
        <f t="shared" si="3"/>
        <v/>
      </c>
    </row>
    <row r="125" spans="1:9" ht="30" customHeight="1" x14ac:dyDescent="0.35">
      <c r="A125" t="s">
        <v>294</v>
      </c>
      <c r="B125" t="s">
        <v>295</v>
      </c>
      <c r="C125" t="s">
        <v>19</v>
      </c>
      <c r="D125" t="s">
        <v>18</v>
      </c>
      <c r="E125" s="2">
        <v>13829.51</v>
      </c>
      <c r="F125" s="2"/>
      <c r="G125" s="2"/>
      <c r="H125" s="4" t="str">
        <f t="shared" si="2"/>
        <v/>
      </c>
      <c r="I125" s="6" t="str">
        <f t="shared" si="3"/>
        <v/>
      </c>
    </row>
    <row r="126" spans="1:9" ht="30" customHeight="1" x14ac:dyDescent="0.35">
      <c r="A126" t="s">
        <v>296</v>
      </c>
      <c r="B126" t="s">
        <v>297</v>
      </c>
      <c r="C126" t="s">
        <v>51</v>
      </c>
      <c r="D126" t="s">
        <v>50</v>
      </c>
      <c r="E126" s="2">
        <v>82998.22</v>
      </c>
      <c r="F126" s="2"/>
      <c r="G126" s="2"/>
      <c r="H126" s="4" t="str">
        <f t="shared" si="2"/>
        <v/>
      </c>
      <c r="I126" s="6" t="str">
        <f t="shared" si="3"/>
        <v/>
      </c>
    </row>
    <row r="127" spans="1:9" ht="30" customHeight="1" x14ac:dyDescent="0.35">
      <c r="A127" t="s">
        <v>298</v>
      </c>
      <c r="B127" t="s">
        <v>299</v>
      </c>
      <c r="C127" t="s">
        <v>19</v>
      </c>
      <c r="D127" t="s">
        <v>18</v>
      </c>
      <c r="E127" s="2">
        <v>16096.36</v>
      </c>
      <c r="F127" s="2"/>
      <c r="G127" s="2"/>
      <c r="H127" s="4" t="str">
        <f t="shared" si="2"/>
        <v/>
      </c>
      <c r="I127" s="6" t="str">
        <f t="shared" si="3"/>
        <v/>
      </c>
    </row>
    <row r="128" spans="1:9" ht="30" customHeight="1" x14ac:dyDescent="0.35">
      <c r="A128" t="s">
        <v>300</v>
      </c>
      <c r="B128" t="s">
        <v>301</v>
      </c>
      <c r="C128" t="s">
        <v>11</v>
      </c>
      <c r="D128" t="s">
        <v>10</v>
      </c>
      <c r="E128" s="2">
        <v>10812.6</v>
      </c>
      <c r="F128" s="2">
        <v>612891.99</v>
      </c>
      <c r="G128" s="2">
        <v>0</v>
      </c>
      <c r="H128" s="4">
        <f t="shared" si="2"/>
        <v>612891.99</v>
      </c>
      <c r="I128" s="6">
        <f t="shared" si="3"/>
        <v>1.7641933940105825E-2</v>
      </c>
    </row>
    <row r="129" spans="1:9" ht="30" customHeight="1" x14ac:dyDescent="0.35">
      <c r="A129" t="s">
        <v>302</v>
      </c>
      <c r="B129" t="s">
        <v>303</v>
      </c>
      <c r="C129" t="s">
        <v>77</v>
      </c>
      <c r="D129" t="s">
        <v>76</v>
      </c>
      <c r="E129" s="2">
        <v>82352.509999999995</v>
      </c>
      <c r="F129" s="2"/>
      <c r="G129" s="2"/>
      <c r="H129" s="4" t="str">
        <f t="shared" si="2"/>
        <v/>
      </c>
      <c r="I129" s="6" t="str">
        <f t="shared" si="3"/>
        <v/>
      </c>
    </row>
    <row r="130" spans="1:9" ht="30" customHeight="1" x14ac:dyDescent="0.35">
      <c r="A130" t="s">
        <v>304</v>
      </c>
      <c r="B130" t="s">
        <v>305</v>
      </c>
      <c r="C130" t="s">
        <v>51</v>
      </c>
      <c r="D130" t="s">
        <v>50</v>
      </c>
      <c r="E130" s="2">
        <v>111838.89</v>
      </c>
      <c r="F130" s="2"/>
      <c r="G130" s="2"/>
      <c r="H130" s="4" t="str">
        <f t="shared" si="2"/>
        <v/>
      </c>
      <c r="I130" s="6" t="str">
        <f t="shared" si="3"/>
        <v/>
      </c>
    </row>
    <row r="131" spans="1:9" ht="30" customHeight="1" x14ac:dyDescent="0.35">
      <c r="A131" t="s">
        <v>306</v>
      </c>
      <c r="B131" t="s">
        <v>307</v>
      </c>
      <c r="C131" t="s">
        <v>57</v>
      </c>
      <c r="D131" t="s">
        <v>56</v>
      </c>
      <c r="E131" s="2">
        <v>180679.65</v>
      </c>
      <c r="F131" s="2"/>
      <c r="G131" s="2"/>
      <c r="H131" s="4" t="str">
        <f t="shared" ref="H131:H193" si="4">IF(ISBLANK(F131),"",(F131+G131))</f>
        <v/>
      </c>
      <c r="I131" s="6" t="str">
        <f t="shared" ref="I131:I193" si="5">IF(ISBLANK(F131), "", E131/H131)</f>
        <v/>
      </c>
    </row>
    <row r="132" spans="1:9" ht="30" customHeight="1" x14ac:dyDescent="0.35">
      <c r="A132" t="s">
        <v>308</v>
      </c>
      <c r="B132" t="s">
        <v>309</v>
      </c>
      <c r="C132" t="s">
        <v>19</v>
      </c>
      <c r="D132" t="s">
        <v>18</v>
      </c>
      <c r="E132" s="2">
        <v>167339.24</v>
      </c>
      <c r="F132" s="2"/>
      <c r="G132" s="2"/>
      <c r="H132" s="4" t="str">
        <f t="shared" si="4"/>
        <v/>
      </c>
      <c r="I132" s="6" t="str">
        <f t="shared" si="5"/>
        <v/>
      </c>
    </row>
    <row r="133" spans="1:9" ht="30" customHeight="1" x14ac:dyDescent="0.35">
      <c r="A133" t="s">
        <v>310</v>
      </c>
      <c r="B133" t="s">
        <v>311</v>
      </c>
      <c r="C133" t="s">
        <v>313</v>
      </c>
      <c r="D133" t="s">
        <v>312</v>
      </c>
      <c r="E133" s="2">
        <v>51062.9</v>
      </c>
      <c r="F133" s="2"/>
      <c r="G133" s="2"/>
      <c r="H133" s="4" t="str">
        <f t="shared" si="4"/>
        <v/>
      </c>
      <c r="I133" s="6" t="str">
        <f t="shared" si="5"/>
        <v/>
      </c>
    </row>
    <row r="134" spans="1:9" ht="30" customHeight="1" x14ac:dyDescent="0.35">
      <c r="A134" t="s">
        <v>314</v>
      </c>
      <c r="B134" t="s">
        <v>315</v>
      </c>
      <c r="C134" t="s">
        <v>67</v>
      </c>
      <c r="D134" t="s">
        <v>66</v>
      </c>
      <c r="E134" s="2">
        <v>45787.94</v>
      </c>
      <c r="F134" s="2"/>
      <c r="G134" s="2"/>
      <c r="H134" s="4" t="str">
        <f t="shared" si="4"/>
        <v/>
      </c>
      <c r="I134" s="6" t="str">
        <f t="shared" si="5"/>
        <v/>
      </c>
    </row>
    <row r="135" spans="1:9" ht="30" customHeight="1" x14ac:dyDescent="0.35">
      <c r="A135" t="s">
        <v>316</v>
      </c>
      <c r="B135" t="s">
        <v>317</v>
      </c>
      <c r="C135" t="s">
        <v>67</v>
      </c>
      <c r="D135" t="s">
        <v>66</v>
      </c>
      <c r="E135" s="2">
        <v>53376.31</v>
      </c>
      <c r="F135" s="2">
        <v>245000</v>
      </c>
      <c r="G135" s="2">
        <v>5000</v>
      </c>
      <c r="H135" s="4">
        <f t="shared" si="4"/>
        <v>250000</v>
      </c>
      <c r="I135" s="6">
        <f t="shared" si="5"/>
        <v>0.21350523999999999</v>
      </c>
    </row>
    <row r="136" spans="1:9" ht="30" customHeight="1" x14ac:dyDescent="0.35">
      <c r="A136" t="s">
        <v>318</v>
      </c>
      <c r="B136" t="s">
        <v>319</v>
      </c>
      <c r="C136" t="s">
        <v>77</v>
      </c>
      <c r="D136" t="s">
        <v>76</v>
      </c>
      <c r="E136" s="2">
        <v>384305.88</v>
      </c>
      <c r="F136" s="2"/>
      <c r="G136" s="2"/>
      <c r="H136" s="4" t="str">
        <f t="shared" si="4"/>
        <v/>
      </c>
      <c r="I136" s="6" t="str">
        <f t="shared" si="5"/>
        <v/>
      </c>
    </row>
    <row r="137" spans="1:9" ht="30" customHeight="1" x14ac:dyDescent="0.35">
      <c r="A137" t="s">
        <v>320</v>
      </c>
      <c r="B137" t="s">
        <v>321</v>
      </c>
      <c r="C137" t="s">
        <v>109</v>
      </c>
      <c r="D137" t="s">
        <v>108</v>
      </c>
      <c r="E137" s="2">
        <v>117110.41</v>
      </c>
      <c r="F137" s="2"/>
      <c r="G137" s="2"/>
      <c r="H137" s="4" t="str">
        <f t="shared" si="4"/>
        <v/>
      </c>
      <c r="I137" s="6" t="str">
        <f t="shared" si="5"/>
        <v/>
      </c>
    </row>
    <row r="138" spans="1:9" ht="30" customHeight="1" x14ac:dyDescent="0.35">
      <c r="A138" t="s">
        <v>322</v>
      </c>
      <c r="B138" t="s">
        <v>323</v>
      </c>
      <c r="C138" t="s">
        <v>19</v>
      </c>
      <c r="D138" t="s">
        <v>18</v>
      </c>
      <c r="E138" s="2">
        <v>509.09</v>
      </c>
      <c r="F138" s="2"/>
      <c r="G138" s="2"/>
      <c r="H138" s="4" t="str">
        <f t="shared" si="4"/>
        <v/>
      </c>
      <c r="I138" s="6" t="str">
        <f t="shared" si="5"/>
        <v/>
      </c>
    </row>
    <row r="139" spans="1:9" ht="30" customHeight="1" x14ac:dyDescent="0.35">
      <c r="A139" t="s">
        <v>324</v>
      </c>
      <c r="B139" t="s">
        <v>325</v>
      </c>
      <c r="C139" t="s">
        <v>77</v>
      </c>
      <c r="D139" t="s">
        <v>76</v>
      </c>
      <c r="E139" s="2">
        <v>131761.01</v>
      </c>
      <c r="F139" s="2"/>
      <c r="G139" s="2"/>
      <c r="H139" s="4" t="str">
        <f t="shared" si="4"/>
        <v/>
      </c>
      <c r="I139" s="6" t="str">
        <f t="shared" si="5"/>
        <v/>
      </c>
    </row>
    <row r="140" spans="1:9" ht="30" customHeight="1" x14ac:dyDescent="0.35">
      <c r="A140" t="s">
        <v>326</v>
      </c>
      <c r="B140" t="s">
        <v>327</v>
      </c>
      <c r="C140" t="s">
        <v>33</v>
      </c>
      <c r="D140" t="s">
        <v>32</v>
      </c>
      <c r="E140" s="2">
        <v>3486413.68</v>
      </c>
      <c r="F140" s="2"/>
      <c r="G140" s="2"/>
      <c r="H140" s="4" t="str">
        <f t="shared" si="4"/>
        <v/>
      </c>
      <c r="I140" s="6" t="str">
        <f t="shared" si="5"/>
        <v/>
      </c>
    </row>
    <row r="141" spans="1:9" ht="30" customHeight="1" x14ac:dyDescent="0.35">
      <c r="A141" t="s">
        <v>328</v>
      </c>
      <c r="B141" t="s">
        <v>329</v>
      </c>
      <c r="C141" t="s">
        <v>29</v>
      </c>
      <c r="D141" t="s">
        <v>28</v>
      </c>
      <c r="E141" s="2">
        <v>245330.86</v>
      </c>
      <c r="F141" s="2"/>
      <c r="G141" s="2"/>
      <c r="H141" s="4" t="str">
        <f t="shared" si="4"/>
        <v/>
      </c>
      <c r="I141" s="6" t="str">
        <f t="shared" si="5"/>
        <v/>
      </c>
    </row>
    <row r="142" spans="1:9" ht="30" customHeight="1" x14ac:dyDescent="0.35">
      <c r="A142" t="s">
        <v>330</v>
      </c>
      <c r="B142" t="s">
        <v>331</v>
      </c>
      <c r="C142" t="s">
        <v>29</v>
      </c>
      <c r="D142" t="s">
        <v>28</v>
      </c>
      <c r="E142" s="2">
        <v>480.81</v>
      </c>
      <c r="F142" s="2"/>
      <c r="G142" s="2"/>
      <c r="H142" s="4" t="str">
        <f t="shared" si="4"/>
        <v/>
      </c>
      <c r="I142" s="6" t="str">
        <f t="shared" si="5"/>
        <v/>
      </c>
    </row>
    <row r="143" spans="1:9" ht="30" customHeight="1" x14ac:dyDescent="0.35">
      <c r="A143" t="s">
        <v>332</v>
      </c>
      <c r="B143" t="s">
        <v>333</v>
      </c>
      <c r="C143" t="s">
        <v>29</v>
      </c>
      <c r="D143" t="s">
        <v>28</v>
      </c>
      <c r="E143" s="2">
        <v>18036.849999999999</v>
      </c>
      <c r="F143" s="2"/>
      <c r="G143" s="2"/>
      <c r="H143" s="4" t="str">
        <f t="shared" si="4"/>
        <v/>
      </c>
      <c r="I143" s="6" t="str">
        <f t="shared" si="5"/>
        <v/>
      </c>
    </row>
    <row r="144" spans="1:9" ht="30" customHeight="1" x14ac:dyDescent="0.35">
      <c r="A144" t="s">
        <v>334</v>
      </c>
      <c r="B144" t="s">
        <v>335</v>
      </c>
      <c r="C144" t="s">
        <v>33</v>
      </c>
      <c r="D144" t="s">
        <v>32</v>
      </c>
      <c r="E144" s="2">
        <v>32651.46</v>
      </c>
      <c r="F144" s="2"/>
      <c r="G144" s="2"/>
      <c r="H144" s="4" t="str">
        <f t="shared" si="4"/>
        <v/>
      </c>
      <c r="I144" s="6" t="str">
        <f t="shared" si="5"/>
        <v/>
      </c>
    </row>
    <row r="145" spans="1:9" ht="30" customHeight="1" x14ac:dyDescent="0.35">
      <c r="A145" t="s">
        <v>336</v>
      </c>
      <c r="B145" t="s">
        <v>337</v>
      </c>
      <c r="C145" t="s">
        <v>29</v>
      </c>
      <c r="D145" t="s">
        <v>28</v>
      </c>
      <c r="E145" s="2">
        <v>194750.1</v>
      </c>
      <c r="F145" s="2"/>
      <c r="G145" s="2"/>
      <c r="H145" s="4" t="str">
        <f t="shared" si="4"/>
        <v/>
      </c>
      <c r="I145" s="6" t="str">
        <f t="shared" si="5"/>
        <v/>
      </c>
    </row>
    <row r="146" spans="1:9" ht="30" customHeight="1" x14ac:dyDescent="0.35">
      <c r="A146" t="s">
        <v>338</v>
      </c>
      <c r="B146" t="s">
        <v>339</v>
      </c>
      <c r="C146" t="s">
        <v>41</v>
      </c>
      <c r="D146" t="s">
        <v>40</v>
      </c>
      <c r="E146" s="2">
        <v>56789.9</v>
      </c>
      <c r="F146" s="2"/>
      <c r="G146" s="2"/>
      <c r="H146" s="4" t="str">
        <f t="shared" si="4"/>
        <v/>
      </c>
      <c r="I146" s="6" t="str">
        <f t="shared" si="5"/>
        <v/>
      </c>
    </row>
    <row r="147" spans="1:9" ht="30" customHeight="1" x14ac:dyDescent="0.35">
      <c r="A147" t="s">
        <v>340</v>
      </c>
      <c r="B147" t="s">
        <v>341</v>
      </c>
      <c r="C147" t="s">
        <v>51</v>
      </c>
      <c r="D147" t="s">
        <v>50</v>
      </c>
      <c r="E147" s="2">
        <v>142551.60999999999</v>
      </c>
      <c r="F147" s="2"/>
      <c r="G147" s="2"/>
      <c r="H147" s="4" t="str">
        <f t="shared" si="4"/>
        <v/>
      </c>
      <c r="I147" s="6" t="str">
        <f t="shared" si="5"/>
        <v/>
      </c>
    </row>
    <row r="148" spans="1:9" ht="30" customHeight="1" x14ac:dyDescent="0.35">
      <c r="A148" t="s">
        <v>342</v>
      </c>
      <c r="B148" t="s">
        <v>343</v>
      </c>
      <c r="C148" t="s">
        <v>51</v>
      </c>
      <c r="D148" t="s">
        <v>50</v>
      </c>
      <c r="E148" s="2">
        <v>81834.83</v>
      </c>
      <c r="F148" s="2"/>
      <c r="G148" s="2"/>
      <c r="H148" s="4" t="str">
        <f t="shared" si="4"/>
        <v/>
      </c>
      <c r="I148" s="6" t="str">
        <f t="shared" si="5"/>
        <v/>
      </c>
    </row>
    <row r="149" spans="1:9" ht="30" customHeight="1" x14ac:dyDescent="0.35">
      <c r="A149" t="s">
        <v>344</v>
      </c>
      <c r="B149" t="s">
        <v>345</v>
      </c>
      <c r="C149" t="s">
        <v>51</v>
      </c>
      <c r="D149" t="s">
        <v>50</v>
      </c>
      <c r="E149" s="2">
        <v>53522.61</v>
      </c>
      <c r="F149" s="2"/>
      <c r="G149" s="2"/>
      <c r="H149" s="4" t="str">
        <f t="shared" si="4"/>
        <v/>
      </c>
      <c r="I149" s="6" t="str">
        <f t="shared" si="5"/>
        <v/>
      </c>
    </row>
    <row r="150" spans="1:9" ht="30" customHeight="1" x14ac:dyDescent="0.35">
      <c r="A150" t="s">
        <v>346</v>
      </c>
      <c r="B150" t="s">
        <v>347</v>
      </c>
      <c r="C150" t="s">
        <v>41</v>
      </c>
      <c r="D150" t="s">
        <v>40</v>
      </c>
      <c r="E150" s="2">
        <v>53455.44</v>
      </c>
      <c r="F150" s="2"/>
      <c r="G150" s="2"/>
      <c r="H150" s="4" t="str">
        <f t="shared" si="4"/>
        <v/>
      </c>
      <c r="I150" s="6" t="str">
        <f t="shared" si="5"/>
        <v/>
      </c>
    </row>
    <row r="151" spans="1:9" ht="30" customHeight="1" x14ac:dyDescent="0.35">
      <c r="A151" t="s">
        <v>348</v>
      </c>
      <c r="B151" t="s">
        <v>349</v>
      </c>
      <c r="C151" t="s">
        <v>67</v>
      </c>
      <c r="D151" t="s">
        <v>66</v>
      </c>
      <c r="E151" s="2">
        <v>526651.18999999994</v>
      </c>
      <c r="F151" s="2"/>
      <c r="G151" s="2"/>
      <c r="H151" s="4" t="str">
        <f t="shared" si="4"/>
        <v/>
      </c>
      <c r="I151" s="6" t="str">
        <f t="shared" si="5"/>
        <v/>
      </c>
    </row>
    <row r="152" spans="1:9" ht="30" customHeight="1" x14ac:dyDescent="0.35">
      <c r="A152" t="s">
        <v>350</v>
      </c>
      <c r="B152" t="s">
        <v>351</v>
      </c>
      <c r="C152" t="s">
        <v>51</v>
      </c>
      <c r="D152" t="s">
        <v>50</v>
      </c>
      <c r="E152" s="2">
        <v>63942.84</v>
      </c>
      <c r="F152" s="2"/>
      <c r="G152" s="2"/>
      <c r="H152" s="4" t="str">
        <f t="shared" si="4"/>
        <v/>
      </c>
      <c r="I152" s="6" t="str">
        <f t="shared" si="5"/>
        <v/>
      </c>
    </row>
    <row r="153" spans="1:9" ht="30" customHeight="1" x14ac:dyDescent="0.35">
      <c r="A153" t="s">
        <v>352</v>
      </c>
      <c r="B153" t="s">
        <v>353</v>
      </c>
      <c r="C153" t="s">
        <v>77</v>
      </c>
      <c r="D153" t="s">
        <v>76</v>
      </c>
      <c r="E153" s="2">
        <v>10023.57</v>
      </c>
      <c r="F153" s="2"/>
      <c r="G153" s="2"/>
      <c r="H153" s="4" t="str">
        <f t="shared" si="4"/>
        <v/>
      </c>
      <c r="I153" s="6" t="str">
        <f t="shared" si="5"/>
        <v/>
      </c>
    </row>
    <row r="154" spans="1:9" ht="30" customHeight="1" x14ac:dyDescent="0.35">
      <c r="A154" t="s">
        <v>354</v>
      </c>
      <c r="B154" t="s">
        <v>355</v>
      </c>
      <c r="C154" t="s">
        <v>33</v>
      </c>
      <c r="D154" t="s">
        <v>32</v>
      </c>
      <c r="E154" s="2">
        <v>2691.37</v>
      </c>
      <c r="F154" s="2"/>
      <c r="G154" s="2"/>
      <c r="H154" s="4" t="str">
        <f t="shared" si="4"/>
        <v/>
      </c>
      <c r="I154" s="6" t="str">
        <f t="shared" si="5"/>
        <v/>
      </c>
    </row>
    <row r="155" spans="1:9" ht="30" customHeight="1" x14ac:dyDescent="0.35">
      <c r="A155" t="s">
        <v>356</v>
      </c>
      <c r="B155" t="s">
        <v>357</v>
      </c>
      <c r="C155" t="s">
        <v>259</v>
      </c>
      <c r="D155" t="s">
        <v>258</v>
      </c>
      <c r="E155" s="2">
        <v>326.36</v>
      </c>
      <c r="F155" s="2">
        <v>573359.43000000005</v>
      </c>
      <c r="G155" s="2"/>
      <c r="H155" s="4">
        <f t="shared" si="4"/>
        <v>573359.43000000005</v>
      </c>
      <c r="I155" s="6">
        <f t="shared" si="5"/>
        <v>5.692066493089683E-4</v>
      </c>
    </row>
    <row r="156" spans="1:9" ht="30" customHeight="1" x14ac:dyDescent="0.35">
      <c r="A156" t="s">
        <v>358</v>
      </c>
      <c r="B156" t="s">
        <v>359</v>
      </c>
      <c r="C156" t="s">
        <v>77</v>
      </c>
      <c r="D156" t="s">
        <v>76</v>
      </c>
      <c r="E156" s="2">
        <v>623933.29</v>
      </c>
      <c r="F156" s="2">
        <v>51298.61</v>
      </c>
      <c r="G156" s="2">
        <v>348701.39</v>
      </c>
      <c r="H156" s="4">
        <f t="shared" si="4"/>
        <v>400000</v>
      </c>
      <c r="I156" s="6">
        <f t="shared" si="5"/>
        <v>1.559833225</v>
      </c>
    </row>
    <row r="157" spans="1:9" ht="30" customHeight="1" x14ac:dyDescent="0.35">
      <c r="A157" t="s">
        <v>360</v>
      </c>
      <c r="B157" t="s">
        <v>361</v>
      </c>
      <c r="C157" t="s">
        <v>41</v>
      </c>
      <c r="D157" t="s">
        <v>40</v>
      </c>
      <c r="E157" s="2">
        <v>14185.57</v>
      </c>
      <c r="F157" s="2"/>
      <c r="G157" s="2"/>
      <c r="H157" s="4" t="str">
        <f t="shared" si="4"/>
        <v/>
      </c>
      <c r="I157" s="6" t="str">
        <f t="shared" si="5"/>
        <v/>
      </c>
    </row>
    <row r="158" spans="1:9" ht="30" customHeight="1" x14ac:dyDescent="0.35">
      <c r="A158" t="s">
        <v>362</v>
      </c>
      <c r="B158" t="s">
        <v>363</v>
      </c>
      <c r="C158" t="s">
        <v>41</v>
      </c>
      <c r="D158" t="s">
        <v>40</v>
      </c>
      <c r="E158" s="2">
        <v>1131.44</v>
      </c>
      <c r="F158" s="2"/>
      <c r="G158" s="2"/>
      <c r="H158" s="4" t="str">
        <f t="shared" si="4"/>
        <v/>
      </c>
      <c r="I158" s="6" t="str">
        <f t="shared" si="5"/>
        <v/>
      </c>
    </row>
    <row r="159" spans="1:9" ht="30" customHeight="1" x14ac:dyDescent="0.35">
      <c r="A159" t="s">
        <v>364</v>
      </c>
      <c r="B159" t="s">
        <v>365</v>
      </c>
      <c r="C159" t="s">
        <v>29</v>
      </c>
      <c r="D159" t="s">
        <v>28</v>
      </c>
      <c r="E159" s="2">
        <v>5052.13</v>
      </c>
      <c r="F159" s="2"/>
      <c r="G159" s="2"/>
      <c r="H159" s="4" t="str">
        <f t="shared" si="4"/>
        <v/>
      </c>
      <c r="I159" s="6" t="str">
        <f t="shared" si="5"/>
        <v/>
      </c>
    </row>
    <row r="160" spans="1:9" ht="30" customHeight="1" x14ac:dyDescent="0.35">
      <c r="A160" t="s">
        <v>366</v>
      </c>
      <c r="B160" t="s">
        <v>367</v>
      </c>
      <c r="C160" t="s">
        <v>51</v>
      </c>
      <c r="D160" t="s">
        <v>50</v>
      </c>
      <c r="E160" s="2">
        <v>0</v>
      </c>
      <c r="F160" s="2"/>
      <c r="G160" s="2"/>
      <c r="H160" s="4" t="str">
        <f t="shared" si="4"/>
        <v/>
      </c>
      <c r="I160" s="6" t="str">
        <f t="shared" si="5"/>
        <v/>
      </c>
    </row>
    <row r="161" spans="1:9" ht="30" customHeight="1" x14ac:dyDescent="0.35">
      <c r="A161" t="s">
        <v>366</v>
      </c>
      <c r="B161" t="s">
        <v>367</v>
      </c>
      <c r="C161" t="s">
        <v>29</v>
      </c>
      <c r="D161" t="s">
        <v>28</v>
      </c>
      <c r="E161" s="2">
        <v>78.08</v>
      </c>
      <c r="F161" s="2"/>
      <c r="G161" s="2"/>
      <c r="H161" s="4" t="str">
        <f t="shared" si="4"/>
        <v/>
      </c>
      <c r="I161" s="6" t="str">
        <f t="shared" si="5"/>
        <v/>
      </c>
    </row>
    <row r="162" spans="1:9" ht="30" customHeight="1" x14ac:dyDescent="0.35">
      <c r="A162" t="s">
        <v>368</v>
      </c>
      <c r="B162" t="s">
        <v>369</v>
      </c>
      <c r="C162" t="s">
        <v>41</v>
      </c>
      <c r="D162" t="s">
        <v>40</v>
      </c>
      <c r="E162" s="2">
        <v>11787.22</v>
      </c>
      <c r="F162" s="2"/>
      <c r="G162" s="2"/>
      <c r="H162" s="4" t="str">
        <f t="shared" si="4"/>
        <v/>
      </c>
      <c r="I162" s="6" t="str">
        <f t="shared" si="5"/>
        <v/>
      </c>
    </row>
    <row r="163" spans="1:9" ht="30" customHeight="1" x14ac:dyDescent="0.35">
      <c r="A163" t="s">
        <v>370</v>
      </c>
      <c r="B163" t="s">
        <v>371</v>
      </c>
      <c r="C163" t="s">
        <v>33</v>
      </c>
      <c r="D163" t="s">
        <v>32</v>
      </c>
      <c r="E163" s="2">
        <v>14055.09</v>
      </c>
      <c r="F163" s="2">
        <v>14430.3</v>
      </c>
      <c r="G163" s="2">
        <v>32569.7</v>
      </c>
      <c r="H163" s="4">
        <f t="shared" si="4"/>
        <v>47000</v>
      </c>
      <c r="I163" s="6">
        <f t="shared" si="5"/>
        <v>0.29904446808510637</v>
      </c>
    </row>
    <row r="164" spans="1:9" ht="30" customHeight="1" x14ac:dyDescent="0.35">
      <c r="A164" t="s">
        <v>372</v>
      </c>
      <c r="B164" t="s">
        <v>373</v>
      </c>
      <c r="C164" t="s">
        <v>15</v>
      </c>
      <c r="D164" t="s">
        <v>14</v>
      </c>
      <c r="E164" s="2">
        <v>102098.4</v>
      </c>
      <c r="F164" s="2">
        <v>883665.03</v>
      </c>
      <c r="G164" s="2"/>
      <c r="H164" s="4">
        <f t="shared" si="4"/>
        <v>883665.03</v>
      </c>
      <c r="I164" s="6">
        <f t="shared" si="5"/>
        <v>0.11553970852507311</v>
      </c>
    </row>
    <row r="165" spans="1:9" ht="30" customHeight="1" x14ac:dyDescent="0.35">
      <c r="A165" t="s">
        <v>374</v>
      </c>
      <c r="B165" t="s">
        <v>375</v>
      </c>
      <c r="C165" t="s">
        <v>57</v>
      </c>
      <c r="D165" t="s">
        <v>56</v>
      </c>
      <c r="E165" s="2">
        <v>81620.31</v>
      </c>
      <c r="F165" s="2"/>
      <c r="G165" s="2"/>
      <c r="H165" s="4" t="str">
        <f t="shared" si="4"/>
        <v/>
      </c>
      <c r="I165" s="6" t="str">
        <f t="shared" si="5"/>
        <v/>
      </c>
    </row>
    <row r="166" spans="1:9" ht="30" customHeight="1" x14ac:dyDescent="0.35">
      <c r="A166" t="s">
        <v>376</v>
      </c>
      <c r="B166" t="s">
        <v>377</v>
      </c>
      <c r="C166" t="s">
        <v>67</v>
      </c>
      <c r="D166" t="s">
        <v>66</v>
      </c>
      <c r="E166" s="2">
        <v>80728.7</v>
      </c>
      <c r="F166" s="2"/>
      <c r="G166" s="2"/>
      <c r="H166" s="4" t="str">
        <f t="shared" si="4"/>
        <v/>
      </c>
      <c r="I166" s="6" t="str">
        <f t="shared" si="5"/>
        <v/>
      </c>
    </row>
    <row r="167" spans="1:9" ht="30" customHeight="1" x14ac:dyDescent="0.35">
      <c r="A167" t="s">
        <v>378</v>
      </c>
      <c r="B167" t="s">
        <v>379</v>
      </c>
      <c r="C167" t="s">
        <v>57</v>
      </c>
      <c r="D167" t="s">
        <v>56</v>
      </c>
      <c r="E167" s="2">
        <v>8088.13</v>
      </c>
      <c r="F167" s="2"/>
      <c r="G167" s="2"/>
      <c r="H167" s="4" t="str">
        <f t="shared" si="4"/>
        <v/>
      </c>
      <c r="I167" s="6" t="str">
        <f t="shared" si="5"/>
        <v/>
      </c>
    </row>
    <row r="168" spans="1:9" ht="30" customHeight="1" x14ac:dyDescent="0.35">
      <c r="A168" t="s">
        <v>380</v>
      </c>
      <c r="B168" t="s">
        <v>381</v>
      </c>
      <c r="C168" t="s">
        <v>253</v>
      </c>
      <c r="D168" t="s">
        <v>252</v>
      </c>
      <c r="E168" s="2">
        <v>958400.3</v>
      </c>
      <c r="F168" s="2">
        <v>433836.54</v>
      </c>
      <c r="G168" s="2">
        <v>250000</v>
      </c>
      <c r="H168" s="4">
        <f t="shared" si="4"/>
        <v>683836.54</v>
      </c>
      <c r="I168" s="6">
        <f t="shared" si="5"/>
        <v>1.4015049561405419</v>
      </c>
    </row>
    <row r="169" spans="1:9" ht="30" customHeight="1" x14ac:dyDescent="0.35">
      <c r="A169" t="s">
        <v>382</v>
      </c>
      <c r="B169" t="s">
        <v>383</v>
      </c>
      <c r="C169" t="s">
        <v>385</v>
      </c>
      <c r="D169" t="s">
        <v>384</v>
      </c>
      <c r="E169" s="2">
        <v>49.7</v>
      </c>
      <c r="F169" s="2"/>
      <c r="G169" s="2"/>
      <c r="H169" s="4" t="str">
        <f t="shared" si="4"/>
        <v/>
      </c>
      <c r="I169" s="6" t="str">
        <f t="shared" si="5"/>
        <v/>
      </c>
    </row>
    <row r="170" spans="1:9" ht="30" customHeight="1" x14ac:dyDescent="0.35">
      <c r="A170" t="s">
        <v>386</v>
      </c>
      <c r="B170" t="s">
        <v>387</v>
      </c>
      <c r="C170" t="s">
        <v>33</v>
      </c>
      <c r="D170" t="s">
        <v>32</v>
      </c>
      <c r="E170" s="2">
        <v>47337.69</v>
      </c>
      <c r="F170" s="2"/>
      <c r="G170" s="2"/>
      <c r="H170" s="4" t="str">
        <f t="shared" si="4"/>
        <v/>
      </c>
      <c r="I170" s="6" t="str">
        <f t="shared" si="5"/>
        <v/>
      </c>
    </row>
    <row r="171" spans="1:9" ht="30" customHeight="1" x14ac:dyDescent="0.35">
      <c r="A171" t="s">
        <v>388</v>
      </c>
      <c r="B171" t="s">
        <v>389</v>
      </c>
      <c r="C171" t="s">
        <v>19</v>
      </c>
      <c r="D171" t="s">
        <v>18</v>
      </c>
      <c r="E171" s="2">
        <v>23239.73</v>
      </c>
      <c r="F171" s="2"/>
      <c r="G171" s="2"/>
      <c r="H171" s="4" t="str">
        <f t="shared" si="4"/>
        <v/>
      </c>
      <c r="I171" s="6" t="str">
        <f t="shared" si="5"/>
        <v/>
      </c>
    </row>
    <row r="172" spans="1:9" ht="30" customHeight="1" x14ac:dyDescent="0.35">
      <c r="A172" t="s">
        <v>390</v>
      </c>
      <c r="B172" t="s">
        <v>391</v>
      </c>
      <c r="C172" t="s">
        <v>109</v>
      </c>
      <c r="D172" t="s">
        <v>108</v>
      </c>
      <c r="E172" s="2">
        <v>51565.919999999998</v>
      </c>
      <c r="F172" s="2"/>
      <c r="G172" s="2"/>
      <c r="H172" s="4" t="str">
        <f t="shared" si="4"/>
        <v/>
      </c>
      <c r="I172" s="6" t="str">
        <f t="shared" si="5"/>
        <v/>
      </c>
    </row>
    <row r="173" spans="1:9" ht="30" customHeight="1" x14ac:dyDescent="0.35">
      <c r="A173" t="s">
        <v>392</v>
      </c>
      <c r="B173" t="s">
        <v>393</v>
      </c>
      <c r="C173" t="s">
        <v>15</v>
      </c>
      <c r="D173" t="s">
        <v>14</v>
      </c>
      <c r="E173" s="2">
        <v>42107.53</v>
      </c>
      <c r="F173" s="2">
        <v>806.7</v>
      </c>
      <c r="G173" s="2">
        <v>499193.3</v>
      </c>
      <c r="H173" s="4">
        <f t="shared" si="4"/>
        <v>500000</v>
      </c>
      <c r="I173" s="6">
        <f t="shared" si="5"/>
        <v>8.4215059999999994E-2</v>
      </c>
    </row>
    <row r="174" spans="1:9" ht="30" customHeight="1" x14ac:dyDescent="0.35">
      <c r="A174" t="s">
        <v>394</v>
      </c>
      <c r="B174" t="s">
        <v>395</v>
      </c>
      <c r="C174" t="s">
        <v>57</v>
      </c>
      <c r="D174" t="s">
        <v>56</v>
      </c>
      <c r="E174" s="2">
        <v>2365.35</v>
      </c>
      <c r="F174" s="2"/>
      <c r="G174" s="2"/>
      <c r="H174" s="4" t="str">
        <f t="shared" si="4"/>
        <v/>
      </c>
      <c r="I174" s="6" t="str">
        <f t="shared" si="5"/>
        <v/>
      </c>
    </row>
    <row r="175" spans="1:9" ht="30" customHeight="1" x14ac:dyDescent="0.35">
      <c r="A175" t="s">
        <v>396</v>
      </c>
      <c r="B175" t="s">
        <v>397</v>
      </c>
      <c r="C175" t="s">
        <v>77</v>
      </c>
      <c r="D175" t="s">
        <v>76</v>
      </c>
      <c r="E175" s="2">
        <v>109876.21</v>
      </c>
      <c r="F175" s="2"/>
      <c r="G175" s="2"/>
      <c r="H175" s="4" t="str">
        <f t="shared" si="4"/>
        <v/>
      </c>
      <c r="I175" s="6" t="str">
        <f t="shared" si="5"/>
        <v/>
      </c>
    </row>
    <row r="176" spans="1:9" ht="30" customHeight="1" x14ac:dyDescent="0.35">
      <c r="A176" t="s">
        <v>398</v>
      </c>
      <c r="B176" t="s">
        <v>399</v>
      </c>
      <c r="C176" t="s">
        <v>19</v>
      </c>
      <c r="D176" t="s">
        <v>18</v>
      </c>
      <c r="E176" s="2">
        <v>126596.69</v>
      </c>
      <c r="F176" s="2"/>
      <c r="G176" s="2"/>
      <c r="H176" s="4" t="str">
        <f t="shared" si="4"/>
        <v/>
      </c>
      <c r="I176" s="6" t="str">
        <f t="shared" si="5"/>
        <v/>
      </c>
    </row>
    <row r="177" spans="1:9" ht="30" customHeight="1" x14ac:dyDescent="0.35">
      <c r="A177" t="s">
        <v>400</v>
      </c>
      <c r="B177" t="s">
        <v>401</v>
      </c>
      <c r="C177" t="s">
        <v>101</v>
      </c>
      <c r="D177" t="s">
        <v>100</v>
      </c>
      <c r="E177" s="2"/>
      <c r="F177" s="2">
        <v>3101677.15</v>
      </c>
      <c r="G177" s="2">
        <v>648322.85</v>
      </c>
      <c r="H177" s="4">
        <f t="shared" si="4"/>
        <v>3750000</v>
      </c>
      <c r="I177" s="6">
        <f t="shared" si="5"/>
        <v>0</v>
      </c>
    </row>
    <row r="178" spans="1:9" ht="30" customHeight="1" x14ac:dyDescent="0.35">
      <c r="A178" t="s">
        <v>402</v>
      </c>
      <c r="B178" t="s">
        <v>403</v>
      </c>
      <c r="C178" t="s">
        <v>405</v>
      </c>
      <c r="D178" t="s">
        <v>404</v>
      </c>
      <c r="E178" s="2">
        <v>0</v>
      </c>
      <c r="F178" s="2"/>
      <c r="G178" s="2"/>
      <c r="H178" s="4" t="str">
        <f t="shared" si="4"/>
        <v/>
      </c>
      <c r="I178" s="6" t="str">
        <f t="shared" si="5"/>
        <v/>
      </c>
    </row>
    <row r="179" spans="1:9" ht="30" customHeight="1" x14ac:dyDescent="0.35">
      <c r="A179" t="s">
        <v>406</v>
      </c>
      <c r="B179" t="s">
        <v>407</v>
      </c>
      <c r="C179" t="s">
        <v>29</v>
      </c>
      <c r="D179" t="s">
        <v>28</v>
      </c>
      <c r="E179" s="2">
        <v>176.27</v>
      </c>
      <c r="F179" s="2">
        <v>0</v>
      </c>
      <c r="G179" s="2">
        <v>250000</v>
      </c>
      <c r="H179" s="4">
        <f t="shared" si="4"/>
        <v>250000</v>
      </c>
      <c r="I179" s="6">
        <f t="shared" si="5"/>
        <v>7.0508000000000007E-4</v>
      </c>
    </row>
    <row r="180" spans="1:9" ht="30" customHeight="1" x14ac:dyDescent="0.35">
      <c r="A180" t="s">
        <v>408</v>
      </c>
      <c r="B180" t="s">
        <v>409</v>
      </c>
      <c r="C180" t="s">
        <v>51</v>
      </c>
      <c r="D180" t="s">
        <v>50</v>
      </c>
      <c r="E180" s="2">
        <v>501.59</v>
      </c>
      <c r="F180" s="2"/>
      <c r="G180" s="2"/>
      <c r="H180" s="4" t="str">
        <f t="shared" si="4"/>
        <v/>
      </c>
      <c r="I180" s="6" t="str">
        <f t="shared" si="5"/>
        <v/>
      </c>
    </row>
    <row r="181" spans="1:9" ht="30" customHeight="1" x14ac:dyDescent="0.35">
      <c r="A181" t="s">
        <v>410</v>
      </c>
      <c r="B181" t="s">
        <v>411</v>
      </c>
      <c r="C181" t="s">
        <v>51</v>
      </c>
      <c r="D181" t="s">
        <v>50</v>
      </c>
      <c r="E181" s="2">
        <v>50837.06</v>
      </c>
      <c r="F181" s="2"/>
      <c r="G181" s="2"/>
      <c r="H181" s="4" t="str">
        <f t="shared" si="4"/>
        <v/>
      </c>
      <c r="I181" s="6" t="str">
        <f t="shared" si="5"/>
        <v/>
      </c>
    </row>
    <row r="182" spans="1:9" ht="30" customHeight="1" x14ac:dyDescent="0.35">
      <c r="A182" t="s">
        <v>412</v>
      </c>
      <c r="B182" t="s">
        <v>413</v>
      </c>
      <c r="C182" t="s">
        <v>67</v>
      </c>
      <c r="D182" t="s">
        <v>66</v>
      </c>
      <c r="E182" s="2">
        <v>26851.3</v>
      </c>
      <c r="F182" s="2"/>
      <c r="G182" s="2"/>
      <c r="H182" s="4" t="str">
        <f t="shared" si="4"/>
        <v/>
      </c>
      <c r="I182" s="6" t="str">
        <f t="shared" si="5"/>
        <v/>
      </c>
    </row>
    <row r="183" spans="1:9" ht="30" customHeight="1" x14ac:dyDescent="0.35">
      <c r="A183" t="s">
        <v>414</v>
      </c>
      <c r="B183" t="s">
        <v>415</v>
      </c>
      <c r="C183" t="s">
        <v>19</v>
      </c>
      <c r="D183" t="s">
        <v>18</v>
      </c>
      <c r="E183" s="2">
        <v>15437.03</v>
      </c>
      <c r="F183" s="2"/>
      <c r="G183" s="2"/>
      <c r="H183" s="4" t="str">
        <f t="shared" si="4"/>
        <v/>
      </c>
      <c r="I183" s="6" t="str">
        <f t="shared" si="5"/>
        <v/>
      </c>
    </row>
    <row r="184" spans="1:9" ht="30" customHeight="1" x14ac:dyDescent="0.35">
      <c r="A184" t="s">
        <v>416</v>
      </c>
      <c r="B184" t="s">
        <v>417</v>
      </c>
      <c r="C184" t="s">
        <v>51</v>
      </c>
      <c r="D184" t="s">
        <v>50</v>
      </c>
      <c r="E184" s="2">
        <v>49268.65</v>
      </c>
      <c r="F184" s="2">
        <v>0</v>
      </c>
      <c r="G184" s="2">
        <v>500</v>
      </c>
      <c r="H184" s="4">
        <f t="shared" si="4"/>
        <v>500</v>
      </c>
      <c r="I184" s="6">
        <f t="shared" si="5"/>
        <v>98.537300000000002</v>
      </c>
    </row>
    <row r="185" spans="1:9" ht="30" customHeight="1" x14ac:dyDescent="0.35">
      <c r="A185" t="s">
        <v>418</v>
      </c>
      <c r="B185" t="s">
        <v>419</v>
      </c>
      <c r="C185" t="s">
        <v>19</v>
      </c>
      <c r="D185" t="s">
        <v>18</v>
      </c>
      <c r="E185" s="2">
        <v>237.71</v>
      </c>
      <c r="F185" s="2"/>
      <c r="G185" s="2"/>
      <c r="H185" s="4" t="str">
        <f t="shared" si="4"/>
        <v/>
      </c>
      <c r="I185" s="6" t="str">
        <f t="shared" si="5"/>
        <v/>
      </c>
    </row>
    <row r="186" spans="1:9" ht="30" customHeight="1" x14ac:dyDescent="0.35">
      <c r="A186" t="s">
        <v>420</v>
      </c>
      <c r="B186" t="s">
        <v>421</v>
      </c>
      <c r="C186" t="s">
        <v>109</v>
      </c>
      <c r="D186" t="s">
        <v>108</v>
      </c>
      <c r="E186" s="2">
        <v>10723.93</v>
      </c>
      <c r="F186" s="2"/>
      <c r="G186" s="2"/>
      <c r="H186" s="4" t="str">
        <f t="shared" si="4"/>
        <v/>
      </c>
      <c r="I186" s="6" t="str">
        <f t="shared" si="5"/>
        <v/>
      </c>
    </row>
    <row r="187" spans="1:9" ht="30" customHeight="1" x14ac:dyDescent="0.35">
      <c r="A187" t="s">
        <v>422</v>
      </c>
      <c r="B187" t="s">
        <v>423</v>
      </c>
      <c r="C187" t="s">
        <v>101</v>
      </c>
      <c r="D187" t="s">
        <v>100</v>
      </c>
      <c r="E187" s="2">
        <v>700015.57</v>
      </c>
      <c r="F187" s="2">
        <v>486634.2</v>
      </c>
      <c r="G187" s="2">
        <v>473586.03</v>
      </c>
      <c r="H187" s="4">
        <f t="shared" si="4"/>
        <v>960220.23</v>
      </c>
      <c r="I187" s="6">
        <f t="shared" si="5"/>
        <v>0.72901564467143121</v>
      </c>
    </row>
    <row r="188" spans="1:9" ht="30" customHeight="1" x14ac:dyDescent="0.35">
      <c r="A188" t="s">
        <v>424</v>
      </c>
      <c r="B188" t="s">
        <v>425</v>
      </c>
      <c r="C188" t="s">
        <v>51</v>
      </c>
      <c r="D188" t="s">
        <v>50</v>
      </c>
      <c r="E188" s="2">
        <v>18439.060000000001</v>
      </c>
      <c r="F188" s="2">
        <v>115576.86</v>
      </c>
      <c r="G188" s="2">
        <v>9423.14</v>
      </c>
      <c r="H188" s="4">
        <f t="shared" si="4"/>
        <v>125000</v>
      </c>
      <c r="I188" s="6">
        <f t="shared" si="5"/>
        <v>0.14751248</v>
      </c>
    </row>
    <row r="189" spans="1:9" ht="30" customHeight="1" x14ac:dyDescent="0.35">
      <c r="A189" t="s">
        <v>426</v>
      </c>
      <c r="B189" t="s">
        <v>427</v>
      </c>
      <c r="C189" t="s">
        <v>19</v>
      </c>
      <c r="D189" t="s">
        <v>18</v>
      </c>
      <c r="E189" s="2">
        <v>34659.08</v>
      </c>
      <c r="F189" s="2">
        <v>4825.58</v>
      </c>
      <c r="G189" s="2"/>
      <c r="H189" s="4">
        <f t="shared" si="4"/>
        <v>4825.58</v>
      </c>
      <c r="I189" s="6">
        <f t="shared" si="5"/>
        <v>7.1823656430936804</v>
      </c>
    </row>
    <row r="190" spans="1:9" ht="30" customHeight="1" x14ac:dyDescent="0.35">
      <c r="A190" t="s">
        <v>428</v>
      </c>
      <c r="B190" t="s">
        <v>429</v>
      </c>
      <c r="C190" t="s">
        <v>109</v>
      </c>
      <c r="D190" t="s">
        <v>108</v>
      </c>
      <c r="E190" s="2">
        <v>23068.080000000002</v>
      </c>
      <c r="F190" s="2">
        <v>0</v>
      </c>
      <c r="G190" s="2">
        <v>5000</v>
      </c>
      <c r="H190" s="4">
        <f t="shared" si="4"/>
        <v>5000</v>
      </c>
      <c r="I190" s="6">
        <f t="shared" si="5"/>
        <v>4.6136160000000004</v>
      </c>
    </row>
    <row r="191" spans="1:9" ht="30" customHeight="1" x14ac:dyDescent="0.35">
      <c r="A191" t="s">
        <v>430</v>
      </c>
      <c r="B191" t="s">
        <v>431</v>
      </c>
      <c r="C191" t="s">
        <v>51</v>
      </c>
      <c r="D191" t="s">
        <v>50</v>
      </c>
      <c r="E191" s="2">
        <v>160826.96</v>
      </c>
      <c r="F191" s="2"/>
      <c r="G191" s="2"/>
      <c r="H191" s="4" t="str">
        <f t="shared" si="4"/>
        <v/>
      </c>
      <c r="I191" s="6" t="str">
        <f t="shared" si="5"/>
        <v/>
      </c>
    </row>
    <row r="192" spans="1:9" ht="30" customHeight="1" x14ac:dyDescent="0.35">
      <c r="A192" t="s">
        <v>432</v>
      </c>
      <c r="B192" t="s">
        <v>433</v>
      </c>
      <c r="C192" t="s">
        <v>51</v>
      </c>
      <c r="D192" t="s">
        <v>50</v>
      </c>
      <c r="E192" s="2">
        <v>212687.75</v>
      </c>
      <c r="F192" s="2">
        <v>0</v>
      </c>
      <c r="G192" s="2">
        <v>1000</v>
      </c>
      <c r="H192" s="4">
        <f t="shared" si="4"/>
        <v>1000</v>
      </c>
      <c r="I192" s="6">
        <f t="shared" si="5"/>
        <v>212.68774999999999</v>
      </c>
    </row>
    <row r="193" spans="1:9" ht="30" customHeight="1" x14ac:dyDescent="0.35">
      <c r="A193" t="s">
        <v>434</v>
      </c>
      <c r="B193" t="s">
        <v>435</v>
      </c>
      <c r="C193" t="s">
        <v>109</v>
      </c>
      <c r="D193" t="s">
        <v>108</v>
      </c>
      <c r="E193" s="2">
        <v>1961.1</v>
      </c>
      <c r="F193" s="2"/>
      <c r="G193" s="2"/>
      <c r="H193" s="4" t="str">
        <f t="shared" si="4"/>
        <v/>
      </c>
      <c r="I193" s="6" t="str">
        <f t="shared" si="5"/>
        <v/>
      </c>
    </row>
    <row r="194" spans="1:9" ht="30" customHeight="1" x14ac:dyDescent="0.35">
      <c r="A194" t="s">
        <v>436</v>
      </c>
      <c r="B194" t="s">
        <v>437</v>
      </c>
      <c r="C194" t="s">
        <v>67</v>
      </c>
      <c r="D194" t="s">
        <v>66</v>
      </c>
      <c r="E194" s="2">
        <v>196787.72</v>
      </c>
      <c r="F194" s="2"/>
      <c r="G194" s="2"/>
      <c r="H194" s="4" t="str">
        <f t="shared" ref="H194:H257" si="6">IF(ISBLANK(F194),"",(F194+G194))</f>
        <v/>
      </c>
      <c r="I194" s="6" t="str">
        <f t="shared" ref="I194:I257" si="7">IF(ISBLANK(F194), "", E194/H194)</f>
        <v/>
      </c>
    </row>
    <row r="195" spans="1:9" ht="30" customHeight="1" x14ac:dyDescent="0.35">
      <c r="A195" t="s">
        <v>438</v>
      </c>
      <c r="B195" t="s">
        <v>439</v>
      </c>
      <c r="C195" t="s">
        <v>15</v>
      </c>
      <c r="D195" t="s">
        <v>14</v>
      </c>
      <c r="E195" s="2">
        <v>1020</v>
      </c>
      <c r="F195" s="2"/>
      <c r="G195" s="2"/>
      <c r="H195" s="4" t="str">
        <f t="shared" si="6"/>
        <v/>
      </c>
      <c r="I195" s="6" t="str">
        <f t="shared" si="7"/>
        <v/>
      </c>
    </row>
    <row r="196" spans="1:9" ht="30" customHeight="1" x14ac:dyDescent="0.35">
      <c r="A196" t="s">
        <v>440</v>
      </c>
      <c r="B196" t="s">
        <v>441</v>
      </c>
      <c r="C196" t="s">
        <v>11</v>
      </c>
      <c r="D196" t="s">
        <v>10</v>
      </c>
      <c r="E196" s="2">
        <v>45000.800000000003</v>
      </c>
      <c r="F196" s="2">
        <v>567405.69999999995</v>
      </c>
      <c r="G196" s="2"/>
      <c r="H196" s="4">
        <f t="shared" si="6"/>
        <v>567405.69999999995</v>
      </c>
      <c r="I196" s="6">
        <f t="shared" si="7"/>
        <v>7.9309742570439476E-2</v>
      </c>
    </row>
    <row r="197" spans="1:9" ht="30" customHeight="1" x14ac:dyDescent="0.35">
      <c r="A197" t="s">
        <v>442</v>
      </c>
      <c r="B197" t="s">
        <v>443</v>
      </c>
      <c r="C197" t="s">
        <v>101</v>
      </c>
      <c r="D197" t="s">
        <v>100</v>
      </c>
      <c r="E197" s="2">
        <v>24888.28</v>
      </c>
      <c r="F197" s="2">
        <v>796123.17</v>
      </c>
      <c r="G197" s="2">
        <v>44913.31</v>
      </c>
      <c r="H197" s="4">
        <f t="shared" si="6"/>
        <v>841036.48</v>
      </c>
      <c r="I197" s="6">
        <f t="shared" si="7"/>
        <v>2.9592390570263968E-2</v>
      </c>
    </row>
    <row r="198" spans="1:9" ht="30" customHeight="1" x14ac:dyDescent="0.35">
      <c r="A198" t="s">
        <v>444</v>
      </c>
      <c r="B198" t="s">
        <v>445</v>
      </c>
      <c r="C198" t="s">
        <v>29</v>
      </c>
      <c r="D198" t="s">
        <v>28</v>
      </c>
      <c r="E198" s="2">
        <v>2677.31</v>
      </c>
      <c r="F198" s="2">
        <v>245300.18</v>
      </c>
      <c r="G198" s="2">
        <v>4699.82</v>
      </c>
      <c r="H198" s="4">
        <f t="shared" si="6"/>
        <v>250000</v>
      </c>
      <c r="I198" s="6">
        <f t="shared" si="7"/>
        <v>1.070924E-2</v>
      </c>
    </row>
    <row r="199" spans="1:9" ht="30" customHeight="1" x14ac:dyDescent="0.35">
      <c r="A199" t="s">
        <v>446</v>
      </c>
      <c r="B199" t="s">
        <v>447</v>
      </c>
      <c r="C199" t="s">
        <v>15</v>
      </c>
      <c r="D199" t="s">
        <v>14</v>
      </c>
      <c r="E199" s="2">
        <v>86749.21</v>
      </c>
      <c r="F199" s="2">
        <v>7292421.5099999998</v>
      </c>
      <c r="G199" s="2"/>
      <c r="H199" s="4">
        <f t="shared" si="6"/>
        <v>7292421.5099999998</v>
      </c>
      <c r="I199" s="6">
        <f t="shared" si="7"/>
        <v>1.1895803044440311E-2</v>
      </c>
    </row>
    <row r="200" spans="1:9" ht="30" customHeight="1" x14ac:dyDescent="0.35">
      <c r="A200" t="s">
        <v>448</v>
      </c>
      <c r="B200" t="s">
        <v>449</v>
      </c>
      <c r="C200" t="s">
        <v>77</v>
      </c>
      <c r="D200" t="s">
        <v>76</v>
      </c>
      <c r="E200" s="2"/>
      <c r="F200" s="2">
        <v>163954.56</v>
      </c>
      <c r="G200" s="2"/>
      <c r="H200" s="4">
        <f t="shared" si="6"/>
        <v>163954.56</v>
      </c>
      <c r="I200" s="6">
        <f t="shared" si="7"/>
        <v>0</v>
      </c>
    </row>
    <row r="201" spans="1:9" ht="30" customHeight="1" x14ac:dyDescent="0.35">
      <c r="A201" t="s">
        <v>450</v>
      </c>
      <c r="B201" t="s">
        <v>451</v>
      </c>
      <c r="C201" t="s">
        <v>29</v>
      </c>
      <c r="D201" t="s">
        <v>28</v>
      </c>
      <c r="E201" s="2">
        <v>594.42999999999995</v>
      </c>
      <c r="F201" s="2">
        <v>22.04</v>
      </c>
      <c r="G201" s="2">
        <v>249977.96</v>
      </c>
      <c r="H201" s="4">
        <f t="shared" si="6"/>
        <v>250000</v>
      </c>
      <c r="I201" s="6">
        <f t="shared" si="7"/>
        <v>2.3777199999999998E-3</v>
      </c>
    </row>
    <row r="202" spans="1:9" ht="30" customHeight="1" x14ac:dyDescent="0.35">
      <c r="A202" t="s">
        <v>452</v>
      </c>
      <c r="B202" t="s">
        <v>453</v>
      </c>
      <c r="C202" t="s">
        <v>253</v>
      </c>
      <c r="D202" t="s">
        <v>252</v>
      </c>
      <c r="E202" s="2">
        <v>372536.72</v>
      </c>
      <c r="F202" s="2">
        <v>2320326.41</v>
      </c>
      <c r="G202" s="2"/>
      <c r="H202" s="4">
        <f t="shared" si="6"/>
        <v>2320326.41</v>
      </c>
      <c r="I202" s="6">
        <f t="shared" si="7"/>
        <v>0.16055358349345339</v>
      </c>
    </row>
    <row r="203" spans="1:9" ht="30" customHeight="1" x14ac:dyDescent="0.35">
      <c r="A203" t="s">
        <v>454</v>
      </c>
      <c r="B203" t="s">
        <v>455</v>
      </c>
      <c r="C203" t="s">
        <v>457</v>
      </c>
      <c r="D203" t="s">
        <v>456</v>
      </c>
      <c r="E203" s="2">
        <v>7543.91</v>
      </c>
      <c r="F203" s="2">
        <v>585979.88</v>
      </c>
      <c r="G203" s="2"/>
      <c r="H203" s="4">
        <f t="shared" si="6"/>
        <v>585979.88</v>
      </c>
      <c r="I203" s="6">
        <f t="shared" si="7"/>
        <v>1.2874008575174969E-2</v>
      </c>
    </row>
    <row r="204" spans="1:9" ht="30" customHeight="1" x14ac:dyDescent="0.35">
      <c r="A204" t="s">
        <v>458</v>
      </c>
      <c r="B204" t="s">
        <v>459</v>
      </c>
      <c r="C204" t="s">
        <v>461</v>
      </c>
      <c r="D204" t="s">
        <v>460</v>
      </c>
      <c r="E204" s="2">
        <v>0</v>
      </c>
      <c r="F204" s="2"/>
      <c r="G204" s="2"/>
      <c r="H204" s="4" t="str">
        <f t="shared" si="6"/>
        <v/>
      </c>
      <c r="I204" s="6" t="str">
        <f t="shared" si="7"/>
        <v/>
      </c>
    </row>
    <row r="205" spans="1:9" ht="30" customHeight="1" x14ac:dyDescent="0.35">
      <c r="A205" t="s">
        <v>462</v>
      </c>
      <c r="B205" t="s">
        <v>463</v>
      </c>
      <c r="C205" t="s">
        <v>465</v>
      </c>
      <c r="D205" t="s">
        <v>464</v>
      </c>
      <c r="E205" s="2">
        <v>1112291.17</v>
      </c>
      <c r="F205" s="2">
        <v>5732054.8399999999</v>
      </c>
      <c r="G205" s="2"/>
      <c r="H205" s="4">
        <f t="shared" si="6"/>
        <v>5732054.8399999999</v>
      </c>
      <c r="I205" s="6">
        <f t="shared" si="7"/>
        <v>0.19404754508594338</v>
      </c>
    </row>
    <row r="206" spans="1:9" ht="30" customHeight="1" x14ac:dyDescent="0.35">
      <c r="A206" t="s">
        <v>466</v>
      </c>
      <c r="B206" t="s">
        <v>467</v>
      </c>
      <c r="C206" t="s">
        <v>19</v>
      </c>
      <c r="D206" t="s">
        <v>18</v>
      </c>
      <c r="E206" s="2">
        <v>10118.26</v>
      </c>
      <c r="F206" s="2">
        <v>266439.03999999998</v>
      </c>
      <c r="G206" s="2">
        <v>145024.24</v>
      </c>
      <c r="H206" s="4">
        <f t="shared" si="6"/>
        <v>411463.27999999997</v>
      </c>
      <c r="I206" s="6">
        <f t="shared" si="7"/>
        <v>2.4590918538344421E-2</v>
      </c>
    </row>
    <row r="207" spans="1:9" ht="30" customHeight="1" x14ac:dyDescent="0.35">
      <c r="A207" t="s">
        <v>468</v>
      </c>
      <c r="B207" t="s">
        <v>469</v>
      </c>
      <c r="C207" t="s">
        <v>471</v>
      </c>
      <c r="D207" t="s">
        <v>470</v>
      </c>
      <c r="E207" s="2">
        <v>0</v>
      </c>
      <c r="F207" s="2"/>
      <c r="G207" s="2"/>
      <c r="H207" s="4" t="str">
        <f t="shared" si="6"/>
        <v/>
      </c>
      <c r="I207" s="6" t="str">
        <f t="shared" si="7"/>
        <v/>
      </c>
    </row>
    <row r="208" spans="1:9" ht="30" customHeight="1" x14ac:dyDescent="0.35">
      <c r="A208" t="s">
        <v>472</v>
      </c>
      <c r="B208" t="s">
        <v>473</v>
      </c>
      <c r="C208" t="s">
        <v>19</v>
      </c>
      <c r="D208" t="s">
        <v>18</v>
      </c>
      <c r="E208" s="2">
        <v>6300</v>
      </c>
      <c r="F208" s="2">
        <v>376913.97</v>
      </c>
      <c r="G208" s="2"/>
      <c r="H208" s="4">
        <f t="shared" si="6"/>
        <v>376913.97</v>
      </c>
      <c r="I208" s="6">
        <f t="shared" si="7"/>
        <v>1.6714689561652493E-2</v>
      </c>
    </row>
    <row r="209" spans="1:9" ht="30" customHeight="1" x14ac:dyDescent="0.35">
      <c r="A209" t="s">
        <v>474</v>
      </c>
      <c r="B209" t="s">
        <v>475</v>
      </c>
      <c r="C209" t="s">
        <v>471</v>
      </c>
      <c r="D209" t="s">
        <v>470</v>
      </c>
      <c r="E209" s="2">
        <v>0</v>
      </c>
      <c r="F209" s="2"/>
      <c r="G209" s="2"/>
      <c r="H209" s="4" t="str">
        <f t="shared" si="6"/>
        <v/>
      </c>
      <c r="I209" s="6" t="str">
        <f t="shared" si="7"/>
        <v/>
      </c>
    </row>
    <row r="210" spans="1:9" ht="30" customHeight="1" x14ac:dyDescent="0.35">
      <c r="A210" t="s">
        <v>476</v>
      </c>
      <c r="B210" t="s">
        <v>477</v>
      </c>
      <c r="C210" t="s">
        <v>461</v>
      </c>
      <c r="D210" t="s">
        <v>460</v>
      </c>
      <c r="E210" s="2">
        <v>0</v>
      </c>
      <c r="F210" s="2"/>
      <c r="G210" s="2"/>
      <c r="H210" s="4" t="str">
        <f t="shared" si="6"/>
        <v/>
      </c>
      <c r="I210" s="6" t="str">
        <f t="shared" si="7"/>
        <v/>
      </c>
    </row>
    <row r="211" spans="1:9" ht="30" customHeight="1" x14ac:dyDescent="0.35">
      <c r="A211" t="s">
        <v>478</v>
      </c>
      <c r="B211" t="s">
        <v>479</v>
      </c>
      <c r="C211" t="s">
        <v>461</v>
      </c>
      <c r="D211" t="s">
        <v>460</v>
      </c>
      <c r="E211" s="2">
        <v>5</v>
      </c>
      <c r="F211" s="2"/>
      <c r="G211" s="2"/>
      <c r="H211" s="4" t="str">
        <f t="shared" si="6"/>
        <v/>
      </c>
      <c r="I211" s="6" t="str">
        <f t="shared" si="7"/>
        <v/>
      </c>
    </row>
    <row r="212" spans="1:9" ht="30" customHeight="1" x14ac:dyDescent="0.35">
      <c r="A212" t="s">
        <v>480</v>
      </c>
      <c r="B212" t="s">
        <v>481</v>
      </c>
      <c r="C212" t="s">
        <v>19</v>
      </c>
      <c r="D212" t="s">
        <v>18</v>
      </c>
      <c r="E212" s="2">
        <v>15206.12</v>
      </c>
      <c r="F212" s="2">
        <v>604833.56000000006</v>
      </c>
      <c r="G212" s="2"/>
      <c r="H212" s="4">
        <f t="shared" si="6"/>
        <v>604833.56000000006</v>
      </c>
      <c r="I212" s="6">
        <f t="shared" si="7"/>
        <v>2.514099912048531E-2</v>
      </c>
    </row>
    <row r="213" spans="1:9" ht="30" customHeight="1" x14ac:dyDescent="0.35">
      <c r="A213" t="s">
        <v>482</v>
      </c>
      <c r="B213" t="s">
        <v>483</v>
      </c>
      <c r="C213" t="s">
        <v>101</v>
      </c>
      <c r="D213" t="s">
        <v>100</v>
      </c>
      <c r="E213" s="2">
        <v>432574.12</v>
      </c>
      <c r="F213" s="2">
        <v>99.87</v>
      </c>
      <c r="G213" s="2">
        <v>199900.13</v>
      </c>
      <c r="H213" s="4">
        <f t="shared" si="6"/>
        <v>200000</v>
      </c>
      <c r="I213" s="6">
        <f t="shared" si="7"/>
        <v>2.1628706000000002</v>
      </c>
    </row>
    <row r="214" spans="1:9" ht="30" customHeight="1" x14ac:dyDescent="0.35">
      <c r="A214" t="s">
        <v>484</v>
      </c>
      <c r="B214" t="s">
        <v>485</v>
      </c>
      <c r="C214" t="s">
        <v>487</v>
      </c>
      <c r="D214" t="s">
        <v>486</v>
      </c>
      <c r="E214" s="2">
        <v>794828.55</v>
      </c>
      <c r="F214" s="2">
        <v>954291.17</v>
      </c>
      <c r="G214" s="2">
        <v>500000</v>
      </c>
      <c r="H214" s="4">
        <f t="shared" si="6"/>
        <v>1454291.17</v>
      </c>
      <c r="I214" s="6">
        <f t="shared" si="7"/>
        <v>0.54654017461991478</v>
      </c>
    </row>
    <row r="215" spans="1:9" ht="30" customHeight="1" x14ac:dyDescent="0.35">
      <c r="A215" t="s">
        <v>488</v>
      </c>
      <c r="B215" t="s">
        <v>489</v>
      </c>
      <c r="C215" t="s">
        <v>67</v>
      </c>
      <c r="D215" t="s">
        <v>66</v>
      </c>
      <c r="E215" s="2">
        <v>71217.97</v>
      </c>
      <c r="F215" s="2">
        <v>47217.23</v>
      </c>
      <c r="G215" s="2">
        <v>11782.77</v>
      </c>
      <c r="H215" s="4">
        <f t="shared" si="6"/>
        <v>59000</v>
      </c>
      <c r="I215" s="6">
        <f t="shared" si="7"/>
        <v>1.2070842372881356</v>
      </c>
    </row>
    <row r="216" spans="1:9" ht="30" customHeight="1" x14ac:dyDescent="0.35">
      <c r="A216" t="s">
        <v>490</v>
      </c>
      <c r="B216" t="s">
        <v>491</v>
      </c>
      <c r="C216" t="s">
        <v>67</v>
      </c>
      <c r="D216" t="s">
        <v>66</v>
      </c>
      <c r="E216" s="2">
        <v>406512.5</v>
      </c>
      <c r="F216" s="2"/>
      <c r="G216" s="2"/>
      <c r="H216" s="4" t="str">
        <f t="shared" si="6"/>
        <v/>
      </c>
      <c r="I216" s="6" t="str">
        <f t="shared" si="7"/>
        <v/>
      </c>
    </row>
    <row r="217" spans="1:9" ht="30" customHeight="1" x14ac:dyDescent="0.35">
      <c r="A217" t="s">
        <v>492</v>
      </c>
      <c r="B217" t="s">
        <v>493</v>
      </c>
      <c r="C217" t="s">
        <v>67</v>
      </c>
      <c r="D217" t="s">
        <v>66</v>
      </c>
      <c r="E217" s="2">
        <v>91973.25</v>
      </c>
      <c r="F217" s="2"/>
      <c r="G217" s="2"/>
      <c r="H217" s="4" t="str">
        <f t="shared" si="6"/>
        <v/>
      </c>
      <c r="I217" s="6" t="str">
        <f t="shared" si="7"/>
        <v/>
      </c>
    </row>
    <row r="218" spans="1:9" ht="30" customHeight="1" x14ac:dyDescent="0.35">
      <c r="A218" t="s">
        <v>494</v>
      </c>
      <c r="B218" t="s">
        <v>495</v>
      </c>
      <c r="C218" t="s">
        <v>67</v>
      </c>
      <c r="D218" t="s">
        <v>66</v>
      </c>
      <c r="E218" s="2">
        <v>7060.63</v>
      </c>
      <c r="F218" s="2"/>
      <c r="G218" s="2"/>
      <c r="H218" s="4" t="str">
        <f t="shared" si="6"/>
        <v/>
      </c>
      <c r="I218" s="6" t="str">
        <f t="shared" si="7"/>
        <v/>
      </c>
    </row>
    <row r="219" spans="1:9" ht="30" customHeight="1" x14ac:dyDescent="0.35">
      <c r="A219" t="s">
        <v>496</v>
      </c>
      <c r="B219" t="s">
        <v>497</v>
      </c>
      <c r="C219" t="s">
        <v>465</v>
      </c>
      <c r="D219" t="s">
        <v>464</v>
      </c>
      <c r="E219" s="2">
        <v>171897.14</v>
      </c>
      <c r="F219" s="2">
        <v>386000</v>
      </c>
      <c r="G219" s="2">
        <v>1696000</v>
      </c>
      <c r="H219" s="4">
        <f t="shared" si="6"/>
        <v>2082000</v>
      </c>
      <c r="I219" s="6">
        <f t="shared" si="7"/>
        <v>8.2563467819404421E-2</v>
      </c>
    </row>
    <row r="220" spans="1:9" ht="30" customHeight="1" x14ac:dyDescent="0.35">
      <c r="A220" t="s">
        <v>498</v>
      </c>
      <c r="B220" t="s">
        <v>499</v>
      </c>
      <c r="C220" t="s">
        <v>19</v>
      </c>
      <c r="D220" t="s">
        <v>18</v>
      </c>
      <c r="E220" s="2">
        <v>5719.89</v>
      </c>
      <c r="F220" s="2">
        <v>177422.25</v>
      </c>
      <c r="G220" s="2">
        <v>72577.75</v>
      </c>
      <c r="H220" s="4">
        <f t="shared" si="6"/>
        <v>250000</v>
      </c>
      <c r="I220" s="6">
        <f t="shared" si="7"/>
        <v>2.287956E-2</v>
      </c>
    </row>
    <row r="221" spans="1:9" ht="30" customHeight="1" x14ac:dyDescent="0.35">
      <c r="A221" t="s">
        <v>500</v>
      </c>
      <c r="B221" t="s">
        <v>501</v>
      </c>
      <c r="C221" t="s">
        <v>57</v>
      </c>
      <c r="D221" t="s">
        <v>56</v>
      </c>
      <c r="E221" s="2">
        <v>98240.23</v>
      </c>
      <c r="F221" s="2">
        <v>255547.39</v>
      </c>
      <c r="G221" s="2">
        <v>25901.47</v>
      </c>
      <c r="H221" s="4">
        <f t="shared" si="6"/>
        <v>281448.86</v>
      </c>
      <c r="I221" s="6">
        <f t="shared" si="7"/>
        <v>0.34905179576851014</v>
      </c>
    </row>
    <row r="222" spans="1:9" ht="30" customHeight="1" x14ac:dyDescent="0.35">
      <c r="A222" t="s">
        <v>502</v>
      </c>
      <c r="B222" t="s">
        <v>503</v>
      </c>
      <c r="C222" t="s">
        <v>253</v>
      </c>
      <c r="D222" t="s">
        <v>252</v>
      </c>
      <c r="E222" s="2">
        <v>8175.28</v>
      </c>
      <c r="F222" s="2">
        <v>67846.03</v>
      </c>
      <c r="G222" s="2"/>
      <c r="H222" s="4">
        <f t="shared" si="6"/>
        <v>67846.03</v>
      </c>
      <c r="I222" s="6">
        <f t="shared" si="7"/>
        <v>0.12049754421887324</v>
      </c>
    </row>
    <row r="223" spans="1:9" ht="30" customHeight="1" x14ac:dyDescent="0.35">
      <c r="A223" t="s">
        <v>504</v>
      </c>
      <c r="B223" t="s">
        <v>505</v>
      </c>
      <c r="C223" t="s">
        <v>259</v>
      </c>
      <c r="D223" t="s">
        <v>258</v>
      </c>
      <c r="E223" s="2">
        <v>195</v>
      </c>
      <c r="F223" s="2"/>
      <c r="G223" s="2"/>
      <c r="H223" s="4" t="str">
        <f t="shared" si="6"/>
        <v/>
      </c>
      <c r="I223" s="6" t="str">
        <f t="shared" si="7"/>
        <v/>
      </c>
    </row>
    <row r="224" spans="1:9" ht="30" customHeight="1" x14ac:dyDescent="0.35">
      <c r="A224" t="s">
        <v>506</v>
      </c>
      <c r="B224" t="s">
        <v>507</v>
      </c>
      <c r="C224" t="s">
        <v>487</v>
      </c>
      <c r="D224" t="s">
        <v>486</v>
      </c>
      <c r="E224" s="2">
        <v>149345.75</v>
      </c>
      <c r="F224" s="2">
        <v>6015772.2000000002</v>
      </c>
      <c r="G224" s="2">
        <v>500000</v>
      </c>
      <c r="H224" s="4">
        <f t="shared" si="6"/>
        <v>6515772.2000000002</v>
      </c>
      <c r="I224" s="6">
        <f t="shared" si="7"/>
        <v>2.2920652443926753E-2</v>
      </c>
    </row>
    <row r="225" spans="1:9" ht="30" customHeight="1" x14ac:dyDescent="0.35">
      <c r="A225" t="s">
        <v>508</v>
      </c>
      <c r="B225" t="s">
        <v>509</v>
      </c>
      <c r="C225" t="s">
        <v>67</v>
      </c>
      <c r="D225" t="s">
        <v>66</v>
      </c>
      <c r="E225" s="2">
        <v>21990.21</v>
      </c>
      <c r="F225" s="2">
        <v>97181.95</v>
      </c>
      <c r="G225" s="2"/>
      <c r="H225" s="4">
        <f t="shared" si="6"/>
        <v>97181.95</v>
      </c>
      <c r="I225" s="6">
        <f t="shared" si="7"/>
        <v>0.22627874826549579</v>
      </c>
    </row>
    <row r="226" spans="1:9" ht="30" customHeight="1" x14ac:dyDescent="0.35">
      <c r="A226" t="s">
        <v>510</v>
      </c>
      <c r="B226" t="s">
        <v>511</v>
      </c>
      <c r="C226" t="s">
        <v>41</v>
      </c>
      <c r="D226" t="s">
        <v>40</v>
      </c>
      <c r="E226" s="2">
        <v>270701.2</v>
      </c>
      <c r="F226" s="2">
        <v>336682.66</v>
      </c>
      <c r="G226" s="2"/>
      <c r="H226" s="4">
        <f t="shared" si="6"/>
        <v>336682.66</v>
      </c>
      <c r="I226" s="6">
        <f t="shared" si="7"/>
        <v>0.80402477513989001</v>
      </c>
    </row>
    <row r="227" spans="1:9" ht="30" customHeight="1" x14ac:dyDescent="0.35">
      <c r="A227" t="s">
        <v>512</v>
      </c>
      <c r="B227" t="s">
        <v>513</v>
      </c>
      <c r="C227" t="s">
        <v>457</v>
      </c>
      <c r="D227" t="s">
        <v>456</v>
      </c>
      <c r="E227" s="2">
        <v>54212.69</v>
      </c>
      <c r="F227" s="2">
        <v>840399.68</v>
      </c>
      <c r="G227" s="2"/>
      <c r="H227" s="4">
        <f t="shared" si="6"/>
        <v>840399.68</v>
      </c>
      <c r="I227" s="6">
        <f t="shared" si="7"/>
        <v>6.4508223039780307E-2</v>
      </c>
    </row>
    <row r="228" spans="1:9" ht="30" customHeight="1" x14ac:dyDescent="0.35">
      <c r="A228" t="s">
        <v>514</v>
      </c>
      <c r="B228" t="s">
        <v>515</v>
      </c>
      <c r="C228" t="s">
        <v>101</v>
      </c>
      <c r="D228" t="s">
        <v>100</v>
      </c>
      <c r="E228" s="2">
        <v>45873.37</v>
      </c>
      <c r="F228" s="2">
        <v>8600946.2300000004</v>
      </c>
      <c r="G228" s="2"/>
      <c r="H228" s="4">
        <f t="shared" si="6"/>
        <v>8600946.2300000004</v>
      </c>
      <c r="I228" s="6">
        <f t="shared" si="7"/>
        <v>5.3335259602012419E-3</v>
      </c>
    </row>
    <row r="229" spans="1:9" ht="30" customHeight="1" x14ac:dyDescent="0.35">
      <c r="A229" t="s">
        <v>516</v>
      </c>
      <c r="B229" t="s">
        <v>517</v>
      </c>
      <c r="C229" t="s">
        <v>57</v>
      </c>
      <c r="D229" t="s">
        <v>56</v>
      </c>
      <c r="E229" s="2">
        <v>51050.19</v>
      </c>
      <c r="F229" s="2">
        <v>1910972.39</v>
      </c>
      <c r="G229" s="2"/>
      <c r="H229" s="4">
        <f t="shared" si="6"/>
        <v>1910972.39</v>
      </c>
      <c r="I229" s="6">
        <f t="shared" si="7"/>
        <v>2.671424781809642E-2</v>
      </c>
    </row>
    <row r="230" spans="1:9" ht="30" customHeight="1" x14ac:dyDescent="0.35">
      <c r="A230" t="s">
        <v>518</v>
      </c>
      <c r="B230" t="s">
        <v>519</v>
      </c>
      <c r="C230" t="s">
        <v>67</v>
      </c>
      <c r="D230" t="s">
        <v>66</v>
      </c>
      <c r="E230" s="2">
        <v>36954.93</v>
      </c>
      <c r="F230" s="2">
        <v>408787.56</v>
      </c>
      <c r="G230" s="2">
        <v>200000</v>
      </c>
      <c r="H230" s="4">
        <f t="shared" si="6"/>
        <v>608787.56000000006</v>
      </c>
      <c r="I230" s="6">
        <f t="shared" si="7"/>
        <v>6.0702505156314292E-2</v>
      </c>
    </row>
    <row r="231" spans="1:9" ht="30" customHeight="1" x14ac:dyDescent="0.35">
      <c r="A231" t="s">
        <v>520</v>
      </c>
      <c r="B231" t="s">
        <v>521</v>
      </c>
      <c r="C231" t="s">
        <v>15</v>
      </c>
      <c r="D231" t="s">
        <v>14</v>
      </c>
      <c r="E231" s="2">
        <v>0</v>
      </c>
      <c r="F231" s="2">
        <v>7677327.54</v>
      </c>
      <c r="G231" s="2">
        <v>4322672.46</v>
      </c>
      <c r="H231" s="4">
        <f t="shared" si="6"/>
        <v>12000000</v>
      </c>
      <c r="I231" s="6">
        <f t="shared" si="7"/>
        <v>0</v>
      </c>
    </row>
    <row r="232" spans="1:9" ht="30" customHeight="1" x14ac:dyDescent="0.35">
      <c r="A232" t="s">
        <v>522</v>
      </c>
      <c r="B232" t="s">
        <v>523</v>
      </c>
      <c r="C232" t="s">
        <v>19</v>
      </c>
      <c r="D232" t="s">
        <v>18</v>
      </c>
      <c r="E232" s="2">
        <v>84486.96</v>
      </c>
      <c r="F232" s="2"/>
      <c r="G232" s="2"/>
      <c r="H232" s="4" t="str">
        <f t="shared" si="6"/>
        <v/>
      </c>
      <c r="I232" s="6" t="str">
        <f t="shared" si="7"/>
        <v/>
      </c>
    </row>
    <row r="233" spans="1:9" ht="30" customHeight="1" x14ac:dyDescent="0.35">
      <c r="A233" t="s">
        <v>524</v>
      </c>
      <c r="B233" t="s">
        <v>525</v>
      </c>
      <c r="C233" t="s">
        <v>487</v>
      </c>
      <c r="D233" t="s">
        <v>486</v>
      </c>
      <c r="E233" s="2">
        <v>3437.16</v>
      </c>
      <c r="F233" s="2">
        <v>5985000</v>
      </c>
      <c r="G233" s="2">
        <v>0</v>
      </c>
      <c r="H233" s="4">
        <f t="shared" si="6"/>
        <v>5985000</v>
      </c>
      <c r="I233" s="6">
        <f t="shared" si="7"/>
        <v>5.7429573934837089E-4</v>
      </c>
    </row>
    <row r="234" spans="1:9" ht="30" customHeight="1" x14ac:dyDescent="0.35">
      <c r="A234" t="s">
        <v>526</v>
      </c>
      <c r="B234" t="s">
        <v>527</v>
      </c>
      <c r="C234" t="s">
        <v>259</v>
      </c>
      <c r="D234" t="s">
        <v>258</v>
      </c>
      <c r="E234" s="2">
        <v>53486.09</v>
      </c>
      <c r="F234" s="2">
        <v>816142.45</v>
      </c>
      <c r="G234" s="2">
        <v>683857.55</v>
      </c>
      <c r="H234" s="4">
        <f t="shared" si="6"/>
        <v>1500000</v>
      </c>
      <c r="I234" s="6">
        <f t="shared" si="7"/>
        <v>3.5657393333333329E-2</v>
      </c>
    </row>
    <row r="235" spans="1:9" ht="30" customHeight="1" x14ac:dyDescent="0.35">
      <c r="A235" t="s">
        <v>528</v>
      </c>
      <c r="B235" t="s">
        <v>529</v>
      </c>
      <c r="C235" t="s">
        <v>259</v>
      </c>
      <c r="D235" t="s">
        <v>258</v>
      </c>
      <c r="E235" s="2"/>
      <c r="F235" s="2">
        <v>2936729.99</v>
      </c>
      <c r="G235" s="2">
        <v>4063270.01</v>
      </c>
      <c r="H235" s="4">
        <f t="shared" si="6"/>
        <v>7000000</v>
      </c>
      <c r="I235" s="6">
        <f t="shared" si="7"/>
        <v>0</v>
      </c>
    </row>
    <row r="236" spans="1:9" ht="30" customHeight="1" x14ac:dyDescent="0.35">
      <c r="A236" t="s">
        <v>530</v>
      </c>
      <c r="B236" t="s">
        <v>531</v>
      </c>
      <c r="C236" t="s">
        <v>253</v>
      </c>
      <c r="D236" t="s">
        <v>252</v>
      </c>
      <c r="E236" s="2"/>
      <c r="F236" s="2">
        <v>67279.62</v>
      </c>
      <c r="G236" s="2">
        <v>32720.38</v>
      </c>
      <c r="H236" s="4">
        <f t="shared" si="6"/>
        <v>100000</v>
      </c>
      <c r="I236" s="6">
        <f t="shared" si="7"/>
        <v>0</v>
      </c>
    </row>
    <row r="237" spans="1:9" ht="30" customHeight="1" x14ac:dyDescent="0.35">
      <c r="A237" t="s">
        <v>532</v>
      </c>
      <c r="B237" t="s">
        <v>533</v>
      </c>
      <c r="C237" t="s">
        <v>259</v>
      </c>
      <c r="D237" t="s">
        <v>258</v>
      </c>
      <c r="E237" s="2"/>
      <c r="F237" s="2">
        <v>1301250</v>
      </c>
      <c r="G237" s="2">
        <v>1301250</v>
      </c>
      <c r="H237" s="4">
        <f t="shared" si="6"/>
        <v>2602500</v>
      </c>
      <c r="I237" s="6">
        <f t="shared" si="7"/>
        <v>0</v>
      </c>
    </row>
    <row r="238" spans="1:9" ht="30" customHeight="1" x14ac:dyDescent="0.35">
      <c r="A238" t="s">
        <v>534</v>
      </c>
      <c r="B238" t="s">
        <v>535</v>
      </c>
      <c r="C238" t="s">
        <v>487</v>
      </c>
      <c r="D238" t="s">
        <v>486</v>
      </c>
      <c r="E238" s="2">
        <v>3830627.44</v>
      </c>
      <c r="F238" s="2">
        <v>6470987.9400000004</v>
      </c>
      <c r="G238" s="2">
        <v>3786339.08</v>
      </c>
      <c r="H238" s="4">
        <f t="shared" si="6"/>
        <v>10257327.02</v>
      </c>
      <c r="I238" s="6">
        <f t="shared" si="7"/>
        <v>0.37345279452736024</v>
      </c>
    </row>
    <row r="239" spans="1:9" ht="30" customHeight="1" x14ac:dyDescent="0.35">
      <c r="A239" t="s">
        <v>536</v>
      </c>
      <c r="B239" t="s">
        <v>537</v>
      </c>
      <c r="C239" t="s">
        <v>253</v>
      </c>
      <c r="D239" t="s">
        <v>252</v>
      </c>
      <c r="E239" s="2">
        <v>1109505.33</v>
      </c>
      <c r="F239" s="2">
        <v>4777499.9800000004</v>
      </c>
      <c r="G239" s="2"/>
      <c r="H239" s="4">
        <f t="shared" si="6"/>
        <v>4777499.9800000004</v>
      </c>
      <c r="I239" s="6">
        <f t="shared" si="7"/>
        <v>0.23223554885289607</v>
      </c>
    </row>
    <row r="240" spans="1:9" ht="30" customHeight="1" x14ac:dyDescent="0.35">
      <c r="A240" t="s">
        <v>538</v>
      </c>
      <c r="B240" t="s">
        <v>539</v>
      </c>
      <c r="C240" t="s">
        <v>541</v>
      </c>
      <c r="D240" t="s">
        <v>540</v>
      </c>
      <c r="E240" s="2">
        <v>47036.11</v>
      </c>
      <c r="F240" s="2">
        <v>24713.79</v>
      </c>
      <c r="G240" s="2"/>
      <c r="H240" s="4">
        <f t="shared" si="6"/>
        <v>24713.79</v>
      </c>
      <c r="I240" s="6">
        <f t="shared" si="7"/>
        <v>1.9032333769931686</v>
      </c>
    </row>
    <row r="241" spans="1:9" ht="30" customHeight="1" x14ac:dyDescent="0.35">
      <c r="A241" t="s">
        <v>542</v>
      </c>
      <c r="B241" t="s">
        <v>543</v>
      </c>
      <c r="C241" t="s">
        <v>487</v>
      </c>
      <c r="D241" t="s">
        <v>486</v>
      </c>
      <c r="E241" s="2">
        <v>503735.19</v>
      </c>
      <c r="F241" s="2">
        <v>0</v>
      </c>
      <c r="G241" s="2">
        <v>1927500</v>
      </c>
      <c r="H241" s="4">
        <f t="shared" si="6"/>
        <v>1927500</v>
      </c>
      <c r="I241" s="6">
        <f t="shared" si="7"/>
        <v>0.2613412140077821</v>
      </c>
    </row>
    <row r="242" spans="1:9" ht="30" customHeight="1" x14ac:dyDescent="0.35">
      <c r="A242" t="s">
        <v>544</v>
      </c>
      <c r="B242" t="s">
        <v>545</v>
      </c>
      <c r="C242" t="s">
        <v>41</v>
      </c>
      <c r="D242" t="s">
        <v>40</v>
      </c>
      <c r="E242" s="2">
        <v>3313.94</v>
      </c>
      <c r="F242" s="2">
        <v>242752.07</v>
      </c>
      <c r="G242" s="2">
        <v>7247.93</v>
      </c>
      <c r="H242" s="4">
        <f t="shared" si="6"/>
        <v>250000</v>
      </c>
      <c r="I242" s="6">
        <f t="shared" si="7"/>
        <v>1.325576E-2</v>
      </c>
    </row>
    <row r="243" spans="1:9" ht="30" customHeight="1" x14ac:dyDescent="0.35">
      <c r="A243" t="s">
        <v>546</v>
      </c>
      <c r="B243" t="s">
        <v>547</v>
      </c>
      <c r="C243" t="s">
        <v>487</v>
      </c>
      <c r="D243" t="s">
        <v>486</v>
      </c>
      <c r="E243" s="2">
        <v>1594272.87</v>
      </c>
      <c r="F243" s="2">
        <v>1589170.14</v>
      </c>
      <c r="G243" s="2"/>
      <c r="H243" s="4">
        <f t="shared" si="6"/>
        <v>1589170.14</v>
      </c>
      <c r="I243" s="6">
        <f t="shared" si="7"/>
        <v>1.0032109400192986</v>
      </c>
    </row>
    <row r="244" spans="1:9" ht="30" customHeight="1" x14ac:dyDescent="0.35">
      <c r="A244" t="s">
        <v>548</v>
      </c>
      <c r="B244" t="s">
        <v>549</v>
      </c>
      <c r="C244" t="s">
        <v>101</v>
      </c>
      <c r="D244" t="s">
        <v>100</v>
      </c>
      <c r="E244" s="2">
        <v>16662.97</v>
      </c>
      <c r="F244" s="2"/>
      <c r="G244" s="2"/>
      <c r="H244" s="4" t="str">
        <f t="shared" si="6"/>
        <v/>
      </c>
      <c r="I244" s="6" t="str">
        <f t="shared" si="7"/>
        <v/>
      </c>
    </row>
    <row r="245" spans="1:9" ht="30" customHeight="1" x14ac:dyDescent="0.35">
      <c r="A245" t="s">
        <v>550</v>
      </c>
      <c r="B245" t="s">
        <v>551</v>
      </c>
      <c r="C245" t="s">
        <v>101</v>
      </c>
      <c r="D245" t="s">
        <v>100</v>
      </c>
      <c r="E245" s="2">
        <v>263758.96999999997</v>
      </c>
      <c r="F245" s="2">
        <v>185677.12</v>
      </c>
      <c r="G245" s="2"/>
      <c r="H245" s="4">
        <f t="shared" si="6"/>
        <v>185677.12</v>
      </c>
      <c r="I245" s="6">
        <f t="shared" si="7"/>
        <v>1.4205248875036407</v>
      </c>
    </row>
    <row r="246" spans="1:9" ht="30" customHeight="1" x14ac:dyDescent="0.35">
      <c r="A246" t="s">
        <v>552</v>
      </c>
      <c r="B246" t="s">
        <v>553</v>
      </c>
      <c r="C246" t="s">
        <v>487</v>
      </c>
      <c r="D246" t="s">
        <v>486</v>
      </c>
      <c r="E246" s="2">
        <v>75475.8</v>
      </c>
      <c r="F246" s="2">
        <v>2500000</v>
      </c>
      <c r="G246" s="2">
        <v>500000</v>
      </c>
      <c r="H246" s="4">
        <f t="shared" si="6"/>
        <v>3000000</v>
      </c>
      <c r="I246" s="6">
        <f t="shared" si="7"/>
        <v>2.51586E-2</v>
      </c>
    </row>
    <row r="247" spans="1:9" ht="30" customHeight="1" x14ac:dyDescent="0.35">
      <c r="A247" t="s">
        <v>554</v>
      </c>
      <c r="B247" t="s">
        <v>555</v>
      </c>
      <c r="C247" t="s">
        <v>259</v>
      </c>
      <c r="D247" t="s">
        <v>258</v>
      </c>
      <c r="E247" s="2">
        <v>90197.3</v>
      </c>
      <c r="F247" s="2">
        <v>1540850.91</v>
      </c>
      <c r="G247" s="2">
        <v>150000</v>
      </c>
      <c r="H247" s="4">
        <f t="shared" si="6"/>
        <v>1690850.91</v>
      </c>
      <c r="I247" s="6">
        <f t="shared" si="7"/>
        <v>5.3344324722278444E-2</v>
      </c>
    </row>
    <row r="248" spans="1:9" ht="30" customHeight="1" x14ac:dyDescent="0.35">
      <c r="A248" t="s">
        <v>556</v>
      </c>
      <c r="B248" t="s">
        <v>557</v>
      </c>
      <c r="C248" t="s">
        <v>67</v>
      </c>
      <c r="D248" t="s">
        <v>66</v>
      </c>
      <c r="E248" s="2">
        <v>357.61</v>
      </c>
      <c r="F248" s="2">
        <v>189679.74</v>
      </c>
      <c r="G248" s="2">
        <v>110320.26</v>
      </c>
      <c r="H248" s="4">
        <f t="shared" si="6"/>
        <v>300000</v>
      </c>
      <c r="I248" s="6">
        <f t="shared" si="7"/>
        <v>1.1920333333333335E-3</v>
      </c>
    </row>
    <row r="249" spans="1:9" ht="30" customHeight="1" x14ac:dyDescent="0.35">
      <c r="A249" t="s">
        <v>558</v>
      </c>
      <c r="B249" t="s">
        <v>559</v>
      </c>
      <c r="C249" t="s">
        <v>457</v>
      </c>
      <c r="D249" t="s">
        <v>456</v>
      </c>
      <c r="E249" s="2">
        <v>6735.4</v>
      </c>
      <c r="F249" s="2">
        <v>1196223.28</v>
      </c>
      <c r="G249" s="2"/>
      <c r="H249" s="4">
        <f t="shared" si="6"/>
        <v>1196223.28</v>
      </c>
      <c r="I249" s="6">
        <f t="shared" si="7"/>
        <v>5.630554188846751E-3</v>
      </c>
    </row>
    <row r="250" spans="1:9" ht="30" customHeight="1" x14ac:dyDescent="0.35">
      <c r="A250" t="s">
        <v>560</v>
      </c>
      <c r="B250" t="s">
        <v>561</v>
      </c>
      <c r="C250" t="s">
        <v>57</v>
      </c>
      <c r="D250" t="s">
        <v>56</v>
      </c>
      <c r="E250" s="2">
        <v>6540.96</v>
      </c>
      <c r="F250" s="2">
        <v>0</v>
      </c>
      <c r="G250" s="2">
        <v>250000</v>
      </c>
      <c r="H250" s="4">
        <f t="shared" si="6"/>
        <v>250000</v>
      </c>
      <c r="I250" s="6">
        <f t="shared" si="7"/>
        <v>2.6163840000000001E-2</v>
      </c>
    </row>
    <row r="251" spans="1:9" ht="30" customHeight="1" x14ac:dyDescent="0.35">
      <c r="A251" t="s">
        <v>562</v>
      </c>
      <c r="B251" t="s">
        <v>563</v>
      </c>
      <c r="C251" t="s">
        <v>457</v>
      </c>
      <c r="D251" t="s">
        <v>456</v>
      </c>
      <c r="E251" s="2">
        <v>901.68</v>
      </c>
      <c r="F251" s="2">
        <v>793803.87</v>
      </c>
      <c r="G251" s="2"/>
      <c r="H251" s="4">
        <f t="shared" si="6"/>
        <v>793803.87</v>
      </c>
      <c r="I251" s="6">
        <f t="shared" si="7"/>
        <v>1.1358977123656503E-3</v>
      </c>
    </row>
    <row r="252" spans="1:9" ht="30" customHeight="1" x14ac:dyDescent="0.35">
      <c r="A252" t="s">
        <v>564</v>
      </c>
      <c r="B252" t="s">
        <v>565</v>
      </c>
      <c r="C252" t="s">
        <v>101</v>
      </c>
      <c r="D252" t="s">
        <v>100</v>
      </c>
      <c r="E252" s="2">
        <v>25139.08</v>
      </c>
      <c r="F252" s="2">
        <v>21823</v>
      </c>
      <c r="G252" s="2">
        <v>28177</v>
      </c>
      <c r="H252" s="4">
        <f t="shared" si="6"/>
        <v>50000</v>
      </c>
      <c r="I252" s="6">
        <f t="shared" si="7"/>
        <v>0.50278160000000005</v>
      </c>
    </row>
    <row r="253" spans="1:9" ht="30" customHeight="1" x14ac:dyDescent="0.35">
      <c r="A253" t="s">
        <v>566</v>
      </c>
      <c r="B253" t="s">
        <v>567</v>
      </c>
      <c r="C253" t="s">
        <v>29</v>
      </c>
      <c r="D253" t="s">
        <v>28</v>
      </c>
      <c r="E253" s="2">
        <v>648911.48</v>
      </c>
      <c r="F253" s="2"/>
      <c r="G253" s="2"/>
      <c r="H253" s="4" t="str">
        <f t="shared" si="6"/>
        <v/>
      </c>
      <c r="I253" s="6" t="str">
        <f t="shared" si="7"/>
        <v/>
      </c>
    </row>
    <row r="254" spans="1:9" ht="30" customHeight="1" x14ac:dyDescent="0.35">
      <c r="A254" t="s">
        <v>568</v>
      </c>
      <c r="B254" t="s">
        <v>569</v>
      </c>
      <c r="C254" t="s">
        <v>101</v>
      </c>
      <c r="D254" t="s">
        <v>100</v>
      </c>
      <c r="E254" s="2">
        <v>21255.3</v>
      </c>
      <c r="F254" s="2">
        <v>493621.94</v>
      </c>
      <c r="G254" s="2"/>
      <c r="H254" s="4">
        <f t="shared" si="6"/>
        <v>493621.94</v>
      </c>
      <c r="I254" s="6">
        <f t="shared" si="7"/>
        <v>4.305987695765711E-2</v>
      </c>
    </row>
    <row r="255" spans="1:9" ht="30" customHeight="1" x14ac:dyDescent="0.35">
      <c r="A255" t="s">
        <v>570</v>
      </c>
      <c r="B255" t="s">
        <v>571</v>
      </c>
      <c r="C255" t="s">
        <v>253</v>
      </c>
      <c r="D255" t="s">
        <v>252</v>
      </c>
      <c r="E255" s="2">
        <v>197589.33</v>
      </c>
      <c r="F255" s="2">
        <v>486866.8</v>
      </c>
      <c r="G255" s="2">
        <v>79143.039999999994</v>
      </c>
      <c r="H255" s="4">
        <f t="shared" si="6"/>
        <v>566009.84</v>
      </c>
      <c r="I255" s="6">
        <f t="shared" si="7"/>
        <v>0.34909168716925487</v>
      </c>
    </row>
    <row r="256" spans="1:9" ht="30" customHeight="1" x14ac:dyDescent="0.35">
      <c r="A256" t="s">
        <v>572</v>
      </c>
      <c r="B256" t="s">
        <v>573</v>
      </c>
      <c r="C256" t="s">
        <v>465</v>
      </c>
      <c r="D256" t="s">
        <v>464</v>
      </c>
      <c r="E256" s="2">
        <v>228022.49</v>
      </c>
      <c r="F256" s="2">
        <v>939637.69</v>
      </c>
      <c r="G256" s="2"/>
      <c r="H256" s="4">
        <f t="shared" si="6"/>
        <v>939637.69</v>
      </c>
      <c r="I256" s="6">
        <f t="shared" si="7"/>
        <v>0.24267065106764715</v>
      </c>
    </row>
    <row r="257" spans="1:9" ht="30" customHeight="1" x14ac:dyDescent="0.35">
      <c r="A257" t="s">
        <v>574</v>
      </c>
      <c r="B257" t="s">
        <v>575</v>
      </c>
      <c r="C257" t="s">
        <v>465</v>
      </c>
      <c r="D257" t="s">
        <v>464</v>
      </c>
      <c r="E257" s="2">
        <v>396916.64</v>
      </c>
      <c r="F257" s="2">
        <v>11625000</v>
      </c>
      <c r="G257" s="2"/>
      <c r="H257" s="4">
        <f t="shared" si="6"/>
        <v>11625000</v>
      </c>
      <c r="I257" s="6">
        <f t="shared" si="7"/>
        <v>3.4143366881720434E-2</v>
      </c>
    </row>
    <row r="258" spans="1:9" ht="30" customHeight="1" x14ac:dyDescent="0.35">
      <c r="A258" t="s">
        <v>576</v>
      </c>
      <c r="B258" t="s">
        <v>577</v>
      </c>
      <c r="C258" t="s">
        <v>253</v>
      </c>
      <c r="D258" t="s">
        <v>252</v>
      </c>
      <c r="E258" s="2">
        <v>6550.62</v>
      </c>
      <c r="F258" s="2">
        <v>109444.79</v>
      </c>
      <c r="G258" s="2">
        <v>190555.21</v>
      </c>
      <c r="H258" s="4">
        <f t="shared" ref="H258:H314" si="8">IF(ISBLANK(F258),"",(F258+G258))</f>
        <v>300000</v>
      </c>
      <c r="I258" s="6">
        <f t="shared" ref="I258:I314" si="9">IF(ISBLANK(F258), "", E258/H258)</f>
        <v>2.1835400000000001E-2</v>
      </c>
    </row>
    <row r="259" spans="1:9" ht="30" customHeight="1" x14ac:dyDescent="0.35">
      <c r="A259" t="s">
        <v>578</v>
      </c>
      <c r="B259" t="s">
        <v>579</v>
      </c>
      <c r="C259" t="s">
        <v>457</v>
      </c>
      <c r="D259" t="s">
        <v>456</v>
      </c>
      <c r="E259" s="2">
        <v>3223.58</v>
      </c>
      <c r="F259" s="2">
        <v>235512.57</v>
      </c>
      <c r="G259" s="2"/>
      <c r="H259" s="4">
        <f t="shared" si="8"/>
        <v>235512.57</v>
      </c>
      <c r="I259" s="6">
        <f t="shared" si="9"/>
        <v>1.368750721033701E-2</v>
      </c>
    </row>
    <row r="260" spans="1:9" ht="30" customHeight="1" x14ac:dyDescent="0.35">
      <c r="A260" t="s">
        <v>580</v>
      </c>
      <c r="B260" t="s">
        <v>581</v>
      </c>
      <c r="C260" t="s">
        <v>29</v>
      </c>
      <c r="D260" t="s">
        <v>28</v>
      </c>
      <c r="E260" s="2">
        <v>12.08</v>
      </c>
      <c r="F260" s="2">
        <v>159173.71</v>
      </c>
      <c r="G260" s="2"/>
      <c r="H260" s="4">
        <f t="shared" si="8"/>
        <v>159173.71</v>
      </c>
      <c r="I260" s="6">
        <f t="shared" si="9"/>
        <v>7.5891929640893585E-5</v>
      </c>
    </row>
    <row r="261" spans="1:9" ht="30" customHeight="1" x14ac:dyDescent="0.35">
      <c r="A261" t="s">
        <v>582</v>
      </c>
      <c r="B261" t="s">
        <v>583</v>
      </c>
      <c r="C261" t="s">
        <v>15</v>
      </c>
      <c r="D261" t="s">
        <v>14</v>
      </c>
      <c r="E261" s="2">
        <v>9967.75</v>
      </c>
      <c r="F261" s="2">
        <v>4985502.03</v>
      </c>
      <c r="G261" s="2"/>
      <c r="H261" s="4">
        <f t="shared" si="8"/>
        <v>4985502.03</v>
      </c>
      <c r="I261" s="6">
        <f t="shared" si="9"/>
        <v>1.9993472954217208E-3</v>
      </c>
    </row>
    <row r="262" spans="1:9" ht="30" customHeight="1" x14ac:dyDescent="0.35">
      <c r="A262" t="s">
        <v>584</v>
      </c>
      <c r="B262" t="s">
        <v>585</v>
      </c>
      <c r="C262" t="s">
        <v>15</v>
      </c>
      <c r="D262" t="s">
        <v>14</v>
      </c>
      <c r="E262" s="2">
        <v>168022.7</v>
      </c>
      <c r="F262" s="2">
        <v>128229.69</v>
      </c>
      <c r="G262" s="2"/>
      <c r="H262" s="4">
        <f t="shared" si="8"/>
        <v>128229.69</v>
      </c>
      <c r="I262" s="6">
        <f t="shared" si="9"/>
        <v>1.3103260251194557</v>
      </c>
    </row>
    <row r="263" spans="1:9" ht="30" customHeight="1" x14ac:dyDescent="0.35">
      <c r="A263" t="s">
        <v>32</v>
      </c>
      <c r="B263" t="s">
        <v>586</v>
      </c>
      <c r="C263" t="s">
        <v>109</v>
      </c>
      <c r="D263" t="s">
        <v>108</v>
      </c>
      <c r="E263" s="2">
        <v>335039.90000000002</v>
      </c>
      <c r="F263" s="2">
        <v>2703.77</v>
      </c>
      <c r="G263" s="2"/>
      <c r="H263" s="4">
        <f t="shared" si="8"/>
        <v>2703.77</v>
      </c>
      <c r="I263" s="6">
        <f t="shared" si="9"/>
        <v>123.91582863927036</v>
      </c>
    </row>
    <row r="264" spans="1:9" ht="30" customHeight="1" x14ac:dyDescent="0.35">
      <c r="A264" t="s">
        <v>587</v>
      </c>
      <c r="B264" t="s">
        <v>588</v>
      </c>
      <c r="C264" t="s">
        <v>259</v>
      </c>
      <c r="D264" t="s">
        <v>258</v>
      </c>
      <c r="E264" s="2">
        <v>28674.73</v>
      </c>
      <c r="F264" s="2">
        <v>2285200.02</v>
      </c>
      <c r="G264" s="2">
        <v>357542.51</v>
      </c>
      <c r="H264" s="4">
        <f t="shared" si="8"/>
        <v>2642742.5300000003</v>
      </c>
      <c r="I264" s="6">
        <f t="shared" si="9"/>
        <v>1.0850368386056889E-2</v>
      </c>
    </row>
    <row r="265" spans="1:9" ht="30" customHeight="1" x14ac:dyDescent="0.35">
      <c r="A265" t="s">
        <v>589</v>
      </c>
      <c r="B265" t="s">
        <v>590</v>
      </c>
      <c r="C265" t="s">
        <v>487</v>
      </c>
      <c r="D265" t="s">
        <v>486</v>
      </c>
      <c r="E265" s="2">
        <v>8141.41</v>
      </c>
      <c r="F265" s="2">
        <v>1008000</v>
      </c>
      <c r="G265" s="2"/>
      <c r="H265" s="4">
        <f t="shared" si="8"/>
        <v>1008000</v>
      </c>
      <c r="I265" s="6">
        <f t="shared" si="9"/>
        <v>8.0767956349206346E-3</v>
      </c>
    </row>
    <row r="266" spans="1:9" ht="30" customHeight="1" x14ac:dyDescent="0.35">
      <c r="A266" t="s">
        <v>591</v>
      </c>
      <c r="B266" t="s">
        <v>592</v>
      </c>
      <c r="C266" t="s">
        <v>253</v>
      </c>
      <c r="D266" t="s">
        <v>252</v>
      </c>
      <c r="E266" s="2">
        <v>921612.4</v>
      </c>
      <c r="F266" s="2">
        <v>1281</v>
      </c>
      <c r="G266" s="2">
        <v>498719</v>
      </c>
      <c r="H266" s="4">
        <f t="shared" si="8"/>
        <v>500000</v>
      </c>
      <c r="I266" s="6">
        <f t="shared" si="9"/>
        <v>1.8432248</v>
      </c>
    </row>
    <row r="267" spans="1:9" ht="30" customHeight="1" x14ac:dyDescent="0.35">
      <c r="A267" t="s">
        <v>593</v>
      </c>
      <c r="B267" t="s">
        <v>594</v>
      </c>
      <c r="C267" t="s">
        <v>259</v>
      </c>
      <c r="D267" t="s">
        <v>258</v>
      </c>
      <c r="E267" s="2">
        <v>24985</v>
      </c>
      <c r="F267" s="2">
        <v>1642050</v>
      </c>
      <c r="G267" s="2"/>
      <c r="H267" s="4">
        <f t="shared" si="8"/>
        <v>1642050</v>
      </c>
      <c r="I267" s="6">
        <f t="shared" si="9"/>
        <v>1.5215736427027192E-2</v>
      </c>
    </row>
    <row r="268" spans="1:9" ht="30" customHeight="1" x14ac:dyDescent="0.35">
      <c r="A268" t="s">
        <v>595</v>
      </c>
      <c r="B268" t="s">
        <v>596</v>
      </c>
      <c r="C268" t="s">
        <v>487</v>
      </c>
      <c r="D268" t="s">
        <v>486</v>
      </c>
      <c r="E268" s="2">
        <v>962</v>
      </c>
      <c r="F268" s="2"/>
      <c r="G268" s="2"/>
      <c r="H268" s="4" t="str">
        <f t="shared" si="8"/>
        <v/>
      </c>
      <c r="I268" s="6" t="str">
        <f t="shared" si="9"/>
        <v/>
      </c>
    </row>
    <row r="269" spans="1:9" ht="30" customHeight="1" x14ac:dyDescent="0.35">
      <c r="A269" t="s">
        <v>597</v>
      </c>
      <c r="B269" t="s">
        <v>598</v>
      </c>
      <c r="C269" t="s">
        <v>600</v>
      </c>
      <c r="D269" t="s">
        <v>599</v>
      </c>
      <c r="E269" s="2">
        <v>613438.96</v>
      </c>
      <c r="F269" s="2"/>
      <c r="G269" s="2"/>
      <c r="H269" s="4" t="str">
        <f t="shared" si="8"/>
        <v/>
      </c>
      <c r="I269" s="6" t="str">
        <f t="shared" si="9"/>
        <v/>
      </c>
    </row>
    <row r="270" spans="1:9" ht="30" customHeight="1" x14ac:dyDescent="0.35">
      <c r="A270" t="s">
        <v>601</v>
      </c>
      <c r="B270" t="s">
        <v>602</v>
      </c>
      <c r="C270" t="s">
        <v>405</v>
      </c>
      <c r="D270" t="s">
        <v>404</v>
      </c>
      <c r="E270" s="2">
        <v>89761.66</v>
      </c>
      <c r="F270" s="2"/>
      <c r="G270" s="2"/>
      <c r="H270" s="4">
        <v>62000</v>
      </c>
      <c r="I270" s="6" t="str">
        <f t="shared" si="9"/>
        <v/>
      </c>
    </row>
    <row r="271" spans="1:9" ht="30" customHeight="1" x14ac:dyDescent="0.35">
      <c r="A271" t="s">
        <v>603</v>
      </c>
      <c r="B271" t="s">
        <v>604</v>
      </c>
      <c r="C271" t="s">
        <v>51</v>
      </c>
      <c r="D271" t="s">
        <v>50</v>
      </c>
      <c r="E271" s="2">
        <v>41339.26</v>
      </c>
      <c r="F271" s="2">
        <v>0</v>
      </c>
      <c r="G271" s="2">
        <v>62000</v>
      </c>
      <c r="H271" s="4">
        <f t="shared" si="8"/>
        <v>62000</v>
      </c>
      <c r="I271" s="6">
        <f t="shared" si="9"/>
        <v>0.66676225806451617</v>
      </c>
    </row>
    <row r="272" spans="1:9" ht="30" customHeight="1" x14ac:dyDescent="0.35">
      <c r="A272" t="s">
        <v>607</v>
      </c>
      <c r="B272" t="s">
        <v>608</v>
      </c>
      <c r="C272" t="s">
        <v>33</v>
      </c>
      <c r="D272" t="s">
        <v>32</v>
      </c>
      <c r="E272" s="2">
        <v>24816.75</v>
      </c>
      <c r="F272" s="2"/>
      <c r="G272" s="2"/>
      <c r="H272" s="4" t="str">
        <f t="shared" si="8"/>
        <v/>
      </c>
      <c r="I272" s="6" t="str">
        <f t="shared" si="9"/>
        <v/>
      </c>
    </row>
    <row r="273" spans="1:9" ht="30" customHeight="1" x14ac:dyDescent="0.35">
      <c r="A273" t="s">
        <v>609</v>
      </c>
      <c r="B273" t="s">
        <v>610</v>
      </c>
      <c r="C273" t="s">
        <v>385</v>
      </c>
      <c r="D273" t="s">
        <v>384</v>
      </c>
      <c r="E273" s="2">
        <v>265.49</v>
      </c>
      <c r="F273" s="2"/>
      <c r="G273" s="2"/>
      <c r="H273" s="4" t="str">
        <f t="shared" si="8"/>
        <v/>
      </c>
      <c r="I273" s="6" t="str">
        <f t="shared" si="9"/>
        <v/>
      </c>
    </row>
    <row r="274" spans="1:9" ht="30" customHeight="1" x14ac:dyDescent="0.35">
      <c r="A274" t="s">
        <v>611</v>
      </c>
      <c r="B274" t="s">
        <v>612</v>
      </c>
      <c r="C274" t="s">
        <v>11</v>
      </c>
      <c r="D274" t="s">
        <v>10</v>
      </c>
      <c r="E274" s="2">
        <v>16444.560000000001</v>
      </c>
      <c r="F274" s="2"/>
      <c r="G274" s="2"/>
      <c r="H274" s="4" t="str">
        <f t="shared" si="8"/>
        <v/>
      </c>
      <c r="I274" s="6" t="str">
        <f t="shared" si="9"/>
        <v/>
      </c>
    </row>
    <row r="275" spans="1:9" ht="30" customHeight="1" x14ac:dyDescent="0.35">
      <c r="A275" t="s">
        <v>613</v>
      </c>
      <c r="B275" t="s">
        <v>614</v>
      </c>
      <c r="C275" t="s">
        <v>41</v>
      </c>
      <c r="D275" t="s">
        <v>40</v>
      </c>
      <c r="E275" s="2">
        <v>428.06</v>
      </c>
      <c r="F275" s="2"/>
      <c r="G275" s="2"/>
      <c r="H275" s="4" t="str">
        <f t="shared" si="8"/>
        <v/>
      </c>
      <c r="I275" s="6" t="str">
        <f t="shared" si="9"/>
        <v/>
      </c>
    </row>
    <row r="276" spans="1:9" ht="30" customHeight="1" x14ac:dyDescent="0.35">
      <c r="A276" t="s">
        <v>615</v>
      </c>
      <c r="B276" t="s">
        <v>616</v>
      </c>
      <c r="C276" t="s">
        <v>33</v>
      </c>
      <c r="D276" t="s">
        <v>32</v>
      </c>
      <c r="E276" s="2">
        <v>58009.58</v>
      </c>
      <c r="F276" s="2"/>
      <c r="G276" s="2"/>
      <c r="H276" s="4" t="str">
        <f t="shared" si="8"/>
        <v/>
      </c>
      <c r="I276" s="6" t="str">
        <f t="shared" si="9"/>
        <v/>
      </c>
    </row>
    <row r="277" spans="1:9" ht="30" customHeight="1" x14ac:dyDescent="0.35">
      <c r="A277" t="s">
        <v>615</v>
      </c>
      <c r="B277" t="s">
        <v>616</v>
      </c>
      <c r="C277" t="s">
        <v>385</v>
      </c>
      <c r="D277" t="s">
        <v>384</v>
      </c>
      <c r="E277" s="2">
        <v>200717.15</v>
      </c>
      <c r="F277" s="2"/>
      <c r="G277" s="2"/>
      <c r="H277" s="4" t="str">
        <f t="shared" si="8"/>
        <v/>
      </c>
      <c r="I277" s="6" t="str">
        <f t="shared" si="9"/>
        <v/>
      </c>
    </row>
    <row r="278" spans="1:9" ht="30" customHeight="1" x14ac:dyDescent="0.35">
      <c r="A278" t="s">
        <v>617</v>
      </c>
      <c r="B278" t="s">
        <v>618</v>
      </c>
      <c r="C278" t="s">
        <v>620</v>
      </c>
      <c r="D278" t="s">
        <v>619</v>
      </c>
      <c r="E278" s="2">
        <v>100</v>
      </c>
      <c r="F278" s="2"/>
      <c r="G278" s="2"/>
      <c r="H278" s="4" t="str">
        <f t="shared" si="8"/>
        <v/>
      </c>
      <c r="I278" s="6" t="str">
        <f t="shared" si="9"/>
        <v/>
      </c>
    </row>
    <row r="279" spans="1:9" ht="30" customHeight="1" x14ac:dyDescent="0.35">
      <c r="A279" t="s">
        <v>621</v>
      </c>
      <c r="B279" t="s">
        <v>622</v>
      </c>
      <c r="C279" t="s">
        <v>41</v>
      </c>
      <c r="D279" t="s">
        <v>40</v>
      </c>
      <c r="E279" s="2">
        <v>100</v>
      </c>
      <c r="F279" s="2"/>
      <c r="G279" s="2"/>
      <c r="H279" s="4" t="str">
        <f t="shared" si="8"/>
        <v/>
      </c>
      <c r="I279" s="6" t="str">
        <f t="shared" si="9"/>
        <v/>
      </c>
    </row>
    <row r="280" spans="1:9" ht="30" customHeight="1" x14ac:dyDescent="0.35">
      <c r="A280" t="s">
        <v>623</v>
      </c>
      <c r="B280" t="s">
        <v>624</v>
      </c>
      <c r="C280" t="s">
        <v>33</v>
      </c>
      <c r="D280" t="s">
        <v>32</v>
      </c>
      <c r="E280" s="2">
        <v>579869.81999999995</v>
      </c>
      <c r="F280" s="2"/>
      <c r="G280" s="2"/>
      <c r="H280" s="4" t="str">
        <f t="shared" si="8"/>
        <v/>
      </c>
      <c r="I280" s="6" t="str">
        <f t="shared" si="9"/>
        <v/>
      </c>
    </row>
    <row r="281" spans="1:9" ht="30" customHeight="1" x14ac:dyDescent="0.35">
      <c r="A281" t="s">
        <v>625</v>
      </c>
      <c r="B281" t="s">
        <v>626</v>
      </c>
      <c r="C281" t="s">
        <v>33</v>
      </c>
      <c r="D281" t="s">
        <v>32</v>
      </c>
      <c r="E281" s="2">
        <v>72996.320000000007</v>
      </c>
      <c r="F281" s="2"/>
      <c r="G281" s="2"/>
      <c r="H281" s="4" t="str">
        <f t="shared" si="8"/>
        <v/>
      </c>
      <c r="I281" s="6" t="str">
        <f t="shared" si="9"/>
        <v/>
      </c>
    </row>
    <row r="282" spans="1:9" ht="30" customHeight="1" x14ac:dyDescent="0.35">
      <c r="A282" t="s">
        <v>627</v>
      </c>
      <c r="B282" t="s">
        <v>628</v>
      </c>
      <c r="C282" t="s">
        <v>29</v>
      </c>
      <c r="D282" t="s">
        <v>28</v>
      </c>
      <c r="E282" s="2">
        <v>20</v>
      </c>
      <c r="F282" s="2"/>
      <c r="G282" s="2"/>
      <c r="H282" s="4" t="str">
        <f t="shared" si="8"/>
        <v/>
      </c>
      <c r="I282" s="6" t="str">
        <f t="shared" si="9"/>
        <v/>
      </c>
    </row>
    <row r="283" spans="1:9" ht="30" customHeight="1" x14ac:dyDescent="0.35">
      <c r="A283" t="s">
        <v>629</v>
      </c>
      <c r="B283" t="s">
        <v>630</v>
      </c>
      <c r="C283" t="s">
        <v>57</v>
      </c>
      <c r="D283" t="s">
        <v>56</v>
      </c>
      <c r="E283" s="2">
        <v>82549.27</v>
      </c>
      <c r="F283" s="2"/>
      <c r="G283" s="2"/>
      <c r="H283" s="4" t="str">
        <f t="shared" si="8"/>
        <v/>
      </c>
      <c r="I283" s="6" t="str">
        <f t="shared" si="9"/>
        <v/>
      </c>
    </row>
    <row r="284" spans="1:9" ht="30" customHeight="1" x14ac:dyDescent="0.35">
      <c r="A284" t="s">
        <v>631</v>
      </c>
      <c r="B284" t="s">
        <v>632</v>
      </c>
      <c r="C284" t="s">
        <v>465</v>
      </c>
      <c r="D284" t="s">
        <v>464</v>
      </c>
      <c r="E284" s="2">
        <v>264783.57</v>
      </c>
      <c r="F284" s="2">
        <v>4661517.96</v>
      </c>
      <c r="G284" s="2">
        <v>728000</v>
      </c>
      <c r="H284" s="4">
        <f t="shared" si="8"/>
        <v>5389517.96</v>
      </c>
      <c r="I284" s="6">
        <f t="shared" si="9"/>
        <v>4.9129360355633735E-2</v>
      </c>
    </row>
    <row r="285" spans="1:9" ht="30" customHeight="1" x14ac:dyDescent="0.35">
      <c r="A285" t="s">
        <v>633</v>
      </c>
      <c r="B285" t="s">
        <v>634</v>
      </c>
      <c r="C285" t="s">
        <v>29</v>
      </c>
      <c r="D285" t="s">
        <v>28</v>
      </c>
      <c r="E285" s="2">
        <v>991</v>
      </c>
      <c r="F285" s="2">
        <v>46849.11</v>
      </c>
      <c r="G285" s="2">
        <v>3150.89</v>
      </c>
      <c r="H285" s="4">
        <f t="shared" si="8"/>
        <v>50000</v>
      </c>
      <c r="I285" s="6">
        <f t="shared" si="9"/>
        <v>1.9820000000000001E-2</v>
      </c>
    </row>
    <row r="286" spans="1:9" ht="30" customHeight="1" x14ac:dyDescent="0.35">
      <c r="A286" t="s">
        <v>2220</v>
      </c>
      <c r="B286" t="s">
        <v>2221</v>
      </c>
      <c r="C286" t="s">
        <v>385</v>
      </c>
      <c r="D286" t="s">
        <v>384</v>
      </c>
      <c r="E286" s="2">
        <v>0</v>
      </c>
      <c r="F286" s="2"/>
      <c r="G286" s="2"/>
      <c r="H286" s="4" t="str">
        <f t="shared" si="8"/>
        <v/>
      </c>
      <c r="I286" s="6" t="str">
        <f t="shared" si="9"/>
        <v/>
      </c>
    </row>
    <row r="287" spans="1:9" ht="30" customHeight="1" x14ac:dyDescent="0.35">
      <c r="A287" t="s">
        <v>635</v>
      </c>
      <c r="B287" t="s">
        <v>636</v>
      </c>
      <c r="C287" t="s">
        <v>109</v>
      </c>
      <c r="D287" t="s">
        <v>108</v>
      </c>
      <c r="E287" s="2">
        <v>17502.830000000002</v>
      </c>
      <c r="F287" s="2"/>
      <c r="G287" s="2"/>
      <c r="H287" s="4" t="str">
        <f t="shared" si="8"/>
        <v/>
      </c>
      <c r="I287" s="6" t="str">
        <f t="shared" si="9"/>
        <v/>
      </c>
    </row>
    <row r="288" spans="1:9" ht="30" customHeight="1" x14ac:dyDescent="0.35">
      <c r="A288" t="s">
        <v>637</v>
      </c>
      <c r="B288" t="s">
        <v>638</v>
      </c>
      <c r="C288" t="s">
        <v>19</v>
      </c>
      <c r="D288" t="s">
        <v>18</v>
      </c>
      <c r="E288" s="2">
        <v>1398591.51</v>
      </c>
      <c r="F288" s="2"/>
      <c r="G288" s="2"/>
      <c r="H288" s="4" t="str">
        <f t="shared" si="8"/>
        <v/>
      </c>
      <c r="I288" s="6" t="str">
        <f t="shared" si="9"/>
        <v/>
      </c>
    </row>
    <row r="289" spans="1:9" ht="30" customHeight="1" x14ac:dyDescent="0.35">
      <c r="A289" t="s">
        <v>639</v>
      </c>
      <c r="B289" t="s">
        <v>640</v>
      </c>
      <c r="C289" t="s">
        <v>642</v>
      </c>
      <c r="D289" t="s">
        <v>641</v>
      </c>
      <c r="E289" s="2">
        <v>50887.79</v>
      </c>
      <c r="F289" s="2">
        <v>30228.7</v>
      </c>
      <c r="G289" s="2"/>
      <c r="H289" s="4">
        <f t="shared" si="8"/>
        <v>30228.7</v>
      </c>
      <c r="I289" s="6">
        <f t="shared" si="9"/>
        <v>1.6834263464852937</v>
      </c>
    </row>
    <row r="290" spans="1:9" ht="30" customHeight="1" x14ac:dyDescent="0.35">
      <c r="A290" t="s">
        <v>643</v>
      </c>
      <c r="B290" t="s">
        <v>644</v>
      </c>
      <c r="C290" t="s">
        <v>57</v>
      </c>
      <c r="D290" t="s">
        <v>56</v>
      </c>
      <c r="E290" s="2">
        <v>0</v>
      </c>
      <c r="F290" s="2"/>
      <c r="G290" s="2"/>
      <c r="H290" s="4" t="str">
        <f t="shared" si="8"/>
        <v/>
      </c>
      <c r="I290" s="6" t="str">
        <f t="shared" si="9"/>
        <v/>
      </c>
    </row>
    <row r="291" spans="1:9" ht="30" customHeight="1" x14ac:dyDescent="0.35">
      <c r="A291" t="s">
        <v>645</v>
      </c>
      <c r="B291" t="s">
        <v>646</v>
      </c>
      <c r="C291" t="s">
        <v>51</v>
      </c>
      <c r="D291" t="s">
        <v>50</v>
      </c>
      <c r="E291" s="2">
        <v>436648.83</v>
      </c>
      <c r="F291" s="2"/>
      <c r="G291" s="2"/>
      <c r="H291" s="4" t="str">
        <f t="shared" si="8"/>
        <v/>
      </c>
      <c r="I291" s="6" t="str">
        <f t="shared" si="9"/>
        <v/>
      </c>
    </row>
    <row r="292" spans="1:9" ht="30" customHeight="1" x14ac:dyDescent="0.35">
      <c r="A292" t="s">
        <v>647</v>
      </c>
      <c r="B292" t="s">
        <v>648</v>
      </c>
      <c r="C292" t="s">
        <v>19</v>
      </c>
      <c r="D292" t="s">
        <v>18</v>
      </c>
      <c r="E292" s="2">
        <v>30594.89</v>
      </c>
      <c r="F292" s="2"/>
      <c r="G292" s="2"/>
      <c r="H292" s="4" t="str">
        <f t="shared" si="8"/>
        <v/>
      </c>
      <c r="I292" s="6" t="str">
        <f t="shared" si="9"/>
        <v/>
      </c>
    </row>
    <row r="293" spans="1:9" ht="30" customHeight="1" x14ac:dyDescent="0.35">
      <c r="A293" t="s">
        <v>649</v>
      </c>
      <c r="B293" t="s">
        <v>650</v>
      </c>
      <c r="C293" t="s">
        <v>77</v>
      </c>
      <c r="D293" t="s">
        <v>76</v>
      </c>
      <c r="E293" s="2">
        <v>12754.35</v>
      </c>
      <c r="F293" s="2"/>
      <c r="G293" s="2"/>
      <c r="H293" s="4" t="str">
        <f t="shared" si="8"/>
        <v/>
      </c>
      <c r="I293" s="6" t="str">
        <f t="shared" si="9"/>
        <v/>
      </c>
    </row>
    <row r="294" spans="1:9" ht="30" customHeight="1" x14ac:dyDescent="0.35">
      <c r="A294" t="s">
        <v>651</v>
      </c>
      <c r="B294" t="s">
        <v>652</v>
      </c>
      <c r="C294" t="s">
        <v>19</v>
      </c>
      <c r="D294" t="s">
        <v>18</v>
      </c>
      <c r="E294" s="2">
        <v>353063.02</v>
      </c>
      <c r="F294" s="2"/>
      <c r="G294" s="2"/>
      <c r="H294" s="4" t="str">
        <f t="shared" si="8"/>
        <v/>
      </c>
      <c r="I294" s="6" t="str">
        <f t="shared" si="9"/>
        <v/>
      </c>
    </row>
    <row r="295" spans="1:9" ht="30" customHeight="1" x14ac:dyDescent="0.35">
      <c r="A295" t="s">
        <v>653</v>
      </c>
      <c r="B295" t="s">
        <v>654</v>
      </c>
      <c r="C295" t="s">
        <v>57</v>
      </c>
      <c r="D295" t="s">
        <v>56</v>
      </c>
      <c r="E295" s="2">
        <v>484563.85</v>
      </c>
      <c r="F295" s="2"/>
      <c r="G295" s="2"/>
      <c r="H295" s="4" t="str">
        <f t="shared" si="8"/>
        <v/>
      </c>
      <c r="I295" s="6" t="str">
        <f t="shared" si="9"/>
        <v/>
      </c>
    </row>
    <row r="296" spans="1:9" ht="30" customHeight="1" x14ac:dyDescent="0.35">
      <c r="A296" t="s">
        <v>655</v>
      </c>
      <c r="B296" t="s">
        <v>656</v>
      </c>
      <c r="C296" t="s">
        <v>51</v>
      </c>
      <c r="D296" t="s">
        <v>50</v>
      </c>
      <c r="E296" s="2">
        <v>415810.99</v>
      </c>
      <c r="F296" s="2">
        <v>0</v>
      </c>
      <c r="G296" s="2">
        <v>1000</v>
      </c>
      <c r="H296" s="4">
        <f t="shared" si="8"/>
        <v>1000</v>
      </c>
      <c r="I296" s="6">
        <f t="shared" si="9"/>
        <v>415.81099</v>
      </c>
    </row>
    <row r="297" spans="1:9" ht="30" customHeight="1" x14ac:dyDescent="0.35">
      <c r="A297" t="s">
        <v>657</v>
      </c>
      <c r="B297" t="s">
        <v>658</v>
      </c>
      <c r="C297" t="s">
        <v>19</v>
      </c>
      <c r="D297" t="s">
        <v>18</v>
      </c>
      <c r="E297" s="2">
        <v>826.64</v>
      </c>
      <c r="F297" s="2"/>
      <c r="G297" s="2"/>
      <c r="H297" s="4" t="str">
        <f t="shared" si="8"/>
        <v/>
      </c>
      <c r="I297" s="6" t="str">
        <f t="shared" si="9"/>
        <v/>
      </c>
    </row>
    <row r="298" spans="1:9" ht="30" customHeight="1" x14ac:dyDescent="0.35">
      <c r="A298" t="s">
        <v>659</v>
      </c>
      <c r="B298" t="s">
        <v>660</v>
      </c>
      <c r="C298" t="s">
        <v>57</v>
      </c>
      <c r="D298" t="s">
        <v>56</v>
      </c>
      <c r="E298" s="2">
        <v>56929.15</v>
      </c>
      <c r="F298" s="2"/>
      <c r="G298" s="2"/>
      <c r="H298" s="4" t="str">
        <f t="shared" si="8"/>
        <v/>
      </c>
      <c r="I298" s="6" t="str">
        <f t="shared" si="9"/>
        <v/>
      </c>
    </row>
    <row r="299" spans="1:9" ht="30" customHeight="1" x14ac:dyDescent="0.35">
      <c r="A299" t="s">
        <v>661</v>
      </c>
      <c r="B299" t="s">
        <v>662</v>
      </c>
      <c r="C299" t="s">
        <v>77</v>
      </c>
      <c r="D299" t="s">
        <v>76</v>
      </c>
      <c r="E299" s="2">
        <v>19668.03</v>
      </c>
      <c r="F299" s="2"/>
      <c r="G299" s="2"/>
      <c r="H299" s="4" t="str">
        <f t="shared" si="8"/>
        <v/>
      </c>
      <c r="I299" s="6" t="str">
        <f t="shared" si="9"/>
        <v/>
      </c>
    </row>
    <row r="300" spans="1:9" ht="30" customHeight="1" x14ac:dyDescent="0.35">
      <c r="A300" t="s">
        <v>663</v>
      </c>
      <c r="B300" t="s">
        <v>664</v>
      </c>
      <c r="C300" t="s">
        <v>51</v>
      </c>
      <c r="D300" t="s">
        <v>50</v>
      </c>
      <c r="E300" s="2">
        <v>334809.56</v>
      </c>
      <c r="F300" s="2"/>
      <c r="G300" s="2"/>
      <c r="H300" s="4" t="str">
        <f t="shared" si="8"/>
        <v/>
      </c>
      <c r="I300" s="6" t="str">
        <f t="shared" si="9"/>
        <v/>
      </c>
    </row>
    <row r="301" spans="1:9" ht="30" customHeight="1" x14ac:dyDescent="0.35">
      <c r="A301" t="s">
        <v>665</v>
      </c>
      <c r="B301" t="s">
        <v>666</v>
      </c>
      <c r="C301" t="s">
        <v>57</v>
      </c>
      <c r="D301" t="s">
        <v>56</v>
      </c>
      <c r="E301" s="2">
        <v>346439.78</v>
      </c>
      <c r="F301" s="2">
        <v>239655.15</v>
      </c>
      <c r="G301" s="2">
        <v>98536.11</v>
      </c>
      <c r="H301" s="4">
        <f t="shared" si="8"/>
        <v>338191.26</v>
      </c>
      <c r="I301" s="6">
        <f t="shared" si="9"/>
        <v>1.0243901039902688</v>
      </c>
    </row>
    <row r="302" spans="1:9" ht="30" customHeight="1" x14ac:dyDescent="0.35">
      <c r="A302" t="s">
        <v>667</v>
      </c>
      <c r="B302" t="s">
        <v>668</v>
      </c>
      <c r="C302" t="s">
        <v>19</v>
      </c>
      <c r="D302" t="s">
        <v>18</v>
      </c>
      <c r="E302" s="2">
        <v>105890.11</v>
      </c>
      <c r="F302" s="2"/>
      <c r="G302" s="2"/>
      <c r="H302" s="4" t="str">
        <f t="shared" si="8"/>
        <v/>
      </c>
      <c r="I302" s="6" t="str">
        <f t="shared" si="9"/>
        <v/>
      </c>
    </row>
    <row r="303" spans="1:9" ht="30" customHeight="1" x14ac:dyDescent="0.35">
      <c r="A303" t="s">
        <v>76</v>
      </c>
      <c r="B303" t="s">
        <v>669</v>
      </c>
      <c r="C303" t="s">
        <v>51</v>
      </c>
      <c r="D303" t="s">
        <v>50</v>
      </c>
      <c r="E303" s="2">
        <v>94914.11</v>
      </c>
      <c r="F303" s="2">
        <v>61788.02</v>
      </c>
      <c r="G303" s="2"/>
      <c r="H303" s="4">
        <f t="shared" si="8"/>
        <v>61788.02</v>
      </c>
      <c r="I303" s="6">
        <f t="shared" si="9"/>
        <v>1.5361248021865728</v>
      </c>
    </row>
    <row r="304" spans="1:9" ht="30" customHeight="1" x14ac:dyDescent="0.35">
      <c r="A304" t="s">
        <v>670</v>
      </c>
      <c r="B304" t="s">
        <v>671</v>
      </c>
      <c r="C304" t="s">
        <v>19</v>
      </c>
      <c r="D304" t="s">
        <v>18</v>
      </c>
      <c r="E304" s="2">
        <v>221289.43</v>
      </c>
      <c r="F304" s="2"/>
      <c r="G304" s="2"/>
      <c r="H304" s="4" t="str">
        <f t="shared" si="8"/>
        <v/>
      </c>
      <c r="I304" s="6" t="str">
        <f t="shared" si="9"/>
        <v/>
      </c>
    </row>
    <row r="305" spans="1:9" ht="30" customHeight="1" x14ac:dyDescent="0.35">
      <c r="A305" t="s">
        <v>672</v>
      </c>
      <c r="B305" t="s">
        <v>673</v>
      </c>
      <c r="C305" t="s">
        <v>101</v>
      </c>
      <c r="D305" t="s">
        <v>100</v>
      </c>
      <c r="E305" s="2">
        <v>2420593.98</v>
      </c>
      <c r="F305" s="2">
        <v>13201.82</v>
      </c>
      <c r="G305" s="2">
        <v>1000</v>
      </c>
      <c r="H305" s="4">
        <f t="shared" si="8"/>
        <v>14201.82</v>
      </c>
      <c r="I305" s="6">
        <f t="shared" si="9"/>
        <v>170.44251933907063</v>
      </c>
    </row>
    <row r="306" spans="1:9" ht="30" customHeight="1" x14ac:dyDescent="0.35">
      <c r="A306" t="s">
        <v>674</v>
      </c>
      <c r="B306" t="s">
        <v>675</v>
      </c>
      <c r="C306" t="s">
        <v>15</v>
      </c>
      <c r="D306" t="s">
        <v>14</v>
      </c>
      <c r="E306" s="2">
        <v>58004.22</v>
      </c>
      <c r="F306" s="2">
        <v>2123490.34</v>
      </c>
      <c r="G306" s="2">
        <v>106870.66</v>
      </c>
      <c r="H306" s="4">
        <f t="shared" si="8"/>
        <v>2230361</v>
      </c>
      <c r="I306" s="6">
        <f t="shared" si="9"/>
        <v>2.6006650941260184E-2</v>
      </c>
    </row>
    <row r="307" spans="1:9" ht="30" customHeight="1" x14ac:dyDescent="0.35">
      <c r="A307" t="s">
        <v>676</v>
      </c>
      <c r="B307" t="s">
        <v>677</v>
      </c>
      <c r="C307" t="s">
        <v>19</v>
      </c>
      <c r="D307" t="s">
        <v>18</v>
      </c>
      <c r="E307" s="2">
        <v>208683.43</v>
      </c>
      <c r="F307" s="2"/>
      <c r="G307" s="2"/>
      <c r="H307" s="4" t="str">
        <f t="shared" si="8"/>
        <v/>
      </c>
      <c r="I307" s="6" t="str">
        <f t="shared" si="9"/>
        <v/>
      </c>
    </row>
    <row r="308" spans="1:9" ht="30" customHeight="1" x14ac:dyDescent="0.35">
      <c r="A308" t="s">
        <v>678</v>
      </c>
      <c r="B308" t="s">
        <v>679</v>
      </c>
      <c r="C308" t="s">
        <v>19</v>
      </c>
      <c r="D308" t="s">
        <v>18</v>
      </c>
      <c r="E308" s="2">
        <v>24063.02</v>
      </c>
      <c r="F308" s="2">
        <v>17875.8</v>
      </c>
      <c r="G308" s="2">
        <v>500</v>
      </c>
      <c r="H308" s="4">
        <f t="shared" si="8"/>
        <v>18375.8</v>
      </c>
      <c r="I308" s="6">
        <f t="shared" si="9"/>
        <v>1.3094950968121117</v>
      </c>
    </row>
    <row r="309" spans="1:9" ht="30" customHeight="1" x14ac:dyDescent="0.35">
      <c r="A309" t="s">
        <v>50</v>
      </c>
      <c r="B309" t="s">
        <v>680</v>
      </c>
      <c r="C309" t="s">
        <v>19</v>
      </c>
      <c r="D309" t="s">
        <v>18</v>
      </c>
      <c r="E309" s="2">
        <v>293900.44</v>
      </c>
      <c r="F309" s="2"/>
      <c r="G309" s="2"/>
      <c r="H309" s="4" t="str">
        <f t="shared" si="8"/>
        <v/>
      </c>
      <c r="I309" s="6" t="str">
        <f t="shared" si="9"/>
        <v/>
      </c>
    </row>
    <row r="310" spans="1:9" ht="30" customHeight="1" x14ac:dyDescent="0.35">
      <c r="A310" t="s">
        <v>681</v>
      </c>
      <c r="B310" t="s">
        <v>682</v>
      </c>
      <c r="C310" t="s">
        <v>29</v>
      </c>
      <c r="D310" t="s">
        <v>28</v>
      </c>
      <c r="E310" s="2">
        <v>414472.35</v>
      </c>
      <c r="F310" s="2"/>
      <c r="G310" s="2"/>
      <c r="H310" s="4" t="str">
        <f t="shared" si="8"/>
        <v/>
      </c>
      <c r="I310" s="6" t="str">
        <f t="shared" si="9"/>
        <v/>
      </c>
    </row>
    <row r="311" spans="1:9" ht="30" customHeight="1" x14ac:dyDescent="0.35">
      <c r="A311" t="s">
        <v>683</v>
      </c>
      <c r="B311" t="s">
        <v>684</v>
      </c>
      <c r="C311" t="s">
        <v>109</v>
      </c>
      <c r="D311" t="s">
        <v>108</v>
      </c>
      <c r="E311" s="2">
        <v>164635.68</v>
      </c>
      <c r="F311" s="2"/>
      <c r="G311" s="2"/>
      <c r="H311" s="4" t="str">
        <f t="shared" si="8"/>
        <v/>
      </c>
      <c r="I311" s="6" t="str">
        <f t="shared" si="9"/>
        <v/>
      </c>
    </row>
    <row r="312" spans="1:9" ht="30" customHeight="1" x14ac:dyDescent="0.35">
      <c r="A312" t="s">
        <v>685</v>
      </c>
      <c r="B312" t="s">
        <v>686</v>
      </c>
      <c r="C312" t="s">
        <v>57</v>
      </c>
      <c r="D312" t="s">
        <v>56</v>
      </c>
      <c r="E312" s="2">
        <v>50541.42</v>
      </c>
      <c r="F312" s="2">
        <v>185257.91</v>
      </c>
      <c r="G312" s="2">
        <v>14742.09</v>
      </c>
      <c r="H312" s="4">
        <f t="shared" si="8"/>
        <v>200000</v>
      </c>
      <c r="I312" s="6">
        <f t="shared" si="9"/>
        <v>0.25270710000000002</v>
      </c>
    </row>
    <row r="313" spans="1:9" ht="30" customHeight="1" x14ac:dyDescent="0.35">
      <c r="A313" t="s">
        <v>687</v>
      </c>
      <c r="B313" t="s">
        <v>688</v>
      </c>
      <c r="C313" t="s">
        <v>57</v>
      </c>
      <c r="D313" t="s">
        <v>56</v>
      </c>
      <c r="E313" s="2">
        <v>91321.17</v>
      </c>
      <c r="F313" s="2">
        <v>0</v>
      </c>
      <c r="G313" s="2">
        <v>1500</v>
      </c>
      <c r="H313" s="4">
        <f t="shared" si="8"/>
        <v>1500</v>
      </c>
      <c r="I313" s="6">
        <f t="shared" si="9"/>
        <v>60.880780000000001</v>
      </c>
    </row>
    <row r="314" spans="1:9" ht="30" customHeight="1" x14ac:dyDescent="0.35">
      <c r="A314" t="s">
        <v>689</v>
      </c>
      <c r="B314" t="s">
        <v>690</v>
      </c>
      <c r="C314" t="s">
        <v>57</v>
      </c>
      <c r="D314" t="s">
        <v>56</v>
      </c>
      <c r="E314" s="2">
        <v>100913.15</v>
      </c>
      <c r="F314" s="2">
        <v>120785.13</v>
      </c>
      <c r="G314" s="2"/>
      <c r="H314" s="4">
        <f t="shared" si="8"/>
        <v>120785.13</v>
      </c>
      <c r="I314" s="6">
        <f t="shared" si="9"/>
        <v>0.83547660212809305</v>
      </c>
    </row>
    <row r="315" spans="1:9" ht="30" customHeight="1" x14ac:dyDescent="0.35">
      <c r="A315" t="s">
        <v>691</v>
      </c>
      <c r="B315" t="s">
        <v>692</v>
      </c>
      <c r="C315" t="s">
        <v>51</v>
      </c>
      <c r="D315" t="s">
        <v>50</v>
      </c>
      <c r="E315" s="2">
        <v>37649.08</v>
      </c>
      <c r="F315" s="2"/>
      <c r="G315" s="2"/>
      <c r="H315" s="4" t="str">
        <f t="shared" ref="H315:H378" si="10">IF(ISBLANK(F315),"",(F315+G315))</f>
        <v/>
      </c>
      <c r="I315" s="6" t="str">
        <f t="shared" ref="I315:I378" si="11">IF(ISBLANK(F315), "", E315/H315)</f>
        <v/>
      </c>
    </row>
    <row r="316" spans="1:9" ht="30" customHeight="1" x14ac:dyDescent="0.35">
      <c r="A316" t="s">
        <v>693</v>
      </c>
      <c r="B316" t="s">
        <v>694</v>
      </c>
      <c r="C316" t="s">
        <v>67</v>
      </c>
      <c r="D316" t="s">
        <v>66</v>
      </c>
      <c r="E316" s="2">
        <v>1539987.5</v>
      </c>
      <c r="F316" s="2"/>
      <c r="G316" s="2"/>
      <c r="H316" s="4" t="str">
        <f t="shared" si="10"/>
        <v/>
      </c>
      <c r="I316" s="6" t="str">
        <f t="shared" si="11"/>
        <v/>
      </c>
    </row>
    <row r="317" spans="1:9" ht="30" customHeight="1" x14ac:dyDescent="0.35">
      <c r="A317" t="s">
        <v>695</v>
      </c>
      <c r="B317" t="s">
        <v>696</v>
      </c>
      <c r="C317" t="s">
        <v>109</v>
      </c>
      <c r="D317" t="s">
        <v>108</v>
      </c>
      <c r="E317" s="2">
        <v>471377.98</v>
      </c>
      <c r="F317" s="2"/>
      <c r="G317" s="2"/>
      <c r="H317" s="4" t="str">
        <f t="shared" si="10"/>
        <v/>
      </c>
      <c r="I317" s="6" t="str">
        <f t="shared" si="11"/>
        <v/>
      </c>
    </row>
    <row r="318" spans="1:9" ht="30" customHeight="1" x14ac:dyDescent="0.35">
      <c r="A318" t="s">
        <v>697</v>
      </c>
      <c r="B318" t="s">
        <v>698</v>
      </c>
      <c r="C318" t="s">
        <v>19</v>
      </c>
      <c r="D318" t="s">
        <v>18</v>
      </c>
      <c r="E318" s="2">
        <v>7611.11</v>
      </c>
      <c r="F318" s="2">
        <v>0</v>
      </c>
      <c r="G318" s="2">
        <v>3000</v>
      </c>
      <c r="H318" s="4">
        <f t="shared" si="10"/>
        <v>3000</v>
      </c>
      <c r="I318" s="6">
        <f t="shared" si="11"/>
        <v>2.5370366666666664</v>
      </c>
    </row>
    <row r="319" spans="1:9" ht="30" customHeight="1" x14ac:dyDescent="0.35">
      <c r="A319" t="s">
        <v>699</v>
      </c>
      <c r="B319" t="s">
        <v>700</v>
      </c>
      <c r="C319" t="s">
        <v>19</v>
      </c>
      <c r="D319" t="s">
        <v>18</v>
      </c>
      <c r="E319" s="2">
        <v>7298.08</v>
      </c>
      <c r="F319" s="2"/>
      <c r="G319" s="2"/>
      <c r="H319" s="4" t="str">
        <f t="shared" si="10"/>
        <v/>
      </c>
      <c r="I319" s="6" t="str">
        <f t="shared" si="11"/>
        <v/>
      </c>
    </row>
    <row r="320" spans="1:9" ht="30" customHeight="1" x14ac:dyDescent="0.35">
      <c r="A320" t="s">
        <v>701</v>
      </c>
      <c r="B320" t="s">
        <v>702</v>
      </c>
      <c r="C320" t="s">
        <v>67</v>
      </c>
      <c r="D320" t="s">
        <v>66</v>
      </c>
      <c r="E320" s="2">
        <v>20835.82</v>
      </c>
      <c r="F320" s="2">
        <v>21919.25</v>
      </c>
      <c r="G320" s="2">
        <v>78080.75</v>
      </c>
      <c r="H320" s="4">
        <f t="shared" si="10"/>
        <v>100000</v>
      </c>
      <c r="I320" s="6">
        <f t="shared" si="11"/>
        <v>0.20835819999999999</v>
      </c>
    </row>
    <row r="321" spans="1:9" ht="30" customHeight="1" x14ac:dyDescent="0.35">
      <c r="A321" t="s">
        <v>703</v>
      </c>
      <c r="B321" t="s">
        <v>704</v>
      </c>
      <c r="C321" t="s">
        <v>213</v>
      </c>
      <c r="D321" t="s">
        <v>212</v>
      </c>
      <c r="E321" s="2"/>
      <c r="F321" s="2">
        <v>3946365.64</v>
      </c>
      <c r="G321" s="2"/>
      <c r="H321" s="4">
        <f t="shared" si="10"/>
        <v>3946365.64</v>
      </c>
      <c r="I321" s="6">
        <f t="shared" si="11"/>
        <v>0</v>
      </c>
    </row>
    <row r="322" spans="1:9" ht="30" customHeight="1" x14ac:dyDescent="0.35">
      <c r="A322" t="s">
        <v>705</v>
      </c>
      <c r="B322" t="s">
        <v>706</v>
      </c>
      <c r="C322" t="s">
        <v>259</v>
      </c>
      <c r="D322" t="s">
        <v>258</v>
      </c>
      <c r="E322" s="2">
        <v>35428.400000000001</v>
      </c>
      <c r="F322" s="2">
        <v>1236927.03</v>
      </c>
      <c r="G322" s="2">
        <v>200000</v>
      </c>
      <c r="H322" s="4">
        <f t="shared" si="10"/>
        <v>1436927.03</v>
      </c>
      <c r="I322" s="6">
        <f t="shared" si="11"/>
        <v>2.4655670928536991E-2</v>
      </c>
    </row>
    <row r="323" spans="1:9" ht="30" customHeight="1" x14ac:dyDescent="0.35">
      <c r="A323" t="s">
        <v>707</v>
      </c>
      <c r="B323" t="s">
        <v>708</v>
      </c>
      <c r="C323" t="s">
        <v>19</v>
      </c>
      <c r="D323" t="s">
        <v>18</v>
      </c>
      <c r="E323" s="2">
        <v>169999.84</v>
      </c>
      <c r="F323" s="2"/>
      <c r="G323" s="2"/>
      <c r="H323" s="4" t="str">
        <f t="shared" si="10"/>
        <v/>
      </c>
      <c r="I323" s="6" t="str">
        <f t="shared" si="11"/>
        <v/>
      </c>
    </row>
    <row r="324" spans="1:9" ht="30" customHeight="1" x14ac:dyDescent="0.35">
      <c r="A324" t="s">
        <v>709</v>
      </c>
      <c r="B324" t="s">
        <v>710</v>
      </c>
      <c r="C324" t="s">
        <v>41</v>
      </c>
      <c r="D324" t="s">
        <v>40</v>
      </c>
      <c r="E324" s="2">
        <v>540530.88</v>
      </c>
      <c r="F324" s="2"/>
      <c r="G324" s="2"/>
      <c r="H324" s="4" t="str">
        <f t="shared" si="10"/>
        <v/>
      </c>
      <c r="I324" s="6" t="str">
        <f t="shared" si="11"/>
        <v/>
      </c>
    </row>
    <row r="325" spans="1:9" ht="30" customHeight="1" x14ac:dyDescent="0.35">
      <c r="A325" t="s">
        <v>711</v>
      </c>
      <c r="B325" t="s">
        <v>712</v>
      </c>
      <c r="C325" t="s">
        <v>51</v>
      </c>
      <c r="D325" t="s">
        <v>50</v>
      </c>
      <c r="E325" s="2">
        <v>593300.47</v>
      </c>
      <c r="F325" s="2">
        <v>111226.78</v>
      </c>
      <c r="G325" s="2"/>
      <c r="H325" s="4">
        <f t="shared" si="10"/>
        <v>111226.78</v>
      </c>
      <c r="I325" s="6">
        <f t="shared" si="11"/>
        <v>5.3341512718429858</v>
      </c>
    </row>
    <row r="326" spans="1:9" ht="30" customHeight="1" x14ac:dyDescent="0.35">
      <c r="A326" t="s">
        <v>713</v>
      </c>
      <c r="B326" t="s">
        <v>714</v>
      </c>
      <c r="C326" t="s">
        <v>67</v>
      </c>
      <c r="D326" t="s">
        <v>66</v>
      </c>
      <c r="E326" s="2">
        <v>790.17</v>
      </c>
      <c r="F326" s="2"/>
      <c r="G326" s="2"/>
      <c r="H326" s="4" t="str">
        <f t="shared" si="10"/>
        <v/>
      </c>
      <c r="I326" s="6" t="str">
        <f t="shared" si="11"/>
        <v/>
      </c>
    </row>
    <row r="327" spans="1:9" ht="30" customHeight="1" x14ac:dyDescent="0.35">
      <c r="A327" t="s">
        <v>715</v>
      </c>
      <c r="B327" t="s">
        <v>716</v>
      </c>
      <c r="C327" t="s">
        <v>19</v>
      </c>
      <c r="D327" t="s">
        <v>18</v>
      </c>
      <c r="E327" s="2">
        <v>438691.03</v>
      </c>
      <c r="F327" s="2">
        <v>0</v>
      </c>
      <c r="G327" s="2">
        <v>3000</v>
      </c>
      <c r="H327" s="4">
        <f t="shared" si="10"/>
        <v>3000</v>
      </c>
      <c r="I327" s="6">
        <f t="shared" si="11"/>
        <v>146.23034333333334</v>
      </c>
    </row>
    <row r="328" spans="1:9" ht="30" customHeight="1" x14ac:dyDescent="0.35">
      <c r="A328" t="s">
        <v>717</v>
      </c>
      <c r="B328" t="s">
        <v>718</v>
      </c>
      <c r="C328" t="s">
        <v>77</v>
      </c>
      <c r="D328" t="s">
        <v>76</v>
      </c>
      <c r="E328" s="2">
        <v>128546.52</v>
      </c>
      <c r="F328" s="2"/>
      <c r="G328" s="2"/>
      <c r="H328" s="4" t="str">
        <f t="shared" si="10"/>
        <v/>
      </c>
      <c r="I328" s="6" t="str">
        <f t="shared" si="11"/>
        <v/>
      </c>
    </row>
    <row r="329" spans="1:9" ht="30" customHeight="1" x14ac:dyDescent="0.35">
      <c r="A329" t="s">
        <v>719</v>
      </c>
      <c r="B329" t="s">
        <v>720</v>
      </c>
      <c r="C329" t="s">
        <v>51</v>
      </c>
      <c r="D329" t="s">
        <v>50</v>
      </c>
      <c r="E329" s="2">
        <v>202505.86</v>
      </c>
      <c r="F329" s="2"/>
      <c r="G329" s="2"/>
      <c r="H329" s="4" t="str">
        <f t="shared" si="10"/>
        <v/>
      </c>
      <c r="I329" s="6" t="str">
        <f t="shared" si="11"/>
        <v/>
      </c>
    </row>
    <row r="330" spans="1:9" ht="30" customHeight="1" x14ac:dyDescent="0.35">
      <c r="A330" t="s">
        <v>721</v>
      </c>
      <c r="B330" t="s">
        <v>722</v>
      </c>
      <c r="C330" t="s">
        <v>253</v>
      </c>
      <c r="D330" t="s">
        <v>252</v>
      </c>
      <c r="E330" s="2">
        <v>76521.66</v>
      </c>
      <c r="F330" s="2">
        <v>3261995.58</v>
      </c>
      <c r="G330" s="2"/>
      <c r="H330" s="4">
        <f t="shared" si="10"/>
        <v>3261995.58</v>
      </c>
      <c r="I330" s="6">
        <f t="shared" si="11"/>
        <v>2.3458541902745312E-2</v>
      </c>
    </row>
    <row r="331" spans="1:9" ht="30" customHeight="1" x14ac:dyDescent="0.35">
      <c r="A331" t="s">
        <v>723</v>
      </c>
      <c r="B331" t="s">
        <v>724</v>
      </c>
      <c r="C331" t="s">
        <v>77</v>
      </c>
      <c r="D331" t="s">
        <v>76</v>
      </c>
      <c r="E331" s="2">
        <v>241392.49</v>
      </c>
      <c r="F331" s="2"/>
      <c r="G331" s="2"/>
      <c r="H331" s="4" t="str">
        <f t="shared" si="10"/>
        <v/>
      </c>
      <c r="I331" s="6" t="str">
        <f t="shared" si="11"/>
        <v/>
      </c>
    </row>
    <row r="332" spans="1:9" ht="30" customHeight="1" x14ac:dyDescent="0.35">
      <c r="A332" t="s">
        <v>725</v>
      </c>
      <c r="B332" t="s">
        <v>726</v>
      </c>
      <c r="C332" t="s">
        <v>109</v>
      </c>
      <c r="D332" t="s">
        <v>108</v>
      </c>
      <c r="E332" s="2">
        <v>1083877.3999999999</v>
      </c>
      <c r="F332" s="2"/>
      <c r="G332" s="2"/>
      <c r="H332" s="4" t="str">
        <f t="shared" si="10"/>
        <v/>
      </c>
      <c r="I332" s="6" t="str">
        <f t="shared" si="11"/>
        <v/>
      </c>
    </row>
    <row r="333" spans="1:9" ht="30" customHeight="1" x14ac:dyDescent="0.35">
      <c r="A333" t="s">
        <v>727</v>
      </c>
      <c r="B333" t="s">
        <v>728</v>
      </c>
      <c r="C333" t="s">
        <v>57</v>
      </c>
      <c r="D333" t="s">
        <v>56</v>
      </c>
      <c r="E333" s="2">
        <v>16099.75</v>
      </c>
      <c r="F333" s="2"/>
      <c r="G333" s="2"/>
      <c r="H333" s="4" t="str">
        <f t="shared" si="10"/>
        <v/>
      </c>
      <c r="I333" s="6" t="str">
        <f t="shared" si="11"/>
        <v/>
      </c>
    </row>
    <row r="334" spans="1:9" ht="30" customHeight="1" x14ac:dyDescent="0.35">
      <c r="A334" t="s">
        <v>729</v>
      </c>
      <c r="B334" t="s">
        <v>730</v>
      </c>
      <c r="C334" t="s">
        <v>77</v>
      </c>
      <c r="D334" t="s">
        <v>76</v>
      </c>
      <c r="E334" s="2">
        <v>96943.55</v>
      </c>
      <c r="F334" s="2"/>
      <c r="G334" s="2"/>
      <c r="H334" s="4" t="str">
        <f t="shared" si="10"/>
        <v/>
      </c>
      <c r="I334" s="6" t="str">
        <f t="shared" si="11"/>
        <v/>
      </c>
    </row>
    <row r="335" spans="1:9" ht="30" customHeight="1" x14ac:dyDescent="0.35">
      <c r="A335" t="s">
        <v>731</v>
      </c>
      <c r="B335" t="s">
        <v>732</v>
      </c>
      <c r="C335" t="s">
        <v>457</v>
      </c>
      <c r="D335" t="s">
        <v>456</v>
      </c>
      <c r="E335" s="2">
        <v>105598.42</v>
      </c>
      <c r="F335" s="2">
        <v>5206337.74</v>
      </c>
      <c r="G335" s="2"/>
      <c r="H335" s="4">
        <f t="shared" si="10"/>
        <v>5206337.74</v>
      </c>
      <c r="I335" s="6">
        <f t="shared" si="11"/>
        <v>2.0282668023761361E-2</v>
      </c>
    </row>
    <row r="336" spans="1:9" ht="30" customHeight="1" x14ac:dyDescent="0.35">
      <c r="A336" t="s">
        <v>733</v>
      </c>
      <c r="B336" t="s">
        <v>734</v>
      </c>
      <c r="C336" t="s">
        <v>19</v>
      </c>
      <c r="D336" t="s">
        <v>18</v>
      </c>
      <c r="E336" s="2">
        <v>239576.14</v>
      </c>
      <c r="F336" s="2"/>
      <c r="G336" s="2"/>
      <c r="H336" s="4" t="str">
        <f t="shared" si="10"/>
        <v/>
      </c>
      <c r="I336" s="6" t="str">
        <f t="shared" si="11"/>
        <v/>
      </c>
    </row>
    <row r="337" spans="1:9" ht="30" customHeight="1" x14ac:dyDescent="0.35">
      <c r="A337" t="s">
        <v>735</v>
      </c>
      <c r="B337" t="s">
        <v>736</v>
      </c>
      <c r="C337" t="s">
        <v>487</v>
      </c>
      <c r="D337" t="s">
        <v>486</v>
      </c>
      <c r="E337" s="2">
        <v>157257.63</v>
      </c>
      <c r="F337" s="2">
        <v>41154.82</v>
      </c>
      <c r="G337" s="2">
        <v>2958845.18</v>
      </c>
      <c r="H337" s="4">
        <f t="shared" si="10"/>
        <v>3000000</v>
      </c>
      <c r="I337" s="6">
        <f t="shared" si="11"/>
        <v>5.2419210000000001E-2</v>
      </c>
    </row>
    <row r="338" spans="1:9" ht="30" customHeight="1" x14ac:dyDescent="0.35">
      <c r="A338" t="s">
        <v>737</v>
      </c>
      <c r="B338" t="s">
        <v>738</v>
      </c>
      <c r="C338" t="s">
        <v>33</v>
      </c>
      <c r="D338" t="s">
        <v>32</v>
      </c>
      <c r="E338" s="2">
        <v>3568.3</v>
      </c>
      <c r="F338" s="2"/>
      <c r="G338" s="2"/>
      <c r="H338" s="4" t="str">
        <f t="shared" si="10"/>
        <v/>
      </c>
      <c r="I338" s="6" t="str">
        <f t="shared" si="11"/>
        <v/>
      </c>
    </row>
    <row r="339" spans="1:9" ht="30" customHeight="1" x14ac:dyDescent="0.35">
      <c r="A339" t="s">
        <v>739</v>
      </c>
      <c r="B339" t="s">
        <v>740</v>
      </c>
      <c r="C339" t="s">
        <v>77</v>
      </c>
      <c r="D339" t="s">
        <v>76</v>
      </c>
      <c r="E339" s="2">
        <v>71865.279999999999</v>
      </c>
      <c r="F339" s="2"/>
      <c r="G339" s="2"/>
      <c r="H339" s="4" t="str">
        <f t="shared" si="10"/>
        <v/>
      </c>
      <c r="I339" s="6" t="str">
        <f t="shared" si="11"/>
        <v/>
      </c>
    </row>
    <row r="340" spans="1:9" ht="30" customHeight="1" x14ac:dyDescent="0.35">
      <c r="A340" t="s">
        <v>741</v>
      </c>
      <c r="B340" t="s">
        <v>742</v>
      </c>
      <c r="C340" t="s">
        <v>109</v>
      </c>
      <c r="D340" t="s">
        <v>108</v>
      </c>
      <c r="E340" s="2">
        <v>46633.83</v>
      </c>
      <c r="F340" s="2"/>
      <c r="G340" s="2"/>
      <c r="H340" s="4" t="str">
        <f t="shared" si="10"/>
        <v/>
      </c>
      <c r="I340" s="6" t="str">
        <f t="shared" si="11"/>
        <v/>
      </c>
    </row>
    <row r="341" spans="1:9" ht="30" customHeight="1" x14ac:dyDescent="0.35">
      <c r="A341" t="s">
        <v>743</v>
      </c>
      <c r="B341" t="s">
        <v>744</v>
      </c>
      <c r="C341" t="s">
        <v>29</v>
      </c>
      <c r="D341" t="s">
        <v>28</v>
      </c>
      <c r="E341" s="2">
        <v>5420.19</v>
      </c>
      <c r="F341" s="2">
        <v>17373.02</v>
      </c>
      <c r="G341" s="2"/>
      <c r="H341" s="4">
        <f t="shared" si="10"/>
        <v>17373.02</v>
      </c>
      <c r="I341" s="6">
        <f t="shared" si="11"/>
        <v>0.31198893456635629</v>
      </c>
    </row>
    <row r="342" spans="1:9" ht="30" customHeight="1" x14ac:dyDescent="0.35">
      <c r="A342" t="s">
        <v>745</v>
      </c>
      <c r="B342" t="s">
        <v>746</v>
      </c>
      <c r="C342" t="s">
        <v>213</v>
      </c>
      <c r="D342" t="s">
        <v>212</v>
      </c>
      <c r="E342" s="2">
        <v>39941.42</v>
      </c>
      <c r="F342" s="2">
        <v>44712.78</v>
      </c>
      <c r="G342" s="2"/>
      <c r="H342" s="4">
        <f t="shared" si="10"/>
        <v>44712.78</v>
      </c>
      <c r="I342" s="6">
        <f t="shared" si="11"/>
        <v>0.89328867496049225</v>
      </c>
    </row>
    <row r="343" spans="1:9" ht="30" customHeight="1" x14ac:dyDescent="0.35">
      <c r="A343" t="s">
        <v>747</v>
      </c>
      <c r="B343" t="s">
        <v>748</v>
      </c>
      <c r="C343" t="s">
        <v>15</v>
      </c>
      <c r="D343" t="s">
        <v>14</v>
      </c>
      <c r="E343" s="2">
        <v>4685250.5999999996</v>
      </c>
      <c r="F343" s="2">
        <v>414711.9</v>
      </c>
      <c r="G343" s="2">
        <v>1000000</v>
      </c>
      <c r="H343" s="4">
        <f t="shared" si="10"/>
        <v>1414711.9</v>
      </c>
      <c r="I343" s="6">
        <f t="shared" si="11"/>
        <v>3.3118054637131418</v>
      </c>
    </row>
    <row r="344" spans="1:9" ht="30" customHeight="1" x14ac:dyDescent="0.35">
      <c r="A344" t="s">
        <v>749</v>
      </c>
      <c r="B344" t="s">
        <v>750</v>
      </c>
      <c r="C344" t="s">
        <v>51</v>
      </c>
      <c r="D344" t="s">
        <v>50</v>
      </c>
      <c r="E344" s="2">
        <v>183640.76</v>
      </c>
      <c r="F344" s="2"/>
      <c r="G344" s="2"/>
      <c r="H344" s="4" t="str">
        <f t="shared" si="10"/>
        <v/>
      </c>
      <c r="I344" s="6" t="str">
        <f t="shared" si="11"/>
        <v/>
      </c>
    </row>
    <row r="345" spans="1:9" ht="30" customHeight="1" x14ac:dyDescent="0.35">
      <c r="A345" t="s">
        <v>751</v>
      </c>
      <c r="B345" t="s">
        <v>752</v>
      </c>
      <c r="C345" t="s">
        <v>77</v>
      </c>
      <c r="D345" t="s">
        <v>76</v>
      </c>
      <c r="E345" s="2">
        <v>25747.64</v>
      </c>
      <c r="F345" s="2"/>
      <c r="G345" s="2"/>
      <c r="H345" s="4" t="str">
        <f t="shared" si="10"/>
        <v/>
      </c>
      <c r="I345" s="6" t="str">
        <f t="shared" si="11"/>
        <v/>
      </c>
    </row>
    <row r="346" spans="1:9" ht="30" customHeight="1" x14ac:dyDescent="0.35">
      <c r="A346" t="s">
        <v>753</v>
      </c>
      <c r="B346" t="s">
        <v>754</v>
      </c>
      <c r="C346" t="s">
        <v>465</v>
      </c>
      <c r="D346" t="s">
        <v>464</v>
      </c>
      <c r="E346" s="2">
        <v>1117110.44</v>
      </c>
      <c r="F346" s="2">
        <v>3835583.73</v>
      </c>
      <c r="G346" s="2"/>
      <c r="H346" s="4">
        <f t="shared" si="10"/>
        <v>3835583.73</v>
      </c>
      <c r="I346" s="6">
        <f t="shared" si="11"/>
        <v>0.29124913406596392</v>
      </c>
    </row>
    <row r="347" spans="1:9" ht="30" customHeight="1" x14ac:dyDescent="0.35">
      <c r="A347" t="s">
        <v>755</v>
      </c>
      <c r="B347" t="s">
        <v>756</v>
      </c>
      <c r="C347" t="s">
        <v>77</v>
      </c>
      <c r="D347" t="s">
        <v>76</v>
      </c>
      <c r="E347" s="2">
        <v>49760.37</v>
      </c>
      <c r="F347" s="2"/>
      <c r="G347" s="2"/>
      <c r="H347" s="4" t="str">
        <f t="shared" si="10"/>
        <v/>
      </c>
      <c r="I347" s="6" t="str">
        <f t="shared" si="11"/>
        <v/>
      </c>
    </row>
    <row r="348" spans="1:9" ht="30" customHeight="1" x14ac:dyDescent="0.35">
      <c r="A348" t="s">
        <v>757</v>
      </c>
      <c r="B348" t="s">
        <v>758</v>
      </c>
      <c r="C348" t="s">
        <v>41</v>
      </c>
      <c r="D348" t="s">
        <v>40</v>
      </c>
      <c r="E348" s="2">
        <v>152646.81</v>
      </c>
      <c r="F348" s="2"/>
      <c r="G348" s="2"/>
      <c r="H348" s="4" t="str">
        <f t="shared" si="10"/>
        <v/>
      </c>
      <c r="I348" s="6" t="str">
        <f t="shared" si="11"/>
        <v/>
      </c>
    </row>
    <row r="349" spans="1:9" ht="30" customHeight="1" x14ac:dyDescent="0.35">
      <c r="A349" t="s">
        <v>759</v>
      </c>
      <c r="B349" t="s">
        <v>760</v>
      </c>
      <c r="C349" t="s">
        <v>33</v>
      </c>
      <c r="D349" t="s">
        <v>32</v>
      </c>
      <c r="E349" s="2">
        <v>285.29000000000002</v>
      </c>
      <c r="F349" s="2"/>
      <c r="G349" s="2"/>
      <c r="H349" s="4" t="str">
        <f t="shared" si="10"/>
        <v/>
      </c>
      <c r="I349" s="6" t="str">
        <f t="shared" si="11"/>
        <v/>
      </c>
    </row>
    <row r="350" spans="1:9" ht="30" customHeight="1" x14ac:dyDescent="0.35">
      <c r="A350" t="s">
        <v>761</v>
      </c>
      <c r="B350" t="s">
        <v>762</v>
      </c>
      <c r="C350" t="s">
        <v>19</v>
      </c>
      <c r="D350" t="s">
        <v>18</v>
      </c>
      <c r="E350" s="2">
        <v>4882.24</v>
      </c>
      <c r="F350" s="2">
        <v>0</v>
      </c>
      <c r="G350" s="2">
        <v>3000</v>
      </c>
      <c r="H350" s="4">
        <f t="shared" si="10"/>
        <v>3000</v>
      </c>
      <c r="I350" s="6">
        <f t="shared" si="11"/>
        <v>1.6274133333333332</v>
      </c>
    </row>
    <row r="351" spans="1:9" ht="30" customHeight="1" x14ac:dyDescent="0.35">
      <c r="A351" t="s">
        <v>763</v>
      </c>
      <c r="B351" t="s">
        <v>764</v>
      </c>
      <c r="C351" t="s">
        <v>51</v>
      </c>
      <c r="D351" t="s">
        <v>50</v>
      </c>
      <c r="E351" s="2">
        <v>1226603.33</v>
      </c>
      <c r="F351" s="2"/>
      <c r="G351" s="2"/>
      <c r="H351" s="4" t="str">
        <f t="shared" si="10"/>
        <v/>
      </c>
      <c r="I351" s="6" t="str">
        <f t="shared" si="11"/>
        <v/>
      </c>
    </row>
    <row r="352" spans="1:9" ht="30" customHeight="1" x14ac:dyDescent="0.35">
      <c r="A352" t="s">
        <v>765</v>
      </c>
      <c r="B352" t="s">
        <v>766</v>
      </c>
      <c r="C352" t="s">
        <v>67</v>
      </c>
      <c r="D352" t="s">
        <v>66</v>
      </c>
      <c r="E352" s="2">
        <v>1597.43</v>
      </c>
      <c r="F352" s="2"/>
      <c r="G352" s="2"/>
      <c r="H352" s="4" t="str">
        <f t="shared" si="10"/>
        <v/>
      </c>
      <c r="I352" s="6" t="str">
        <f t="shared" si="11"/>
        <v/>
      </c>
    </row>
    <row r="353" spans="1:9" ht="30" customHeight="1" x14ac:dyDescent="0.35">
      <c r="A353" t="s">
        <v>767</v>
      </c>
      <c r="B353" t="s">
        <v>768</v>
      </c>
      <c r="C353" t="s">
        <v>51</v>
      </c>
      <c r="D353" t="s">
        <v>50</v>
      </c>
      <c r="E353" s="2">
        <v>628977.02</v>
      </c>
      <c r="F353" s="2">
        <v>0</v>
      </c>
      <c r="G353" s="2">
        <v>1000</v>
      </c>
      <c r="H353" s="4">
        <f t="shared" si="10"/>
        <v>1000</v>
      </c>
      <c r="I353" s="6">
        <f t="shared" si="11"/>
        <v>628.97702000000004</v>
      </c>
    </row>
    <row r="354" spans="1:9" ht="30" customHeight="1" x14ac:dyDescent="0.35">
      <c r="A354" t="s">
        <v>769</v>
      </c>
      <c r="B354" t="s">
        <v>770</v>
      </c>
      <c r="C354" t="s">
        <v>33</v>
      </c>
      <c r="D354" t="s">
        <v>32</v>
      </c>
      <c r="E354" s="2">
        <v>3594291.7</v>
      </c>
      <c r="F354" s="2"/>
      <c r="G354" s="2"/>
      <c r="H354" s="4" t="str">
        <f t="shared" si="10"/>
        <v/>
      </c>
      <c r="I354" s="6" t="str">
        <f t="shared" si="11"/>
        <v/>
      </c>
    </row>
    <row r="355" spans="1:9" ht="30" customHeight="1" x14ac:dyDescent="0.35">
      <c r="A355" t="s">
        <v>771</v>
      </c>
      <c r="B355" t="s">
        <v>772</v>
      </c>
      <c r="C355" t="s">
        <v>19</v>
      </c>
      <c r="D355" t="s">
        <v>18</v>
      </c>
      <c r="E355" s="2">
        <v>41528.74</v>
      </c>
      <c r="F355" s="2"/>
      <c r="G355" s="2"/>
      <c r="H355" s="4" t="str">
        <f t="shared" si="10"/>
        <v/>
      </c>
      <c r="I355" s="6" t="str">
        <f t="shared" si="11"/>
        <v/>
      </c>
    </row>
    <row r="356" spans="1:9" ht="30" customHeight="1" x14ac:dyDescent="0.35">
      <c r="A356" t="s">
        <v>773</v>
      </c>
      <c r="B356" t="s">
        <v>774</v>
      </c>
      <c r="C356" t="s">
        <v>213</v>
      </c>
      <c r="D356" t="s">
        <v>212</v>
      </c>
      <c r="E356" s="2"/>
      <c r="F356" s="2">
        <v>203418.9</v>
      </c>
      <c r="G356" s="2"/>
      <c r="H356" s="4">
        <f t="shared" si="10"/>
        <v>203418.9</v>
      </c>
      <c r="I356" s="6">
        <f t="shared" si="11"/>
        <v>0</v>
      </c>
    </row>
    <row r="357" spans="1:9" ht="30" customHeight="1" x14ac:dyDescent="0.35">
      <c r="A357" t="s">
        <v>775</v>
      </c>
      <c r="B357" t="s">
        <v>776</v>
      </c>
      <c r="C357" t="s">
        <v>457</v>
      </c>
      <c r="D357" t="s">
        <v>456</v>
      </c>
      <c r="E357" s="2">
        <v>16845.740000000002</v>
      </c>
      <c r="F357" s="2">
        <v>419293.73</v>
      </c>
      <c r="G357" s="2"/>
      <c r="H357" s="4">
        <f t="shared" si="10"/>
        <v>419293.73</v>
      </c>
      <c r="I357" s="6">
        <f t="shared" si="11"/>
        <v>4.0176465314661403E-2</v>
      </c>
    </row>
    <row r="358" spans="1:9" ht="30" customHeight="1" x14ac:dyDescent="0.35">
      <c r="A358" t="s">
        <v>777</v>
      </c>
      <c r="B358" t="s">
        <v>778</v>
      </c>
      <c r="C358" t="s">
        <v>213</v>
      </c>
      <c r="D358" t="s">
        <v>212</v>
      </c>
      <c r="E358" s="2">
        <v>72344.479999999996</v>
      </c>
      <c r="F358" s="2">
        <v>1637574.31</v>
      </c>
      <c r="G358" s="2"/>
      <c r="H358" s="4">
        <f t="shared" si="10"/>
        <v>1637574.31</v>
      </c>
      <c r="I358" s="6">
        <f t="shared" si="11"/>
        <v>4.4177830317819286E-2</v>
      </c>
    </row>
    <row r="359" spans="1:9" ht="30" customHeight="1" x14ac:dyDescent="0.35">
      <c r="A359" t="s">
        <v>779</v>
      </c>
      <c r="B359" t="s">
        <v>780</v>
      </c>
      <c r="C359" t="s">
        <v>19</v>
      </c>
      <c r="D359" t="s">
        <v>18</v>
      </c>
      <c r="E359" s="2">
        <v>54407.47</v>
      </c>
      <c r="F359" s="2"/>
      <c r="G359" s="2"/>
      <c r="H359" s="4" t="str">
        <f t="shared" si="10"/>
        <v/>
      </c>
      <c r="I359" s="6" t="str">
        <f t="shared" si="11"/>
        <v/>
      </c>
    </row>
    <row r="360" spans="1:9" ht="30" customHeight="1" x14ac:dyDescent="0.35">
      <c r="A360" t="s">
        <v>781</v>
      </c>
      <c r="B360" t="s">
        <v>782</v>
      </c>
      <c r="C360" t="s">
        <v>19</v>
      </c>
      <c r="D360" t="s">
        <v>18</v>
      </c>
      <c r="E360" s="2">
        <v>14071720.16</v>
      </c>
      <c r="F360" s="2"/>
      <c r="G360" s="2"/>
      <c r="H360" s="4" t="str">
        <f t="shared" si="10"/>
        <v/>
      </c>
      <c r="I360" s="6" t="str">
        <f t="shared" si="11"/>
        <v/>
      </c>
    </row>
    <row r="361" spans="1:9" ht="30" customHeight="1" x14ac:dyDescent="0.35">
      <c r="A361" t="s">
        <v>783</v>
      </c>
      <c r="B361" t="s">
        <v>784</v>
      </c>
      <c r="C361" t="s">
        <v>51</v>
      </c>
      <c r="D361" t="s">
        <v>50</v>
      </c>
      <c r="E361" s="2">
        <v>666237.9</v>
      </c>
      <c r="F361" s="2"/>
      <c r="G361" s="2"/>
      <c r="H361" s="4" t="str">
        <f t="shared" si="10"/>
        <v/>
      </c>
      <c r="I361" s="6" t="str">
        <f t="shared" si="11"/>
        <v/>
      </c>
    </row>
    <row r="362" spans="1:9" ht="30" customHeight="1" x14ac:dyDescent="0.35">
      <c r="A362" t="s">
        <v>785</v>
      </c>
      <c r="B362" t="s">
        <v>786</v>
      </c>
      <c r="C362" t="s">
        <v>19</v>
      </c>
      <c r="D362" t="s">
        <v>18</v>
      </c>
      <c r="E362" s="2">
        <v>48383.13</v>
      </c>
      <c r="F362" s="2">
        <v>0</v>
      </c>
      <c r="G362" s="2">
        <v>1000</v>
      </c>
      <c r="H362" s="4">
        <f t="shared" si="10"/>
        <v>1000</v>
      </c>
      <c r="I362" s="6">
        <f t="shared" si="11"/>
        <v>48.383129999999994</v>
      </c>
    </row>
    <row r="363" spans="1:9" ht="30" customHeight="1" x14ac:dyDescent="0.35">
      <c r="A363" t="s">
        <v>787</v>
      </c>
      <c r="B363" t="s">
        <v>788</v>
      </c>
      <c r="C363" t="s">
        <v>109</v>
      </c>
      <c r="D363" t="s">
        <v>108</v>
      </c>
      <c r="E363" s="2">
        <v>1713.23</v>
      </c>
      <c r="F363" s="2"/>
      <c r="G363" s="2"/>
      <c r="H363" s="4" t="str">
        <f t="shared" si="10"/>
        <v/>
      </c>
      <c r="I363" s="6" t="str">
        <f t="shared" si="11"/>
        <v/>
      </c>
    </row>
    <row r="364" spans="1:9" ht="30" customHeight="1" x14ac:dyDescent="0.35">
      <c r="A364" t="s">
        <v>789</v>
      </c>
      <c r="B364" t="s">
        <v>790</v>
      </c>
      <c r="C364" t="s">
        <v>253</v>
      </c>
      <c r="D364" t="s">
        <v>252</v>
      </c>
      <c r="E364" s="2">
        <v>310932.81</v>
      </c>
      <c r="F364" s="2">
        <v>1954838.47</v>
      </c>
      <c r="G364" s="2"/>
      <c r="H364" s="4">
        <f t="shared" si="10"/>
        <v>1954838.47</v>
      </c>
      <c r="I364" s="6">
        <f t="shared" si="11"/>
        <v>0.15905805762048461</v>
      </c>
    </row>
    <row r="365" spans="1:9" ht="30" customHeight="1" x14ac:dyDescent="0.35">
      <c r="A365" t="s">
        <v>791</v>
      </c>
      <c r="B365" t="s">
        <v>792</v>
      </c>
      <c r="C365" t="s">
        <v>19</v>
      </c>
      <c r="D365" t="s">
        <v>18</v>
      </c>
      <c r="E365" s="2">
        <v>954451.23</v>
      </c>
      <c r="F365" s="2">
        <v>0</v>
      </c>
      <c r="G365" s="2">
        <v>500</v>
      </c>
      <c r="H365" s="4">
        <f t="shared" si="10"/>
        <v>500</v>
      </c>
      <c r="I365" s="6">
        <f t="shared" si="11"/>
        <v>1908.90246</v>
      </c>
    </row>
    <row r="366" spans="1:9" ht="30" customHeight="1" x14ac:dyDescent="0.35">
      <c r="A366" t="s">
        <v>793</v>
      </c>
      <c r="B366" t="s">
        <v>794</v>
      </c>
      <c r="C366" t="s">
        <v>57</v>
      </c>
      <c r="D366" t="s">
        <v>56</v>
      </c>
      <c r="E366" s="2">
        <v>6258356.8700000001</v>
      </c>
      <c r="F366" s="2"/>
      <c r="G366" s="2"/>
      <c r="H366" s="4" t="str">
        <f t="shared" si="10"/>
        <v/>
      </c>
      <c r="I366" s="6" t="str">
        <f t="shared" si="11"/>
        <v/>
      </c>
    </row>
    <row r="367" spans="1:9" ht="30" customHeight="1" x14ac:dyDescent="0.35">
      <c r="A367" t="s">
        <v>795</v>
      </c>
      <c r="B367" t="s">
        <v>796</v>
      </c>
      <c r="C367" t="s">
        <v>19</v>
      </c>
      <c r="D367" t="s">
        <v>18</v>
      </c>
      <c r="E367" s="2">
        <v>414053.17</v>
      </c>
      <c r="F367" s="2"/>
      <c r="G367" s="2"/>
      <c r="H367" s="4" t="str">
        <f t="shared" si="10"/>
        <v/>
      </c>
      <c r="I367" s="6" t="str">
        <f t="shared" si="11"/>
        <v/>
      </c>
    </row>
    <row r="368" spans="1:9" ht="30" customHeight="1" x14ac:dyDescent="0.35">
      <c r="A368" t="s">
        <v>797</v>
      </c>
      <c r="B368" t="s">
        <v>798</v>
      </c>
      <c r="C368" t="s">
        <v>15</v>
      </c>
      <c r="D368" t="s">
        <v>14</v>
      </c>
      <c r="E368" s="2">
        <v>852645.25</v>
      </c>
      <c r="F368" s="2">
        <v>1942499.94</v>
      </c>
      <c r="G368" s="2">
        <v>1000500</v>
      </c>
      <c r="H368" s="4">
        <f t="shared" si="10"/>
        <v>2942999.94</v>
      </c>
      <c r="I368" s="6">
        <f t="shared" si="11"/>
        <v>0.28971976465619637</v>
      </c>
    </row>
    <row r="369" spans="1:9" ht="30" customHeight="1" x14ac:dyDescent="0.35">
      <c r="A369" t="s">
        <v>799</v>
      </c>
      <c r="B369" t="s">
        <v>800</v>
      </c>
      <c r="C369" t="s">
        <v>19</v>
      </c>
      <c r="D369" t="s">
        <v>18</v>
      </c>
      <c r="E369" s="2">
        <v>1036269.9</v>
      </c>
      <c r="F369" s="2"/>
      <c r="G369" s="2"/>
      <c r="H369" s="4" t="str">
        <f t="shared" si="10"/>
        <v/>
      </c>
      <c r="I369" s="6" t="str">
        <f t="shared" si="11"/>
        <v/>
      </c>
    </row>
    <row r="370" spans="1:9" ht="30" customHeight="1" x14ac:dyDescent="0.35">
      <c r="A370" t="s">
        <v>801</v>
      </c>
      <c r="B370" t="s">
        <v>802</v>
      </c>
      <c r="C370" t="s">
        <v>259</v>
      </c>
      <c r="D370" t="s">
        <v>258</v>
      </c>
      <c r="E370" s="2">
        <v>938386.5</v>
      </c>
      <c r="F370" s="2"/>
      <c r="G370" s="2"/>
      <c r="H370" s="4" t="str">
        <f t="shared" si="10"/>
        <v/>
      </c>
      <c r="I370" s="6" t="str">
        <f t="shared" si="11"/>
        <v/>
      </c>
    </row>
    <row r="371" spans="1:9" ht="30" customHeight="1" x14ac:dyDescent="0.35">
      <c r="A371" t="s">
        <v>803</v>
      </c>
      <c r="B371" t="s">
        <v>804</v>
      </c>
      <c r="C371" t="s">
        <v>57</v>
      </c>
      <c r="D371" t="s">
        <v>56</v>
      </c>
      <c r="E371" s="2">
        <v>62186.8</v>
      </c>
      <c r="F371" s="2"/>
      <c r="G371" s="2"/>
      <c r="H371" s="4" t="str">
        <f t="shared" si="10"/>
        <v/>
      </c>
      <c r="I371" s="6" t="str">
        <f t="shared" si="11"/>
        <v/>
      </c>
    </row>
    <row r="372" spans="1:9" ht="30" customHeight="1" x14ac:dyDescent="0.35">
      <c r="A372" t="s">
        <v>805</v>
      </c>
      <c r="B372" t="s">
        <v>806</v>
      </c>
      <c r="C372" t="s">
        <v>51</v>
      </c>
      <c r="D372" t="s">
        <v>50</v>
      </c>
      <c r="E372" s="2">
        <v>226239.5</v>
      </c>
      <c r="F372" s="2"/>
      <c r="G372" s="2"/>
      <c r="H372" s="4" t="str">
        <f t="shared" si="10"/>
        <v/>
      </c>
      <c r="I372" s="6" t="str">
        <f t="shared" si="11"/>
        <v/>
      </c>
    </row>
    <row r="373" spans="1:9" ht="30" customHeight="1" x14ac:dyDescent="0.35">
      <c r="A373" t="s">
        <v>807</v>
      </c>
      <c r="B373" t="s">
        <v>808</v>
      </c>
      <c r="C373" t="s">
        <v>77</v>
      </c>
      <c r="D373" t="s">
        <v>76</v>
      </c>
      <c r="E373" s="2">
        <v>6099164.6500000004</v>
      </c>
      <c r="F373" s="2"/>
      <c r="G373" s="2"/>
      <c r="H373" s="4" t="str">
        <f t="shared" si="10"/>
        <v/>
      </c>
      <c r="I373" s="6" t="str">
        <f t="shared" si="11"/>
        <v/>
      </c>
    </row>
    <row r="374" spans="1:9" ht="30" customHeight="1" x14ac:dyDescent="0.35">
      <c r="A374" t="s">
        <v>809</v>
      </c>
      <c r="B374" t="s">
        <v>810</v>
      </c>
      <c r="C374" t="s">
        <v>77</v>
      </c>
      <c r="D374" t="s">
        <v>76</v>
      </c>
      <c r="E374" s="2">
        <v>122073.02</v>
      </c>
      <c r="F374" s="2"/>
      <c r="G374" s="2"/>
      <c r="H374" s="4" t="str">
        <f t="shared" si="10"/>
        <v/>
      </c>
      <c r="I374" s="6" t="str">
        <f t="shared" si="11"/>
        <v/>
      </c>
    </row>
    <row r="375" spans="1:9" ht="30" customHeight="1" x14ac:dyDescent="0.35">
      <c r="A375" t="s">
        <v>811</v>
      </c>
      <c r="B375" t="s">
        <v>812</v>
      </c>
      <c r="C375" t="s">
        <v>19</v>
      </c>
      <c r="D375" t="s">
        <v>18</v>
      </c>
      <c r="E375" s="2">
        <v>3266.79</v>
      </c>
      <c r="F375" s="2"/>
      <c r="G375" s="2"/>
      <c r="H375" s="4" t="str">
        <f t="shared" si="10"/>
        <v/>
      </c>
      <c r="I375" s="6" t="str">
        <f t="shared" si="11"/>
        <v/>
      </c>
    </row>
    <row r="376" spans="1:9" ht="30" customHeight="1" x14ac:dyDescent="0.35">
      <c r="A376" t="s">
        <v>813</v>
      </c>
      <c r="B376" t="s">
        <v>814</v>
      </c>
      <c r="C376" t="s">
        <v>73</v>
      </c>
      <c r="D376" t="s">
        <v>72</v>
      </c>
      <c r="E376" s="2">
        <v>2897.7</v>
      </c>
      <c r="F376" s="2">
        <v>338962.9</v>
      </c>
      <c r="G376" s="2">
        <v>6037.1</v>
      </c>
      <c r="H376" s="4">
        <f t="shared" si="10"/>
        <v>345000</v>
      </c>
      <c r="I376" s="6">
        <f t="shared" si="11"/>
        <v>8.3991304347826087E-3</v>
      </c>
    </row>
    <row r="377" spans="1:9" ht="30" customHeight="1" x14ac:dyDescent="0.35">
      <c r="A377" t="s">
        <v>815</v>
      </c>
      <c r="B377" t="s">
        <v>816</v>
      </c>
      <c r="C377" t="s">
        <v>67</v>
      </c>
      <c r="D377" t="s">
        <v>66</v>
      </c>
      <c r="E377" s="2">
        <v>302052.46000000002</v>
      </c>
      <c r="F377" s="2"/>
      <c r="G377" s="2"/>
      <c r="H377" s="4" t="str">
        <f t="shared" si="10"/>
        <v/>
      </c>
      <c r="I377" s="6" t="str">
        <f t="shared" si="11"/>
        <v/>
      </c>
    </row>
    <row r="378" spans="1:9" ht="30" customHeight="1" x14ac:dyDescent="0.35">
      <c r="A378" t="s">
        <v>817</v>
      </c>
      <c r="B378" t="s">
        <v>818</v>
      </c>
      <c r="C378" t="s">
        <v>19</v>
      </c>
      <c r="D378" t="s">
        <v>18</v>
      </c>
      <c r="E378" s="2">
        <v>22362.959999999999</v>
      </c>
      <c r="F378" s="2"/>
      <c r="G378" s="2"/>
      <c r="H378" s="4" t="str">
        <f t="shared" si="10"/>
        <v/>
      </c>
      <c r="I378" s="6" t="str">
        <f t="shared" si="11"/>
        <v/>
      </c>
    </row>
    <row r="379" spans="1:9" ht="30" customHeight="1" x14ac:dyDescent="0.35">
      <c r="A379" t="s">
        <v>819</v>
      </c>
      <c r="B379" t="s">
        <v>820</v>
      </c>
      <c r="C379" t="s">
        <v>19</v>
      </c>
      <c r="D379" t="s">
        <v>18</v>
      </c>
      <c r="E379" s="2">
        <v>293846.62</v>
      </c>
      <c r="F379" s="2"/>
      <c r="G379" s="2"/>
      <c r="H379" s="4" t="str">
        <f t="shared" ref="H379:H442" si="12">IF(ISBLANK(F379),"",(F379+G379))</f>
        <v/>
      </c>
      <c r="I379" s="6" t="str">
        <f t="shared" ref="I379:I442" si="13">IF(ISBLANK(F379), "", E379/H379)</f>
        <v/>
      </c>
    </row>
    <row r="380" spans="1:9" ht="30" customHeight="1" x14ac:dyDescent="0.35">
      <c r="A380" t="s">
        <v>821</v>
      </c>
      <c r="B380" t="s">
        <v>822</v>
      </c>
      <c r="C380" t="s">
        <v>19</v>
      </c>
      <c r="D380" t="s">
        <v>18</v>
      </c>
      <c r="E380" s="2">
        <v>203822.07</v>
      </c>
      <c r="F380" s="2"/>
      <c r="G380" s="2"/>
      <c r="H380" s="4" t="str">
        <f t="shared" si="12"/>
        <v/>
      </c>
      <c r="I380" s="6" t="str">
        <f t="shared" si="13"/>
        <v/>
      </c>
    </row>
    <row r="381" spans="1:9" ht="30" customHeight="1" x14ac:dyDescent="0.35">
      <c r="A381" t="s">
        <v>823</v>
      </c>
      <c r="B381" t="s">
        <v>824</v>
      </c>
      <c r="C381" t="s">
        <v>11</v>
      </c>
      <c r="D381" t="s">
        <v>10</v>
      </c>
      <c r="E381" s="2">
        <v>166743284.75999999</v>
      </c>
      <c r="F381" s="2">
        <v>0</v>
      </c>
      <c r="G381" s="2">
        <v>2250000</v>
      </c>
      <c r="H381" s="4">
        <f t="shared" si="12"/>
        <v>2250000</v>
      </c>
      <c r="I381" s="6">
        <f t="shared" si="13"/>
        <v>74.108126560000002</v>
      </c>
    </row>
    <row r="382" spans="1:9" ht="30" customHeight="1" x14ac:dyDescent="0.35">
      <c r="A382" t="s">
        <v>825</v>
      </c>
      <c r="B382" t="s">
        <v>826</v>
      </c>
      <c r="C382" t="s">
        <v>57</v>
      </c>
      <c r="D382" t="s">
        <v>56</v>
      </c>
      <c r="E382" s="2">
        <v>207708.41</v>
      </c>
      <c r="F382" s="2"/>
      <c r="G382" s="2"/>
      <c r="H382" s="4" t="str">
        <f t="shared" si="12"/>
        <v/>
      </c>
      <c r="I382" s="6" t="str">
        <f t="shared" si="13"/>
        <v/>
      </c>
    </row>
    <row r="383" spans="1:9" ht="30" customHeight="1" x14ac:dyDescent="0.35">
      <c r="A383" t="s">
        <v>827</v>
      </c>
      <c r="B383" t="s">
        <v>828</v>
      </c>
      <c r="C383" t="s">
        <v>109</v>
      </c>
      <c r="D383" t="s">
        <v>108</v>
      </c>
      <c r="E383" s="2">
        <v>86288.94</v>
      </c>
      <c r="F383" s="2"/>
      <c r="G383" s="2"/>
      <c r="H383" s="4" t="str">
        <f t="shared" si="12"/>
        <v/>
      </c>
      <c r="I383" s="6" t="str">
        <f t="shared" si="13"/>
        <v/>
      </c>
    </row>
    <row r="384" spans="1:9" ht="30" customHeight="1" x14ac:dyDescent="0.35">
      <c r="A384" t="s">
        <v>829</v>
      </c>
      <c r="B384" t="s">
        <v>830</v>
      </c>
      <c r="C384" t="s">
        <v>77</v>
      </c>
      <c r="D384" t="s">
        <v>76</v>
      </c>
      <c r="E384" s="2">
        <v>341210.32</v>
      </c>
      <c r="F384" s="2"/>
      <c r="G384" s="2"/>
      <c r="H384" s="4" t="str">
        <f t="shared" si="12"/>
        <v/>
      </c>
      <c r="I384" s="6" t="str">
        <f t="shared" si="13"/>
        <v/>
      </c>
    </row>
    <row r="385" spans="1:9" ht="30" customHeight="1" x14ac:dyDescent="0.35">
      <c r="A385" t="s">
        <v>831</v>
      </c>
      <c r="B385" t="s">
        <v>832</v>
      </c>
      <c r="C385" t="s">
        <v>19</v>
      </c>
      <c r="D385" t="s">
        <v>18</v>
      </c>
      <c r="E385" s="2">
        <v>144776.10999999999</v>
      </c>
      <c r="F385" s="2"/>
      <c r="G385" s="2"/>
      <c r="H385" s="4" t="str">
        <f t="shared" si="12"/>
        <v/>
      </c>
      <c r="I385" s="6" t="str">
        <f t="shared" si="13"/>
        <v/>
      </c>
    </row>
    <row r="386" spans="1:9" ht="30" customHeight="1" x14ac:dyDescent="0.35">
      <c r="A386" t="s">
        <v>833</v>
      </c>
      <c r="B386" t="s">
        <v>834</v>
      </c>
      <c r="C386" t="s">
        <v>57</v>
      </c>
      <c r="D386" t="s">
        <v>56</v>
      </c>
      <c r="E386" s="2">
        <v>56281.56</v>
      </c>
      <c r="F386" s="2"/>
      <c r="G386" s="2"/>
      <c r="H386" s="4" t="str">
        <f t="shared" si="12"/>
        <v/>
      </c>
      <c r="I386" s="6" t="str">
        <f t="shared" si="13"/>
        <v/>
      </c>
    </row>
    <row r="387" spans="1:9" ht="30" customHeight="1" x14ac:dyDescent="0.35">
      <c r="A387" t="s">
        <v>835</v>
      </c>
      <c r="B387" t="s">
        <v>836</v>
      </c>
      <c r="C387" t="s">
        <v>19</v>
      </c>
      <c r="D387" t="s">
        <v>18</v>
      </c>
      <c r="E387" s="2">
        <v>215691.53</v>
      </c>
      <c r="F387" s="2"/>
      <c r="G387" s="2"/>
      <c r="H387" s="4" t="str">
        <f t="shared" si="12"/>
        <v/>
      </c>
      <c r="I387" s="6" t="str">
        <f t="shared" si="13"/>
        <v/>
      </c>
    </row>
    <row r="388" spans="1:9" ht="30" customHeight="1" x14ac:dyDescent="0.35">
      <c r="A388" t="s">
        <v>837</v>
      </c>
      <c r="B388" t="s">
        <v>838</v>
      </c>
      <c r="C388" t="s">
        <v>11</v>
      </c>
      <c r="D388" t="s">
        <v>10</v>
      </c>
      <c r="E388" s="2">
        <v>10151681.02</v>
      </c>
      <c r="F388" s="2"/>
      <c r="G388" s="2"/>
      <c r="H388" s="4" t="str">
        <f t="shared" si="12"/>
        <v/>
      </c>
      <c r="I388" s="6" t="str">
        <f t="shared" si="13"/>
        <v/>
      </c>
    </row>
    <row r="389" spans="1:9" ht="30" customHeight="1" x14ac:dyDescent="0.35">
      <c r="A389" t="s">
        <v>839</v>
      </c>
      <c r="B389" t="s">
        <v>840</v>
      </c>
      <c r="C389" t="s">
        <v>51</v>
      </c>
      <c r="D389" t="s">
        <v>50</v>
      </c>
      <c r="E389" s="2">
        <v>819461.43</v>
      </c>
      <c r="F389" s="2"/>
      <c r="G389" s="2"/>
      <c r="H389" s="4" t="str">
        <f t="shared" si="12"/>
        <v/>
      </c>
      <c r="I389" s="6" t="str">
        <f t="shared" si="13"/>
        <v/>
      </c>
    </row>
    <row r="390" spans="1:9" ht="30" customHeight="1" x14ac:dyDescent="0.35">
      <c r="A390" t="s">
        <v>841</v>
      </c>
      <c r="B390" t="s">
        <v>842</v>
      </c>
      <c r="C390" t="s">
        <v>253</v>
      </c>
      <c r="D390" t="s">
        <v>252</v>
      </c>
      <c r="E390" s="2">
        <v>183991.66</v>
      </c>
      <c r="F390" s="2">
        <v>3809543.62</v>
      </c>
      <c r="G390" s="2"/>
      <c r="H390" s="4">
        <f t="shared" si="12"/>
        <v>3809543.62</v>
      </c>
      <c r="I390" s="6">
        <f t="shared" si="13"/>
        <v>4.8297559590615741E-2</v>
      </c>
    </row>
    <row r="391" spans="1:9" ht="30" customHeight="1" x14ac:dyDescent="0.35">
      <c r="A391" t="s">
        <v>843</v>
      </c>
      <c r="B391" t="s">
        <v>844</v>
      </c>
      <c r="C391" t="s">
        <v>67</v>
      </c>
      <c r="D391" t="s">
        <v>66</v>
      </c>
      <c r="E391" s="2">
        <v>716301.83</v>
      </c>
      <c r="F391" s="2"/>
      <c r="G391" s="2"/>
      <c r="H391" s="4" t="str">
        <f t="shared" si="12"/>
        <v/>
      </c>
      <c r="I391" s="6" t="str">
        <f t="shared" si="13"/>
        <v/>
      </c>
    </row>
    <row r="392" spans="1:9" ht="30" customHeight="1" x14ac:dyDescent="0.35">
      <c r="A392" t="s">
        <v>845</v>
      </c>
      <c r="B392" t="s">
        <v>846</v>
      </c>
      <c r="C392" t="s">
        <v>109</v>
      </c>
      <c r="D392" t="s">
        <v>108</v>
      </c>
      <c r="E392" s="2">
        <v>3013071.2</v>
      </c>
      <c r="F392" s="2"/>
      <c r="G392" s="2"/>
      <c r="H392" s="4" t="str">
        <f t="shared" si="12"/>
        <v/>
      </c>
      <c r="I392" s="6" t="str">
        <f t="shared" si="13"/>
        <v/>
      </c>
    </row>
    <row r="393" spans="1:9" ht="30" customHeight="1" x14ac:dyDescent="0.35">
      <c r="A393" t="s">
        <v>18</v>
      </c>
      <c r="B393" t="s">
        <v>847</v>
      </c>
      <c r="C393" t="s">
        <v>41</v>
      </c>
      <c r="D393" t="s">
        <v>40</v>
      </c>
      <c r="E393" s="2">
        <v>32032.3</v>
      </c>
      <c r="F393" s="2"/>
      <c r="G393" s="2"/>
      <c r="H393" s="4" t="str">
        <f t="shared" si="12"/>
        <v/>
      </c>
      <c r="I393" s="6" t="str">
        <f t="shared" si="13"/>
        <v/>
      </c>
    </row>
    <row r="394" spans="1:9" ht="30" customHeight="1" x14ac:dyDescent="0.35">
      <c r="A394" t="s">
        <v>848</v>
      </c>
      <c r="B394" t="s">
        <v>849</v>
      </c>
      <c r="C394" t="s">
        <v>77</v>
      </c>
      <c r="D394" t="s">
        <v>76</v>
      </c>
      <c r="E394" s="2">
        <v>40937.86</v>
      </c>
      <c r="F394" s="2"/>
      <c r="G394" s="2"/>
      <c r="H394" s="4" t="str">
        <f t="shared" si="12"/>
        <v/>
      </c>
      <c r="I394" s="6" t="str">
        <f t="shared" si="13"/>
        <v/>
      </c>
    </row>
    <row r="395" spans="1:9" ht="30" customHeight="1" x14ac:dyDescent="0.35">
      <c r="A395" t="s">
        <v>850</v>
      </c>
      <c r="B395" t="s">
        <v>851</v>
      </c>
      <c r="C395" t="s">
        <v>213</v>
      </c>
      <c r="D395" t="s">
        <v>212</v>
      </c>
      <c r="E395" s="2">
        <v>450.53</v>
      </c>
      <c r="F395" s="2">
        <v>115178.73</v>
      </c>
      <c r="G395" s="2"/>
      <c r="H395" s="4">
        <f t="shared" si="12"/>
        <v>115178.73</v>
      </c>
      <c r="I395" s="6">
        <f t="shared" si="13"/>
        <v>3.9115729093383818E-3</v>
      </c>
    </row>
    <row r="396" spans="1:9" ht="30" customHeight="1" x14ac:dyDescent="0.35">
      <c r="A396" t="s">
        <v>852</v>
      </c>
      <c r="B396" t="s">
        <v>853</v>
      </c>
      <c r="C396" t="s">
        <v>19</v>
      </c>
      <c r="D396" t="s">
        <v>18</v>
      </c>
      <c r="E396" s="2">
        <v>388174.11</v>
      </c>
      <c r="F396" s="2">
        <v>41963.03</v>
      </c>
      <c r="G396" s="2">
        <v>10536.97</v>
      </c>
      <c r="H396" s="4">
        <f t="shared" si="12"/>
        <v>52500</v>
      </c>
      <c r="I396" s="6">
        <f t="shared" si="13"/>
        <v>7.3937925714285715</v>
      </c>
    </row>
    <row r="397" spans="1:9" ht="30" customHeight="1" x14ac:dyDescent="0.35">
      <c r="A397" t="s">
        <v>854</v>
      </c>
      <c r="B397" t="s">
        <v>855</v>
      </c>
      <c r="C397" t="s">
        <v>19</v>
      </c>
      <c r="D397" t="s">
        <v>18</v>
      </c>
      <c r="E397" s="2">
        <v>127746.16</v>
      </c>
      <c r="F397" s="2"/>
      <c r="G397" s="2"/>
      <c r="H397" s="4" t="str">
        <f t="shared" si="12"/>
        <v/>
      </c>
      <c r="I397" s="6" t="str">
        <f t="shared" si="13"/>
        <v/>
      </c>
    </row>
    <row r="398" spans="1:9" ht="30" customHeight="1" x14ac:dyDescent="0.35">
      <c r="A398" t="s">
        <v>856</v>
      </c>
      <c r="B398" t="s">
        <v>857</v>
      </c>
      <c r="C398" t="s">
        <v>67</v>
      </c>
      <c r="D398" t="s">
        <v>66</v>
      </c>
      <c r="E398" s="2">
        <v>408.29</v>
      </c>
      <c r="F398" s="2">
        <v>55480.62</v>
      </c>
      <c r="G398" s="2"/>
      <c r="H398" s="4">
        <f t="shared" si="12"/>
        <v>55480.62</v>
      </c>
      <c r="I398" s="6">
        <f t="shared" si="13"/>
        <v>7.3591463109100082E-3</v>
      </c>
    </row>
    <row r="399" spans="1:9" ht="30" customHeight="1" x14ac:dyDescent="0.35">
      <c r="A399" t="s">
        <v>858</v>
      </c>
      <c r="B399" t="s">
        <v>859</v>
      </c>
      <c r="C399" t="s">
        <v>19</v>
      </c>
      <c r="D399" t="s">
        <v>18</v>
      </c>
      <c r="E399" s="2">
        <v>718792.97</v>
      </c>
      <c r="F399" s="2"/>
      <c r="G399" s="2"/>
      <c r="H399" s="4" t="str">
        <f t="shared" si="12"/>
        <v/>
      </c>
      <c r="I399" s="6" t="str">
        <f t="shared" si="13"/>
        <v/>
      </c>
    </row>
    <row r="400" spans="1:9" ht="30" customHeight="1" x14ac:dyDescent="0.35">
      <c r="A400" t="s">
        <v>860</v>
      </c>
      <c r="B400" t="s">
        <v>861</v>
      </c>
      <c r="C400" t="s">
        <v>213</v>
      </c>
      <c r="D400" t="s">
        <v>212</v>
      </c>
      <c r="E400" s="2">
        <v>12890.33</v>
      </c>
      <c r="F400" s="2">
        <v>343008.6</v>
      </c>
      <c r="G400" s="2"/>
      <c r="H400" s="4">
        <f t="shared" si="12"/>
        <v>343008.6</v>
      </c>
      <c r="I400" s="6">
        <f t="shared" si="13"/>
        <v>3.7580194782288259E-2</v>
      </c>
    </row>
    <row r="401" spans="1:9" ht="30" customHeight="1" x14ac:dyDescent="0.35">
      <c r="A401" t="s">
        <v>862</v>
      </c>
      <c r="B401" t="s">
        <v>863</v>
      </c>
      <c r="C401" t="s">
        <v>33</v>
      </c>
      <c r="D401" t="s">
        <v>32</v>
      </c>
      <c r="E401" s="2">
        <v>22460.799999999999</v>
      </c>
      <c r="F401" s="2"/>
      <c r="G401" s="2"/>
      <c r="H401" s="4" t="str">
        <f t="shared" si="12"/>
        <v/>
      </c>
      <c r="I401" s="6" t="str">
        <f t="shared" si="13"/>
        <v/>
      </c>
    </row>
    <row r="402" spans="1:9" ht="30" customHeight="1" x14ac:dyDescent="0.35">
      <c r="A402" t="s">
        <v>864</v>
      </c>
      <c r="B402" t="s">
        <v>865</v>
      </c>
      <c r="C402" t="s">
        <v>77</v>
      </c>
      <c r="D402" t="s">
        <v>76</v>
      </c>
      <c r="E402" s="2">
        <v>118890.46</v>
      </c>
      <c r="F402" s="2"/>
      <c r="G402" s="2"/>
      <c r="H402" s="4" t="str">
        <f t="shared" si="12"/>
        <v/>
      </c>
      <c r="I402" s="6" t="str">
        <f t="shared" si="13"/>
        <v/>
      </c>
    </row>
    <row r="403" spans="1:9" ht="30" customHeight="1" x14ac:dyDescent="0.35">
      <c r="A403" t="s">
        <v>866</v>
      </c>
      <c r="B403" t="s">
        <v>867</v>
      </c>
      <c r="C403" t="s">
        <v>457</v>
      </c>
      <c r="D403" t="s">
        <v>456</v>
      </c>
      <c r="E403" s="2">
        <v>330529.7</v>
      </c>
      <c r="F403" s="2">
        <v>1125434.57</v>
      </c>
      <c r="G403" s="2"/>
      <c r="H403" s="4">
        <f t="shared" si="12"/>
        <v>1125434.57</v>
      </c>
      <c r="I403" s="6">
        <f t="shared" si="13"/>
        <v>0.29369072961744902</v>
      </c>
    </row>
    <row r="404" spans="1:9" ht="30" customHeight="1" x14ac:dyDescent="0.35">
      <c r="A404" t="s">
        <v>868</v>
      </c>
      <c r="B404" t="s">
        <v>869</v>
      </c>
      <c r="C404" t="s">
        <v>19</v>
      </c>
      <c r="D404" t="s">
        <v>18</v>
      </c>
      <c r="E404" s="2">
        <v>6567.16</v>
      </c>
      <c r="F404" s="2"/>
      <c r="G404" s="2"/>
      <c r="H404" s="4" t="str">
        <f t="shared" si="12"/>
        <v/>
      </c>
      <c r="I404" s="6" t="str">
        <f t="shared" si="13"/>
        <v/>
      </c>
    </row>
    <row r="405" spans="1:9" ht="30" customHeight="1" x14ac:dyDescent="0.35">
      <c r="A405" t="s">
        <v>870</v>
      </c>
      <c r="B405" t="s">
        <v>871</v>
      </c>
      <c r="C405" t="s">
        <v>19</v>
      </c>
      <c r="D405" t="s">
        <v>18</v>
      </c>
      <c r="E405" s="2">
        <v>150166.87</v>
      </c>
      <c r="F405" s="2"/>
      <c r="G405" s="2"/>
      <c r="H405" s="4" t="str">
        <f t="shared" si="12"/>
        <v/>
      </c>
      <c r="I405" s="6" t="str">
        <f t="shared" si="13"/>
        <v/>
      </c>
    </row>
    <row r="406" spans="1:9" ht="30" customHeight="1" x14ac:dyDescent="0.35">
      <c r="A406" t="s">
        <v>872</v>
      </c>
      <c r="B406" t="s">
        <v>873</v>
      </c>
      <c r="C406" t="s">
        <v>77</v>
      </c>
      <c r="D406" t="s">
        <v>76</v>
      </c>
      <c r="E406" s="2">
        <v>249595.17</v>
      </c>
      <c r="F406" s="2"/>
      <c r="G406" s="2"/>
      <c r="H406" s="4" t="str">
        <f t="shared" si="12"/>
        <v/>
      </c>
      <c r="I406" s="6" t="str">
        <f t="shared" si="13"/>
        <v/>
      </c>
    </row>
    <row r="407" spans="1:9" ht="30" customHeight="1" x14ac:dyDescent="0.35">
      <c r="A407" t="s">
        <v>874</v>
      </c>
      <c r="B407" t="s">
        <v>875</v>
      </c>
      <c r="C407" t="s">
        <v>213</v>
      </c>
      <c r="D407" t="s">
        <v>212</v>
      </c>
      <c r="E407" s="2">
        <v>158313.56</v>
      </c>
      <c r="F407" s="2">
        <v>1199710</v>
      </c>
      <c r="G407" s="2"/>
      <c r="H407" s="4">
        <f t="shared" si="12"/>
        <v>1199710</v>
      </c>
      <c r="I407" s="6">
        <f t="shared" si="13"/>
        <v>0.1319598569654333</v>
      </c>
    </row>
    <row r="408" spans="1:9" ht="30" customHeight="1" x14ac:dyDescent="0.35">
      <c r="A408" t="s">
        <v>876</v>
      </c>
      <c r="B408" t="s">
        <v>877</v>
      </c>
      <c r="C408" t="s">
        <v>109</v>
      </c>
      <c r="D408" t="s">
        <v>108</v>
      </c>
      <c r="E408" s="2">
        <v>521417.81</v>
      </c>
      <c r="F408" s="2"/>
      <c r="G408" s="2"/>
      <c r="H408" s="4" t="str">
        <f t="shared" si="12"/>
        <v/>
      </c>
      <c r="I408" s="6" t="str">
        <f t="shared" si="13"/>
        <v/>
      </c>
    </row>
    <row r="409" spans="1:9" ht="30" customHeight="1" x14ac:dyDescent="0.35">
      <c r="A409" t="s">
        <v>878</v>
      </c>
      <c r="B409" t="s">
        <v>879</v>
      </c>
      <c r="C409" t="s">
        <v>51</v>
      </c>
      <c r="D409" t="s">
        <v>50</v>
      </c>
      <c r="E409" s="2">
        <v>429467.6</v>
      </c>
      <c r="F409" s="2">
        <v>0</v>
      </c>
      <c r="G409" s="2">
        <v>1500</v>
      </c>
      <c r="H409" s="4">
        <f t="shared" si="12"/>
        <v>1500</v>
      </c>
      <c r="I409" s="6">
        <f t="shared" si="13"/>
        <v>286.31173333333334</v>
      </c>
    </row>
    <row r="410" spans="1:9" ht="30" customHeight="1" x14ac:dyDescent="0.35">
      <c r="A410" t="s">
        <v>880</v>
      </c>
      <c r="B410" t="s">
        <v>881</v>
      </c>
      <c r="C410" t="s">
        <v>77</v>
      </c>
      <c r="D410" t="s">
        <v>76</v>
      </c>
      <c r="E410" s="2">
        <v>3156.06</v>
      </c>
      <c r="F410" s="2">
        <v>0</v>
      </c>
      <c r="G410" s="2">
        <v>2000</v>
      </c>
      <c r="H410" s="4">
        <f t="shared" si="12"/>
        <v>2000</v>
      </c>
      <c r="I410" s="6">
        <f t="shared" si="13"/>
        <v>1.57803</v>
      </c>
    </row>
    <row r="411" spans="1:9" ht="30" customHeight="1" x14ac:dyDescent="0.35">
      <c r="A411" t="s">
        <v>605</v>
      </c>
      <c r="B411" t="s">
        <v>882</v>
      </c>
      <c r="C411" t="s">
        <v>19</v>
      </c>
      <c r="D411" t="s">
        <v>18</v>
      </c>
      <c r="E411" s="2">
        <v>66019.59</v>
      </c>
      <c r="F411" s="2">
        <v>100</v>
      </c>
      <c r="G411" s="2">
        <v>1400</v>
      </c>
      <c r="H411" s="4">
        <f t="shared" si="12"/>
        <v>1500</v>
      </c>
      <c r="I411" s="6">
        <f t="shared" si="13"/>
        <v>44.013059999999996</v>
      </c>
    </row>
    <row r="412" spans="1:9" ht="30" customHeight="1" x14ac:dyDescent="0.35">
      <c r="A412" t="s">
        <v>56</v>
      </c>
      <c r="B412" t="s">
        <v>883</v>
      </c>
      <c r="C412" t="s">
        <v>19</v>
      </c>
      <c r="D412" t="s">
        <v>18</v>
      </c>
      <c r="E412" s="2">
        <v>1598217.07</v>
      </c>
      <c r="F412" s="2"/>
      <c r="G412" s="2"/>
      <c r="H412" s="4" t="str">
        <f t="shared" si="12"/>
        <v/>
      </c>
      <c r="I412" s="6" t="str">
        <f t="shared" si="13"/>
        <v/>
      </c>
    </row>
    <row r="413" spans="1:9" ht="30" customHeight="1" x14ac:dyDescent="0.35">
      <c r="A413" t="s">
        <v>884</v>
      </c>
      <c r="B413" t="s">
        <v>885</v>
      </c>
      <c r="C413" t="s">
        <v>19</v>
      </c>
      <c r="D413" t="s">
        <v>18</v>
      </c>
      <c r="E413" s="2">
        <v>223483.43</v>
      </c>
      <c r="F413" s="2"/>
      <c r="G413" s="2"/>
      <c r="H413" s="4" t="str">
        <f t="shared" si="12"/>
        <v/>
      </c>
      <c r="I413" s="6" t="str">
        <f t="shared" si="13"/>
        <v/>
      </c>
    </row>
    <row r="414" spans="1:9" ht="30" customHeight="1" x14ac:dyDescent="0.35">
      <c r="A414" t="s">
        <v>886</v>
      </c>
      <c r="B414" t="s">
        <v>887</v>
      </c>
      <c r="C414" t="s">
        <v>213</v>
      </c>
      <c r="D414" t="s">
        <v>212</v>
      </c>
      <c r="E414" s="2"/>
      <c r="F414" s="2">
        <v>429716.47</v>
      </c>
      <c r="G414" s="2"/>
      <c r="H414" s="4">
        <f t="shared" si="12"/>
        <v>429716.47</v>
      </c>
      <c r="I414" s="6">
        <f t="shared" si="13"/>
        <v>0</v>
      </c>
    </row>
    <row r="415" spans="1:9" ht="30" customHeight="1" x14ac:dyDescent="0.35">
      <c r="A415" t="s">
        <v>888</v>
      </c>
      <c r="B415" t="s">
        <v>889</v>
      </c>
      <c r="C415" t="s">
        <v>51</v>
      </c>
      <c r="D415" t="s">
        <v>50</v>
      </c>
      <c r="E415" s="2">
        <v>262561.99</v>
      </c>
      <c r="F415" s="2"/>
      <c r="G415" s="2"/>
      <c r="H415" s="4" t="str">
        <f t="shared" si="12"/>
        <v/>
      </c>
      <c r="I415" s="6" t="str">
        <f t="shared" si="13"/>
        <v/>
      </c>
    </row>
    <row r="416" spans="1:9" ht="30" customHeight="1" x14ac:dyDescent="0.35">
      <c r="A416" t="s">
        <v>890</v>
      </c>
      <c r="B416" t="s">
        <v>891</v>
      </c>
      <c r="C416" t="s">
        <v>57</v>
      </c>
      <c r="D416" t="s">
        <v>56</v>
      </c>
      <c r="E416" s="2">
        <v>480.72</v>
      </c>
      <c r="F416" s="2"/>
      <c r="G416" s="2"/>
      <c r="H416" s="4" t="str">
        <f t="shared" si="12"/>
        <v/>
      </c>
      <c r="I416" s="6" t="str">
        <f t="shared" si="13"/>
        <v/>
      </c>
    </row>
    <row r="417" spans="1:9" ht="30" customHeight="1" x14ac:dyDescent="0.35">
      <c r="A417" t="s">
        <v>892</v>
      </c>
      <c r="B417" t="s">
        <v>893</v>
      </c>
      <c r="C417" t="s">
        <v>77</v>
      </c>
      <c r="D417" t="s">
        <v>76</v>
      </c>
      <c r="E417" s="2">
        <v>387084.92</v>
      </c>
      <c r="F417" s="2"/>
      <c r="G417" s="2"/>
      <c r="H417" s="4" t="str">
        <f t="shared" si="12"/>
        <v/>
      </c>
      <c r="I417" s="6" t="str">
        <f t="shared" si="13"/>
        <v/>
      </c>
    </row>
    <row r="418" spans="1:9" ht="30" customHeight="1" x14ac:dyDescent="0.35">
      <c r="A418" t="s">
        <v>894</v>
      </c>
      <c r="B418" t="s">
        <v>895</v>
      </c>
      <c r="C418" t="s">
        <v>19</v>
      </c>
      <c r="D418" t="s">
        <v>18</v>
      </c>
      <c r="E418" s="2">
        <v>126393.08</v>
      </c>
      <c r="F418" s="2"/>
      <c r="G418" s="2"/>
      <c r="H418" s="4" t="str">
        <f t="shared" si="12"/>
        <v/>
      </c>
      <c r="I418" s="6" t="str">
        <f t="shared" si="13"/>
        <v/>
      </c>
    </row>
    <row r="419" spans="1:9" ht="30" customHeight="1" x14ac:dyDescent="0.35">
      <c r="A419" t="s">
        <v>896</v>
      </c>
      <c r="B419" t="s">
        <v>897</v>
      </c>
      <c r="C419" t="s">
        <v>109</v>
      </c>
      <c r="D419" t="s">
        <v>108</v>
      </c>
      <c r="E419" s="2">
        <v>144737.07</v>
      </c>
      <c r="F419" s="2"/>
      <c r="G419" s="2"/>
      <c r="H419" s="4" t="str">
        <f t="shared" si="12"/>
        <v/>
      </c>
      <c r="I419" s="6" t="str">
        <f t="shared" si="13"/>
        <v/>
      </c>
    </row>
    <row r="420" spans="1:9" ht="30" customHeight="1" x14ac:dyDescent="0.35">
      <c r="A420" t="s">
        <v>898</v>
      </c>
      <c r="B420" t="s">
        <v>899</v>
      </c>
      <c r="C420" t="s">
        <v>19</v>
      </c>
      <c r="D420" t="s">
        <v>18</v>
      </c>
      <c r="E420" s="2">
        <v>5058.66</v>
      </c>
      <c r="F420" s="2">
        <v>1000</v>
      </c>
      <c r="G420" s="2">
        <v>0</v>
      </c>
      <c r="H420" s="4">
        <f t="shared" si="12"/>
        <v>1000</v>
      </c>
      <c r="I420" s="6">
        <f t="shared" si="13"/>
        <v>5.0586599999999997</v>
      </c>
    </row>
    <row r="421" spans="1:9" ht="30" customHeight="1" x14ac:dyDescent="0.35">
      <c r="A421" t="s">
        <v>900</v>
      </c>
      <c r="B421" t="s">
        <v>901</v>
      </c>
      <c r="C421" t="s">
        <v>19</v>
      </c>
      <c r="D421" t="s">
        <v>18</v>
      </c>
      <c r="E421" s="2">
        <v>11481.77</v>
      </c>
      <c r="F421" s="2"/>
      <c r="G421" s="2"/>
      <c r="H421" s="4" t="str">
        <f t="shared" si="12"/>
        <v/>
      </c>
      <c r="I421" s="6" t="str">
        <f t="shared" si="13"/>
        <v/>
      </c>
    </row>
    <row r="422" spans="1:9" ht="30" customHeight="1" x14ac:dyDescent="0.35">
      <c r="A422" t="s">
        <v>902</v>
      </c>
      <c r="B422" t="s">
        <v>903</v>
      </c>
      <c r="C422" t="s">
        <v>51</v>
      </c>
      <c r="D422" t="s">
        <v>50</v>
      </c>
      <c r="E422" s="2">
        <v>899590.35</v>
      </c>
      <c r="F422" s="2"/>
      <c r="G422" s="2"/>
      <c r="H422" s="4" t="str">
        <f t="shared" si="12"/>
        <v/>
      </c>
      <c r="I422" s="6" t="str">
        <f t="shared" si="13"/>
        <v/>
      </c>
    </row>
    <row r="423" spans="1:9" ht="30" customHeight="1" x14ac:dyDescent="0.35">
      <c r="A423" t="s">
        <v>904</v>
      </c>
      <c r="B423" t="s">
        <v>905</v>
      </c>
      <c r="C423" t="s">
        <v>51</v>
      </c>
      <c r="D423" t="s">
        <v>50</v>
      </c>
      <c r="E423" s="2">
        <v>166354.23000000001</v>
      </c>
      <c r="F423" s="2"/>
      <c r="G423" s="2"/>
      <c r="H423" s="4" t="str">
        <f t="shared" si="12"/>
        <v/>
      </c>
      <c r="I423" s="6" t="str">
        <f t="shared" si="13"/>
        <v/>
      </c>
    </row>
    <row r="424" spans="1:9" ht="30" customHeight="1" x14ac:dyDescent="0.35">
      <c r="A424" t="s">
        <v>906</v>
      </c>
      <c r="B424" t="s">
        <v>907</v>
      </c>
      <c r="C424" t="s">
        <v>213</v>
      </c>
      <c r="D424" t="s">
        <v>212</v>
      </c>
      <c r="E424" s="2">
        <v>1684.65</v>
      </c>
      <c r="F424" s="2">
        <v>510539.02</v>
      </c>
      <c r="G424" s="2"/>
      <c r="H424" s="4">
        <f t="shared" si="12"/>
        <v>510539.02</v>
      </c>
      <c r="I424" s="6">
        <f t="shared" si="13"/>
        <v>3.2997477842144174E-3</v>
      </c>
    </row>
    <row r="425" spans="1:9" ht="30" customHeight="1" x14ac:dyDescent="0.35">
      <c r="A425" t="s">
        <v>908</v>
      </c>
      <c r="B425" t="s">
        <v>909</v>
      </c>
      <c r="C425" t="s">
        <v>51</v>
      </c>
      <c r="D425" t="s">
        <v>50</v>
      </c>
      <c r="E425" s="2">
        <v>10535.1</v>
      </c>
      <c r="F425" s="2"/>
      <c r="G425" s="2"/>
      <c r="H425" s="4" t="str">
        <f t="shared" si="12"/>
        <v/>
      </c>
      <c r="I425" s="6" t="str">
        <f t="shared" si="13"/>
        <v/>
      </c>
    </row>
    <row r="426" spans="1:9" ht="30" customHeight="1" x14ac:dyDescent="0.35">
      <c r="A426" t="s">
        <v>910</v>
      </c>
      <c r="B426" t="s">
        <v>911</v>
      </c>
      <c r="C426" t="s">
        <v>19</v>
      </c>
      <c r="D426" t="s">
        <v>18</v>
      </c>
      <c r="E426" s="2">
        <v>1187244.3400000001</v>
      </c>
      <c r="F426" s="2">
        <v>0</v>
      </c>
      <c r="G426" s="2">
        <v>2000</v>
      </c>
      <c r="H426" s="4">
        <f t="shared" si="12"/>
        <v>2000</v>
      </c>
      <c r="I426" s="6">
        <f t="shared" si="13"/>
        <v>593.6221700000001</v>
      </c>
    </row>
    <row r="427" spans="1:9" ht="30" customHeight="1" x14ac:dyDescent="0.35">
      <c r="A427" t="s">
        <v>912</v>
      </c>
      <c r="B427" t="s">
        <v>913</v>
      </c>
      <c r="C427" t="s">
        <v>457</v>
      </c>
      <c r="D427" t="s">
        <v>456</v>
      </c>
      <c r="E427" s="2">
        <v>29057</v>
      </c>
      <c r="F427" s="2">
        <v>1198396.94</v>
      </c>
      <c r="G427" s="2"/>
      <c r="H427" s="4">
        <f t="shared" si="12"/>
        <v>1198396.94</v>
      </c>
      <c r="I427" s="6">
        <f t="shared" si="13"/>
        <v>2.4246557238372123E-2</v>
      </c>
    </row>
    <row r="428" spans="1:9" ht="30" customHeight="1" x14ac:dyDescent="0.35">
      <c r="A428" t="s">
        <v>914</v>
      </c>
      <c r="B428" t="s">
        <v>915</v>
      </c>
      <c r="C428" t="s">
        <v>259</v>
      </c>
      <c r="D428" t="s">
        <v>258</v>
      </c>
      <c r="E428" s="2">
        <v>738403.81</v>
      </c>
      <c r="F428" s="2"/>
      <c r="G428" s="2"/>
      <c r="H428" s="4" t="str">
        <f t="shared" si="12"/>
        <v/>
      </c>
      <c r="I428" s="6" t="str">
        <f t="shared" si="13"/>
        <v/>
      </c>
    </row>
    <row r="429" spans="1:9" ht="30" customHeight="1" x14ac:dyDescent="0.35">
      <c r="A429" t="s">
        <v>916</v>
      </c>
      <c r="B429" t="s">
        <v>917</v>
      </c>
      <c r="C429" t="s">
        <v>101</v>
      </c>
      <c r="D429" t="s">
        <v>100</v>
      </c>
      <c r="E429" s="2">
        <v>1242832.8400000001</v>
      </c>
      <c r="F429" s="2">
        <v>9655574.9800000004</v>
      </c>
      <c r="G429" s="2">
        <v>877405.81</v>
      </c>
      <c r="H429" s="4">
        <f t="shared" si="12"/>
        <v>10532980.790000001</v>
      </c>
      <c r="I429" s="6">
        <f t="shared" si="13"/>
        <v>0.11799440868438155</v>
      </c>
    </row>
    <row r="430" spans="1:9" ht="30" customHeight="1" x14ac:dyDescent="0.35">
      <c r="A430" t="s">
        <v>918</v>
      </c>
      <c r="B430" t="s">
        <v>919</v>
      </c>
      <c r="C430" t="s">
        <v>259</v>
      </c>
      <c r="D430" t="s">
        <v>258</v>
      </c>
      <c r="E430" s="2">
        <v>30763.88</v>
      </c>
      <c r="F430" s="2"/>
      <c r="G430" s="2"/>
      <c r="H430" s="4" t="str">
        <f t="shared" si="12"/>
        <v/>
      </c>
      <c r="I430" s="6" t="str">
        <f t="shared" si="13"/>
        <v/>
      </c>
    </row>
    <row r="431" spans="1:9" ht="30" customHeight="1" x14ac:dyDescent="0.35">
      <c r="A431" t="s">
        <v>920</v>
      </c>
      <c r="B431" t="s">
        <v>921</v>
      </c>
      <c r="C431" t="s">
        <v>77</v>
      </c>
      <c r="D431" t="s">
        <v>76</v>
      </c>
      <c r="E431" s="2">
        <v>205735.29</v>
      </c>
      <c r="F431" s="2"/>
      <c r="G431" s="2"/>
      <c r="H431" s="4" t="str">
        <f t="shared" si="12"/>
        <v/>
      </c>
      <c r="I431" s="6" t="str">
        <f t="shared" si="13"/>
        <v/>
      </c>
    </row>
    <row r="432" spans="1:9" ht="30" customHeight="1" x14ac:dyDescent="0.35">
      <c r="A432" t="s">
        <v>922</v>
      </c>
      <c r="B432" t="s">
        <v>923</v>
      </c>
      <c r="C432" t="s">
        <v>77</v>
      </c>
      <c r="D432" t="s">
        <v>76</v>
      </c>
      <c r="E432" s="2">
        <v>92740.479999999996</v>
      </c>
      <c r="F432" s="2"/>
      <c r="G432" s="2"/>
      <c r="H432" s="4" t="str">
        <f t="shared" si="12"/>
        <v/>
      </c>
      <c r="I432" s="6" t="str">
        <f t="shared" si="13"/>
        <v/>
      </c>
    </row>
    <row r="433" spans="1:9" ht="30" customHeight="1" x14ac:dyDescent="0.35">
      <c r="A433" t="s">
        <v>924</v>
      </c>
      <c r="B433" t="s">
        <v>925</v>
      </c>
      <c r="C433" t="s">
        <v>33</v>
      </c>
      <c r="D433" t="s">
        <v>32</v>
      </c>
      <c r="E433" s="2">
        <v>143649.48000000001</v>
      </c>
      <c r="F433" s="2"/>
      <c r="G433" s="2"/>
      <c r="H433" s="4" t="str">
        <f t="shared" si="12"/>
        <v/>
      </c>
      <c r="I433" s="6" t="str">
        <f t="shared" si="13"/>
        <v/>
      </c>
    </row>
    <row r="434" spans="1:9" ht="30" customHeight="1" x14ac:dyDescent="0.35">
      <c r="A434" t="s">
        <v>926</v>
      </c>
      <c r="B434" t="s">
        <v>927</v>
      </c>
      <c r="C434" t="s">
        <v>259</v>
      </c>
      <c r="D434" t="s">
        <v>258</v>
      </c>
      <c r="E434" s="2">
        <v>706914.43</v>
      </c>
      <c r="F434" s="2"/>
      <c r="G434" s="2"/>
      <c r="H434" s="4" t="str">
        <f t="shared" si="12"/>
        <v/>
      </c>
      <c r="I434" s="6" t="str">
        <f t="shared" si="13"/>
        <v/>
      </c>
    </row>
    <row r="435" spans="1:9" ht="30" customHeight="1" x14ac:dyDescent="0.35">
      <c r="A435" t="s">
        <v>928</v>
      </c>
      <c r="B435" t="s">
        <v>929</v>
      </c>
      <c r="C435" t="s">
        <v>19</v>
      </c>
      <c r="D435" t="s">
        <v>18</v>
      </c>
      <c r="E435" s="2">
        <v>15674.08</v>
      </c>
      <c r="F435" s="2"/>
      <c r="G435" s="2"/>
      <c r="H435" s="4" t="str">
        <f t="shared" si="12"/>
        <v/>
      </c>
      <c r="I435" s="6" t="str">
        <f t="shared" si="13"/>
        <v/>
      </c>
    </row>
    <row r="436" spans="1:9" ht="30" customHeight="1" x14ac:dyDescent="0.35">
      <c r="A436" t="s">
        <v>930</v>
      </c>
      <c r="B436" t="s">
        <v>931</v>
      </c>
      <c r="C436" t="s">
        <v>253</v>
      </c>
      <c r="D436" t="s">
        <v>252</v>
      </c>
      <c r="E436" s="2">
        <v>288826.75</v>
      </c>
      <c r="F436" s="2">
        <v>942719.73</v>
      </c>
      <c r="G436" s="2"/>
      <c r="H436" s="4">
        <f t="shared" si="12"/>
        <v>942719.73</v>
      </c>
      <c r="I436" s="6">
        <f t="shared" si="13"/>
        <v>0.30637605303964521</v>
      </c>
    </row>
    <row r="437" spans="1:9" ht="30" customHeight="1" x14ac:dyDescent="0.35">
      <c r="A437" t="s">
        <v>932</v>
      </c>
      <c r="B437" t="s">
        <v>933</v>
      </c>
      <c r="C437" t="s">
        <v>57</v>
      </c>
      <c r="D437" t="s">
        <v>56</v>
      </c>
      <c r="E437" s="2">
        <v>161600.41</v>
      </c>
      <c r="F437" s="2"/>
      <c r="G437" s="2"/>
      <c r="H437" s="4" t="str">
        <f t="shared" si="12"/>
        <v/>
      </c>
      <c r="I437" s="6" t="str">
        <f t="shared" si="13"/>
        <v/>
      </c>
    </row>
    <row r="438" spans="1:9" ht="30" customHeight="1" x14ac:dyDescent="0.35">
      <c r="A438" t="s">
        <v>934</v>
      </c>
      <c r="B438" t="s">
        <v>935</v>
      </c>
      <c r="C438" t="s">
        <v>33</v>
      </c>
      <c r="D438" t="s">
        <v>32</v>
      </c>
      <c r="E438" s="2">
        <v>209890.69</v>
      </c>
      <c r="F438" s="2"/>
      <c r="G438" s="2"/>
      <c r="H438" s="4" t="str">
        <f t="shared" si="12"/>
        <v/>
      </c>
      <c r="I438" s="6" t="str">
        <f t="shared" si="13"/>
        <v/>
      </c>
    </row>
    <row r="439" spans="1:9" ht="30" customHeight="1" x14ac:dyDescent="0.35">
      <c r="A439" t="s">
        <v>936</v>
      </c>
      <c r="B439" t="s">
        <v>937</v>
      </c>
      <c r="C439" t="s">
        <v>259</v>
      </c>
      <c r="D439" t="s">
        <v>258</v>
      </c>
      <c r="E439" s="2">
        <v>111280.79</v>
      </c>
      <c r="F439" s="2">
        <v>3355566.79</v>
      </c>
      <c r="G439" s="2"/>
      <c r="H439" s="4">
        <f t="shared" si="12"/>
        <v>3355566.79</v>
      </c>
      <c r="I439" s="6">
        <f t="shared" si="13"/>
        <v>3.3163038307456844E-2</v>
      </c>
    </row>
    <row r="440" spans="1:9" ht="30" customHeight="1" x14ac:dyDescent="0.35">
      <c r="A440" t="s">
        <v>938</v>
      </c>
      <c r="B440" t="s">
        <v>939</v>
      </c>
      <c r="C440" t="s">
        <v>33</v>
      </c>
      <c r="D440" t="s">
        <v>32</v>
      </c>
      <c r="E440" s="2">
        <v>453349.84</v>
      </c>
      <c r="F440" s="2">
        <v>1006.86</v>
      </c>
      <c r="G440" s="2">
        <v>5000</v>
      </c>
      <c r="H440" s="4">
        <f t="shared" si="12"/>
        <v>6006.86</v>
      </c>
      <c r="I440" s="6">
        <f t="shared" si="13"/>
        <v>75.472016993903651</v>
      </c>
    </row>
    <row r="441" spans="1:9" ht="30" customHeight="1" x14ac:dyDescent="0.35">
      <c r="A441" t="s">
        <v>940</v>
      </c>
      <c r="B441" t="s">
        <v>941</v>
      </c>
      <c r="C441" t="s">
        <v>77</v>
      </c>
      <c r="D441" t="s">
        <v>76</v>
      </c>
      <c r="E441" s="2">
        <v>32225.86</v>
      </c>
      <c r="F441" s="2"/>
      <c r="G441" s="2"/>
      <c r="H441" s="4" t="str">
        <f t="shared" si="12"/>
        <v/>
      </c>
      <c r="I441" s="6" t="str">
        <f t="shared" si="13"/>
        <v/>
      </c>
    </row>
    <row r="442" spans="1:9" ht="30" customHeight="1" x14ac:dyDescent="0.35">
      <c r="A442" t="s">
        <v>942</v>
      </c>
      <c r="B442" t="s">
        <v>943</v>
      </c>
      <c r="C442" t="s">
        <v>259</v>
      </c>
      <c r="D442" t="s">
        <v>258</v>
      </c>
      <c r="E442" s="2">
        <v>3443827.78</v>
      </c>
      <c r="F442" s="2">
        <v>732143.33</v>
      </c>
      <c r="G442" s="2">
        <v>500000</v>
      </c>
      <c r="H442" s="4">
        <f t="shared" si="12"/>
        <v>1232143.33</v>
      </c>
      <c r="I442" s="6">
        <f t="shared" si="13"/>
        <v>2.7949895894010965</v>
      </c>
    </row>
    <row r="443" spans="1:9" ht="30" customHeight="1" x14ac:dyDescent="0.35">
      <c r="A443" t="s">
        <v>944</v>
      </c>
      <c r="B443" t="s">
        <v>945</v>
      </c>
      <c r="C443" t="s">
        <v>57</v>
      </c>
      <c r="D443" t="s">
        <v>56</v>
      </c>
      <c r="E443" s="2">
        <v>7286.03</v>
      </c>
      <c r="F443" s="2"/>
      <c r="G443" s="2"/>
      <c r="H443" s="4" t="str">
        <f t="shared" ref="H443:H506" si="14">IF(ISBLANK(F443),"",(F443+G443))</f>
        <v/>
      </c>
      <c r="I443" s="6" t="str">
        <f t="shared" ref="I443:I506" si="15">IF(ISBLANK(F443), "", E443/H443)</f>
        <v/>
      </c>
    </row>
    <row r="444" spans="1:9" ht="30" customHeight="1" x14ac:dyDescent="0.35">
      <c r="A444" t="s">
        <v>946</v>
      </c>
      <c r="B444" t="s">
        <v>947</v>
      </c>
      <c r="C444" t="s">
        <v>57</v>
      </c>
      <c r="D444" t="s">
        <v>56</v>
      </c>
      <c r="E444" s="2">
        <v>47768.29</v>
      </c>
      <c r="F444" s="2">
        <v>0</v>
      </c>
      <c r="G444" s="2">
        <v>150000</v>
      </c>
      <c r="H444" s="4">
        <f t="shared" si="14"/>
        <v>150000</v>
      </c>
      <c r="I444" s="6">
        <f t="shared" si="15"/>
        <v>0.31845526666666668</v>
      </c>
    </row>
    <row r="445" spans="1:9" ht="30" customHeight="1" x14ac:dyDescent="0.35">
      <c r="A445" t="s">
        <v>948</v>
      </c>
      <c r="B445" t="s">
        <v>949</v>
      </c>
      <c r="C445" t="s">
        <v>19</v>
      </c>
      <c r="D445" t="s">
        <v>18</v>
      </c>
      <c r="E445" s="2">
        <v>121001.29</v>
      </c>
      <c r="F445" s="2">
        <v>8363.7800000000007</v>
      </c>
      <c r="G445" s="2"/>
      <c r="H445" s="4">
        <f t="shared" si="14"/>
        <v>8363.7800000000007</v>
      </c>
      <c r="I445" s="6">
        <f t="shared" si="15"/>
        <v>14.467297083376176</v>
      </c>
    </row>
    <row r="446" spans="1:9" ht="30" customHeight="1" x14ac:dyDescent="0.35">
      <c r="A446" t="s">
        <v>950</v>
      </c>
      <c r="B446" t="s">
        <v>951</v>
      </c>
      <c r="C446" t="s">
        <v>109</v>
      </c>
      <c r="D446" t="s">
        <v>108</v>
      </c>
      <c r="E446" s="2">
        <v>170512.66</v>
      </c>
      <c r="F446" s="2"/>
      <c r="G446" s="2"/>
      <c r="H446" s="4" t="str">
        <f t="shared" si="14"/>
        <v/>
      </c>
      <c r="I446" s="6" t="str">
        <f t="shared" si="15"/>
        <v/>
      </c>
    </row>
    <row r="447" spans="1:9" ht="30" customHeight="1" x14ac:dyDescent="0.35">
      <c r="A447" t="s">
        <v>952</v>
      </c>
      <c r="B447" t="s">
        <v>953</v>
      </c>
      <c r="C447" t="s">
        <v>457</v>
      </c>
      <c r="D447" t="s">
        <v>456</v>
      </c>
      <c r="E447" s="2"/>
      <c r="F447" s="2">
        <v>628451.31999999995</v>
      </c>
      <c r="G447" s="2"/>
      <c r="H447" s="4">
        <f t="shared" si="14"/>
        <v>628451.31999999995</v>
      </c>
      <c r="I447" s="6">
        <f t="shared" si="15"/>
        <v>0</v>
      </c>
    </row>
    <row r="448" spans="1:9" ht="30" customHeight="1" x14ac:dyDescent="0.35">
      <c r="A448" t="s">
        <v>954</v>
      </c>
      <c r="B448" t="s">
        <v>955</v>
      </c>
      <c r="C448" t="s">
        <v>33</v>
      </c>
      <c r="D448" t="s">
        <v>32</v>
      </c>
      <c r="E448" s="2">
        <v>66942.19</v>
      </c>
      <c r="F448" s="2"/>
      <c r="G448" s="2"/>
      <c r="H448" s="4" t="str">
        <f t="shared" si="14"/>
        <v/>
      </c>
      <c r="I448" s="6" t="str">
        <f t="shared" si="15"/>
        <v/>
      </c>
    </row>
    <row r="449" spans="1:9" ht="30" customHeight="1" x14ac:dyDescent="0.35">
      <c r="A449" t="s">
        <v>956</v>
      </c>
      <c r="B449" t="s">
        <v>957</v>
      </c>
      <c r="C449" t="s">
        <v>253</v>
      </c>
      <c r="D449" t="s">
        <v>252</v>
      </c>
      <c r="E449" s="2">
        <v>113221.44</v>
      </c>
      <c r="F449" s="2">
        <v>1636480.65</v>
      </c>
      <c r="G449" s="2">
        <v>150000</v>
      </c>
      <c r="H449" s="4">
        <f t="shared" si="14"/>
        <v>1786480.65</v>
      </c>
      <c r="I449" s="6">
        <f t="shared" si="15"/>
        <v>6.3376807355847942E-2</v>
      </c>
    </row>
    <row r="450" spans="1:9" ht="30" customHeight="1" x14ac:dyDescent="0.35">
      <c r="A450" t="s">
        <v>958</v>
      </c>
      <c r="B450" t="s">
        <v>959</v>
      </c>
      <c r="C450" t="s">
        <v>19</v>
      </c>
      <c r="D450" t="s">
        <v>18</v>
      </c>
      <c r="E450" s="2">
        <v>25561.57</v>
      </c>
      <c r="F450" s="2"/>
      <c r="G450" s="2"/>
      <c r="H450" s="4" t="str">
        <f t="shared" si="14"/>
        <v/>
      </c>
      <c r="I450" s="6" t="str">
        <f t="shared" si="15"/>
        <v/>
      </c>
    </row>
    <row r="451" spans="1:9" ht="30" customHeight="1" x14ac:dyDescent="0.35">
      <c r="A451" t="s">
        <v>960</v>
      </c>
      <c r="B451" t="s">
        <v>961</v>
      </c>
      <c r="C451" t="s">
        <v>29</v>
      </c>
      <c r="D451" t="s">
        <v>28</v>
      </c>
      <c r="E451" s="2">
        <v>24362.03</v>
      </c>
      <c r="F451" s="2">
        <v>477239.05</v>
      </c>
      <c r="G451" s="2"/>
      <c r="H451" s="4">
        <f t="shared" si="14"/>
        <v>477239.05</v>
      </c>
      <c r="I451" s="6">
        <f t="shared" si="15"/>
        <v>5.1047855367242052E-2</v>
      </c>
    </row>
    <row r="452" spans="1:9" ht="30" customHeight="1" x14ac:dyDescent="0.35">
      <c r="A452" t="s">
        <v>962</v>
      </c>
      <c r="B452" t="s">
        <v>963</v>
      </c>
      <c r="C452" t="s">
        <v>965</v>
      </c>
      <c r="D452" t="s">
        <v>964</v>
      </c>
      <c r="E452" s="2">
        <v>702920.17</v>
      </c>
      <c r="F452" s="2"/>
      <c r="G452" s="2"/>
      <c r="H452" s="4" t="str">
        <f t="shared" si="14"/>
        <v/>
      </c>
      <c r="I452" s="6" t="str">
        <f t="shared" si="15"/>
        <v/>
      </c>
    </row>
    <row r="453" spans="1:9" ht="30" customHeight="1" x14ac:dyDescent="0.35">
      <c r="A453" t="s">
        <v>966</v>
      </c>
      <c r="B453" t="s">
        <v>967</v>
      </c>
      <c r="C453" t="s">
        <v>259</v>
      </c>
      <c r="D453" t="s">
        <v>258</v>
      </c>
      <c r="E453" s="2">
        <v>20898.32</v>
      </c>
      <c r="F453" s="2">
        <v>1339877.68</v>
      </c>
      <c r="G453" s="2">
        <v>3370.62</v>
      </c>
      <c r="H453" s="4">
        <f t="shared" si="14"/>
        <v>1343248.3</v>
      </c>
      <c r="I453" s="6">
        <f t="shared" si="15"/>
        <v>1.5558046862966437E-2</v>
      </c>
    </row>
    <row r="454" spans="1:9" ht="30" customHeight="1" x14ac:dyDescent="0.35">
      <c r="A454" t="s">
        <v>968</v>
      </c>
      <c r="B454" t="s">
        <v>969</v>
      </c>
      <c r="C454" t="s">
        <v>33</v>
      </c>
      <c r="D454" t="s">
        <v>32</v>
      </c>
      <c r="E454" s="2">
        <v>346425.33</v>
      </c>
      <c r="F454" s="2"/>
      <c r="G454" s="2"/>
      <c r="H454" s="4" t="str">
        <f t="shared" si="14"/>
        <v/>
      </c>
      <c r="I454" s="6" t="str">
        <f t="shared" si="15"/>
        <v/>
      </c>
    </row>
    <row r="455" spans="1:9" ht="30" customHeight="1" x14ac:dyDescent="0.35">
      <c r="A455" t="s">
        <v>970</v>
      </c>
      <c r="B455" t="s">
        <v>971</v>
      </c>
      <c r="C455" t="s">
        <v>19</v>
      </c>
      <c r="D455" t="s">
        <v>18</v>
      </c>
      <c r="E455" s="2">
        <v>58036.12</v>
      </c>
      <c r="F455" s="2"/>
      <c r="G455" s="2"/>
      <c r="H455" s="4" t="str">
        <f t="shared" si="14"/>
        <v/>
      </c>
      <c r="I455" s="6" t="str">
        <f t="shared" si="15"/>
        <v/>
      </c>
    </row>
    <row r="456" spans="1:9" ht="30" customHeight="1" x14ac:dyDescent="0.35">
      <c r="A456" t="s">
        <v>972</v>
      </c>
      <c r="B456" t="s">
        <v>973</v>
      </c>
      <c r="C456" t="s">
        <v>77</v>
      </c>
      <c r="D456" t="s">
        <v>76</v>
      </c>
      <c r="E456" s="2">
        <v>77590.27</v>
      </c>
      <c r="F456" s="2"/>
      <c r="G456" s="2"/>
      <c r="H456" s="4" t="str">
        <f t="shared" si="14"/>
        <v/>
      </c>
      <c r="I456" s="6" t="str">
        <f t="shared" si="15"/>
        <v/>
      </c>
    </row>
    <row r="457" spans="1:9" ht="30" customHeight="1" x14ac:dyDescent="0.35">
      <c r="A457" t="s">
        <v>974</v>
      </c>
      <c r="B457" t="s">
        <v>975</v>
      </c>
      <c r="C457" t="s">
        <v>51</v>
      </c>
      <c r="D457" t="s">
        <v>50</v>
      </c>
      <c r="E457" s="2">
        <v>391998.92</v>
      </c>
      <c r="F457" s="2"/>
      <c r="G457" s="2"/>
      <c r="H457" s="4" t="str">
        <f t="shared" si="14"/>
        <v/>
      </c>
      <c r="I457" s="6" t="str">
        <f t="shared" si="15"/>
        <v/>
      </c>
    </row>
    <row r="458" spans="1:9" ht="30" customHeight="1" x14ac:dyDescent="0.35">
      <c r="A458" t="s">
        <v>976</v>
      </c>
      <c r="B458" t="s">
        <v>977</v>
      </c>
      <c r="C458" t="s">
        <v>259</v>
      </c>
      <c r="D458" t="s">
        <v>258</v>
      </c>
      <c r="E458" s="2">
        <v>94841.85</v>
      </c>
      <c r="F458" s="2"/>
      <c r="G458" s="2"/>
      <c r="H458" s="4" t="str">
        <f t="shared" si="14"/>
        <v/>
      </c>
      <c r="I458" s="6" t="str">
        <f t="shared" si="15"/>
        <v/>
      </c>
    </row>
    <row r="459" spans="1:9" ht="30" customHeight="1" x14ac:dyDescent="0.35">
      <c r="A459" t="s">
        <v>978</v>
      </c>
      <c r="B459" t="s">
        <v>979</v>
      </c>
      <c r="C459" t="s">
        <v>19</v>
      </c>
      <c r="D459" t="s">
        <v>18</v>
      </c>
      <c r="E459" s="2">
        <v>92733.49</v>
      </c>
      <c r="F459" s="2"/>
      <c r="G459" s="2"/>
      <c r="H459" s="4" t="str">
        <f t="shared" si="14"/>
        <v/>
      </c>
      <c r="I459" s="6" t="str">
        <f t="shared" si="15"/>
        <v/>
      </c>
    </row>
    <row r="460" spans="1:9" ht="30" customHeight="1" x14ac:dyDescent="0.35">
      <c r="A460" t="s">
        <v>980</v>
      </c>
      <c r="B460" t="s">
        <v>981</v>
      </c>
      <c r="C460" t="s">
        <v>77</v>
      </c>
      <c r="D460" t="s">
        <v>76</v>
      </c>
      <c r="E460" s="2">
        <v>101236.35</v>
      </c>
      <c r="F460" s="2"/>
      <c r="G460" s="2"/>
      <c r="H460" s="4" t="str">
        <f t="shared" si="14"/>
        <v/>
      </c>
      <c r="I460" s="6" t="str">
        <f t="shared" si="15"/>
        <v/>
      </c>
    </row>
    <row r="461" spans="1:9" ht="30" customHeight="1" x14ac:dyDescent="0.35">
      <c r="A461" t="s">
        <v>982</v>
      </c>
      <c r="B461" t="s">
        <v>983</v>
      </c>
      <c r="C461" t="s">
        <v>57</v>
      </c>
      <c r="D461" t="s">
        <v>56</v>
      </c>
      <c r="E461" s="2">
        <v>350623.84</v>
      </c>
      <c r="F461" s="2"/>
      <c r="G461" s="2"/>
      <c r="H461" s="4" t="str">
        <f t="shared" si="14"/>
        <v/>
      </c>
      <c r="I461" s="6" t="str">
        <f t="shared" si="15"/>
        <v/>
      </c>
    </row>
    <row r="462" spans="1:9" ht="30" customHeight="1" x14ac:dyDescent="0.35">
      <c r="A462" t="s">
        <v>984</v>
      </c>
      <c r="B462" t="s">
        <v>985</v>
      </c>
      <c r="C462" t="s">
        <v>57</v>
      </c>
      <c r="D462" t="s">
        <v>56</v>
      </c>
      <c r="E462" s="2">
        <v>44955.61</v>
      </c>
      <c r="F462" s="2"/>
      <c r="G462" s="2"/>
      <c r="H462" s="4" t="str">
        <f t="shared" si="14"/>
        <v/>
      </c>
      <c r="I462" s="6" t="str">
        <f t="shared" si="15"/>
        <v/>
      </c>
    </row>
    <row r="463" spans="1:9" ht="30" customHeight="1" x14ac:dyDescent="0.35">
      <c r="A463" t="s">
        <v>986</v>
      </c>
      <c r="B463" t="s">
        <v>987</v>
      </c>
      <c r="C463" t="s">
        <v>57</v>
      </c>
      <c r="D463" t="s">
        <v>56</v>
      </c>
      <c r="E463" s="2">
        <v>116834.6</v>
      </c>
      <c r="F463" s="2"/>
      <c r="G463" s="2"/>
      <c r="H463" s="4" t="str">
        <f t="shared" si="14"/>
        <v/>
      </c>
      <c r="I463" s="6" t="str">
        <f t="shared" si="15"/>
        <v/>
      </c>
    </row>
    <row r="464" spans="1:9" ht="30" customHeight="1" x14ac:dyDescent="0.35">
      <c r="A464" t="s">
        <v>988</v>
      </c>
      <c r="B464" t="s">
        <v>989</v>
      </c>
      <c r="C464" t="s">
        <v>457</v>
      </c>
      <c r="D464" t="s">
        <v>456</v>
      </c>
      <c r="E464" s="2">
        <v>207.71</v>
      </c>
      <c r="F464" s="2">
        <v>824892.47</v>
      </c>
      <c r="G464" s="2"/>
      <c r="H464" s="4">
        <f t="shared" si="14"/>
        <v>824892.47</v>
      </c>
      <c r="I464" s="6">
        <f t="shared" si="15"/>
        <v>2.518025167571235E-4</v>
      </c>
    </row>
    <row r="465" spans="1:9" ht="30" customHeight="1" x14ac:dyDescent="0.35">
      <c r="A465" t="s">
        <v>990</v>
      </c>
      <c r="B465" t="s">
        <v>991</v>
      </c>
      <c r="C465" t="s">
        <v>457</v>
      </c>
      <c r="D465" t="s">
        <v>456</v>
      </c>
      <c r="E465" s="2">
        <v>667275.96</v>
      </c>
      <c r="F465" s="2">
        <v>2214220.52</v>
      </c>
      <c r="G465" s="2">
        <v>750000</v>
      </c>
      <c r="H465" s="4">
        <f t="shared" si="14"/>
        <v>2964220.52</v>
      </c>
      <c r="I465" s="6">
        <f t="shared" si="15"/>
        <v>0.2251100940357838</v>
      </c>
    </row>
    <row r="466" spans="1:9" ht="30" customHeight="1" x14ac:dyDescent="0.35">
      <c r="A466" t="s">
        <v>992</v>
      </c>
      <c r="B466" t="s">
        <v>993</v>
      </c>
      <c r="C466" t="s">
        <v>77</v>
      </c>
      <c r="D466" t="s">
        <v>76</v>
      </c>
      <c r="E466" s="2">
        <v>5630.91</v>
      </c>
      <c r="F466" s="2"/>
      <c r="G466" s="2"/>
      <c r="H466" s="4" t="str">
        <f t="shared" si="14"/>
        <v/>
      </c>
      <c r="I466" s="6" t="str">
        <f t="shared" si="15"/>
        <v/>
      </c>
    </row>
    <row r="467" spans="1:9" ht="30" customHeight="1" x14ac:dyDescent="0.35">
      <c r="A467" t="s">
        <v>994</v>
      </c>
      <c r="B467" t="s">
        <v>995</v>
      </c>
      <c r="C467" t="s">
        <v>67</v>
      </c>
      <c r="D467" t="s">
        <v>66</v>
      </c>
      <c r="E467" s="2">
        <v>372.94</v>
      </c>
      <c r="F467" s="2"/>
      <c r="G467" s="2"/>
      <c r="H467" s="4" t="str">
        <f t="shared" si="14"/>
        <v/>
      </c>
      <c r="I467" s="6" t="str">
        <f t="shared" si="15"/>
        <v/>
      </c>
    </row>
    <row r="468" spans="1:9" ht="30" customHeight="1" x14ac:dyDescent="0.35">
      <c r="A468" t="s">
        <v>996</v>
      </c>
      <c r="B468" t="s">
        <v>997</v>
      </c>
      <c r="C468" t="s">
        <v>19</v>
      </c>
      <c r="D468" t="s">
        <v>18</v>
      </c>
      <c r="E468" s="2">
        <v>88432.26</v>
      </c>
      <c r="F468" s="2">
        <v>6104.74</v>
      </c>
      <c r="G468" s="2"/>
      <c r="H468" s="4">
        <f t="shared" si="14"/>
        <v>6104.74</v>
      </c>
      <c r="I468" s="6">
        <f t="shared" si="15"/>
        <v>14.485835596601984</v>
      </c>
    </row>
    <row r="469" spans="1:9" ht="30" customHeight="1" x14ac:dyDescent="0.35">
      <c r="A469" t="s">
        <v>998</v>
      </c>
      <c r="B469" t="s">
        <v>999</v>
      </c>
      <c r="C469" t="s">
        <v>259</v>
      </c>
      <c r="D469" t="s">
        <v>258</v>
      </c>
      <c r="E469" s="2">
        <v>212886.52</v>
      </c>
      <c r="F469" s="2"/>
      <c r="G469" s="2"/>
      <c r="H469" s="4" t="str">
        <f t="shared" si="14"/>
        <v/>
      </c>
      <c r="I469" s="6" t="str">
        <f t="shared" si="15"/>
        <v/>
      </c>
    </row>
    <row r="470" spans="1:9" ht="30" customHeight="1" x14ac:dyDescent="0.35">
      <c r="A470" t="s">
        <v>1000</v>
      </c>
      <c r="B470" t="s">
        <v>1001</v>
      </c>
      <c r="C470" t="s">
        <v>313</v>
      </c>
      <c r="D470" t="s">
        <v>312</v>
      </c>
      <c r="E470" s="2">
        <v>84108.35</v>
      </c>
      <c r="F470" s="2"/>
      <c r="G470" s="2"/>
      <c r="H470" s="4" t="str">
        <f t="shared" si="14"/>
        <v/>
      </c>
      <c r="I470" s="6" t="str">
        <f t="shared" si="15"/>
        <v/>
      </c>
    </row>
    <row r="471" spans="1:9" ht="30" customHeight="1" x14ac:dyDescent="0.35">
      <c r="A471" t="s">
        <v>1002</v>
      </c>
      <c r="B471" t="s">
        <v>1003</v>
      </c>
      <c r="C471" t="s">
        <v>109</v>
      </c>
      <c r="D471" t="s">
        <v>108</v>
      </c>
      <c r="E471" s="2">
        <v>187517.82</v>
      </c>
      <c r="F471" s="2"/>
      <c r="G471" s="2"/>
      <c r="H471" s="4" t="str">
        <f t="shared" si="14"/>
        <v/>
      </c>
      <c r="I471" s="6" t="str">
        <f t="shared" si="15"/>
        <v/>
      </c>
    </row>
    <row r="472" spans="1:9" ht="30" customHeight="1" x14ac:dyDescent="0.35">
      <c r="A472" t="s">
        <v>1004</v>
      </c>
      <c r="B472" t="s">
        <v>1005</v>
      </c>
      <c r="C472" t="s">
        <v>253</v>
      </c>
      <c r="D472" t="s">
        <v>252</v>
      </c>
      <c r="E472" s="2">
        <v>614625.53</v>
      </c>
      <c r="F472" s="2">
        <v>210057.32</v>
      </c>
      <c r="G472" s="2"/>
      <c r="H472" s="4">
        <f t="shared" si="14"/>
        <v>210057.32</v>
      </c>
      <c r="I472" s="6">
        <f t="shared" si="15"/>
        <v>2.9259895822721149</v>
      </c>
    </row>
    <row r="473" spans="1:9" ht="30" customHeight="1" x14ac:dyDescent="0.35">
      <c r="A473" t="s">
        <v>1006</v>
      </c>
      <c r="B473" t="s">
        <v>1007</v>
      </c>
      <c r="C473" t="s">
        <v>457</v>
      </c>
      <c r="D473" t="s">
        <v>456</v>
      </c>
      <c r="E473" s="2">
        <v>25390.02</v>
      </c>
      <c r="F473" s="2">
        <v>1608150.78</v>
      </c>
      <c r="G473" s="2"/>
      <c r="H473" s="4">
        <f t="shared" si="14"/>
        <v>1608150.78</v>
      </c>
      <c r="I473" s="6">
        <f t="shared" si="15"/>
        <v>1.5788332982060303E-2</v>
      </c>
    </row>
    <row r="474" spans="1:9" ht="30" customHeight="1" x14ac:dyDescent="0.35">
      <c r="A474" t="s">
        <v>1008</v>
      </c>
      <c r="B474" t="s">
        <v>1009</v>
      </c>
      <c r="C474" t="s">
        <v>57</v>
      </c>
      <c r="D474" t="s">
        <v>56</v>
      </c>
      <c r="E474" s="2">
        <v>71112.47</v>
      </c>
      <c r="F474" s="2"/>
      <c r="G474" s="2"/>
      <c r="H474" s="4" t="str">
        <f t="shared" si="14"/>
        <v/>
      </c>
      <c r="I474" s="6" t="str">
        <f t="shared" si="15"/>
        <v/>
      </c>
    </row>
    <row r="475" spans="1:9" ht="30" customHeight="1" x14ac:dyDescent="0.35">
      <c r="A475" t="s">
        <v>1010</v>
      </c>
      <c r="B475" t="s">
        <v>1011</v>
      </c>
      <c r="C475" t="s">
        <v>15</v>
      </c>
      <c r="D475" t="s">
        <v>14</v>
      </c>
      <c r="E475" s="2">
        <v>2773122.49</v>
      </c>
      <c r="F475" s="2">
        <v>6705762.3700000001</v>
      </c>
      <c r="G475" s="2">
        <v>3999615.26</v>
      </c>
      <c r="H475" s="4">
        <f t="shared" si="14"/>
        <v>10705377.629999999</v>
      </c>
      <c r="I475" s="6">
        <f t="shared" si="15"/>
        <v>0.25904013719504826</v>
      </c>
    </row>
    <row r="476" spans="1:9" ht="30" customHeight="1" x14ac:dyDescent="0.35">
      <c r="A476" t="s">
        <v>1012</v>
      </c>
      <c r="B476" t="s">
        <v>1013</v>
      </c>
      <c r="C476" t="s">
        <v>67</v>
      </c>
      <c r="D476" t="s">
        <v>66</v>
      </c>
      <c r="E476" s="2">
        <v>481207.08</v>
      </c>
      <c r="F476" s="2">
        <v>171676.91</v>
      </c>
      <c r="G476" s="2">
        <v>7202.32</v>
      </c>
      <c r="H476" s="4">
        <f t="shared" si="14"/>
        <v>178879.23</v>
      </c>
      <c r="I476" s="6">
        <f t="shared" si="15"/>
        <v>2.6901227157563232</v>
      </c>
    </row>
    <row r="477" spans="1:9" ht="30" customHeight="1" x14ac:dyDescent="0.35">
      <c r="A477" t="s">
        <v>1014</v>
      </c>
      <c r="B477" t="s">
        <v>1015</v>
      </c>
      <c r="C477" t="s">
        <v>57</v>
      </c>
      <c r="D477" t="s">
        <v>56</v>
      </c>
      <c r="E477" s="2">
        <v>242665.21</v>
      </c>
      <c r="F477" s="2"/>
      <c r="G477" s="2"/>
      <c r="H477" s="4" t="str">
        <f t="shared" si="14"/>
        <v/>
      </c>
      <c r="I477" s="6" t="str">
        <f t="shared" si="15"/>
        <v/>
      </c>
    </row>
    <row r="478" spans="1:9" ht="30" customHeight="1" x14ac:dyDescent="0.35">
      <c r="A478" t="s">
        <v>1016</v>
      </c>
      <c r="B478" t="s">
        <v>1017</v>
      </c>
      <c r="C478" t="s">
        <v>57</v>
      </c>
      <c r="D478" t="s">
        <v>56</v>
      </c>
      <c r="E478" s="2">
        <v>240243.54</v>
      </c>
      <c r="F478" s="2"/>
      <c r="G478" s="2"/>
      <c r="H478" s="4" t="str">
        <f t="shared" si="14"/>
        <v/>
      </c>
      <c r="I478" s="6" t="str">
        <f t="shared" si="15"/>
        <v/>
      </c>
    </row>
    <row r="479" spans="1:9" ht="30" customHeight="1" x14ac:dyDescent="0.35">
      <c r="A479" t="s">
        <v>1018</v>
      </c>
      <c r="B479" t="s">
        <v>1019</v>
      </c>
      <c r="C479" t="s">
        <v>51</v>
      </c>
      <c r="D479" t="s">
        <v>50</v>
      </c>
      <c r="E479" s="2">
        <v>78618.710000000006</v>
      </c>
      <c r="F479" s="2"/>
      <c r="G479" s="2"/>
      <c r="H479" s="4" t="str">
        <f t="shared" si="14"/>
        <v/>
      </c>
      <c r="I479" s="6" t="str">
        <f t="shared" si="15"/>
        <v/>
      </c>
    </row>
    <row r="480" spans="1:9" ht="30" customHeight="1" x14ac:dyDescent="0.35">
      <c r="A480" t="s">
        <v>1020</v>
      </c>
      <c r="B480" t="s">
        <v>1021</v>
      </c>
      <c r="C480" t="s">
        <v>11</v>
      </c>
      <c r="D480" t="s">
        <v>10</v>
      </c>
      <c r="E480" s="2">
        <v>35686860.880000003</v>
      </c>
      <c r="F480" s="2">
        <v>8196584.9100000001</v>
      </c>
      <c r="G480" s="2">
        <v>2317234.46</v>
      </c>
      <c r="H480" s="4">
        <f t="shared" si="14"/>
        <v>10513819.370000001</v>
      </c>
      <c r="I480" s="6">
        <f t="shared" si="15"/>
        <v>3.3942813381242254</v>
      </c>
    </row>
    <row r="481" spans="1:9" ht="30" customHeight="1" x14ac:dyDescent="0.35">
      <c r="A481" t="s">
        <v>1022</v>
      </c>
      <c r="B481" t="s">
        <v>1023</v>
      </c>
      <c r="C481" t="s">
        <v>77</v>
      </c>
      <c r="D481" t="s">
        <v>76</v>
      </c>
      <c r="E481" s="2">
        <v>67204.929999999993</v>
      </c>
      <c r="F481" s="2"/>
      <c r="G481" s="2"/>
      <c r="H481" s="4" t="str">
        <f t="shared" si="14"/>
        <v/>
      </c>
      <c r="I481" s="6" t="str">
        <f t="shared" si="15"/>
        <v/>
      </c>
    </row>
    <row r="482" spans="1:9" ht="30" customHeight="1" x14ac:dyDescent="0.35">
      <c r="A482" t="s">
        <v>1024</v>
      </c>
      <c r="B482" t="s">
        <v>1025</v>
      </c>
      <c r="C482" t="s">
        <v>19</v>
      </c>
      <c r="D482" t="s">
        <v>18</v>
      </c>
      <c r="E482" s="2">
        <v>92741.11</v>
      </c>
      <c r="F482" s="2"/>
      <c r="G482" s="2"/>
      <c r="H482" s="4" t="str">
        <f t="shared" si="14"/>
        <v/>
      </c>
      <c r="I482" s="6" t="str">
        <f t="shared" si="15"/>
        <v/>
      </c>
    </row>
    <row r="483" spans="1:9" ht="30" customHeight="1" x14ac:dyDescent="0.35">
      <c r="A483" t="s">
        <v>1026</v>
      </c>
      <c r="B483" t="s">
        <v>1027</v>
      </c>
      <c r="C483" t="s">
        <v>57</v>
      </c>
      <c r="D483" t="s">
        <v>56</v>
      </c>
      <c r="E483" s="2">
        <v>208388.96</v>
      </c>
      <c r="F483" s="2"/>
      <c r="G483" s="2"/>
      <c r="H483" s="4" t="str">
        <f t="shared" si="14"/>
        <v/>
      </c>
      <c r="I483" s="6" t="str">
        <f t="shared" si="15"/>
        <v/>
      </c>
    </row>
    <row r="484" spans="1:9" ht="30" customHeight="1" x14ac:dyDescent="0.35">
      <c r="A484" t="s">
        <v>1028</v>
      </c>
      <c r="B484" t="s">
        <v>1029</v>
      </c>
      <c r="C484" t="s">
        <v>19</v>
      </c>
      <c r="D484" t="s">
        <v>18</v>
      </c>
      <c r="E484" s="2">
        <v>465652.43</v>
      </c>
      <c r="F484" s="2">
        <v>0</v>
      </c>
      <c r="G484" s="2">
        <v>1000</v>
      </c>
      <c r="H484" s="4">
        <f t="shared" si="14"/>
        <v>1000</v>
      </c>
      <c r="I484" s="6">
        <f t="shared" si="15"/>
        <v>465.65242999999998</v>
      </c>
    </row>
    <row r="485" spans="1:9" ht="30" customHeight="1" x14ac:dyDescent="0.35">
      <c r="A485" t="s">
        <v>1030</v>
      </c>
      <c r="B485" t="s">
        <v>1031</v>
      </c>
      <c r="C485" t="s">
        <v>57</v>
      </c>
      <c r="D485" t="s">
        <v>56</v>
      </c>
      <c r="E485" s="2">
        <v>2702.51</v>
      </c>
      <c r="F485" s="2"/>
      <c r="G485" s="2"/>
      <c r="H485" s="4" t="str">
        <f t="shared" si="14"/>
        <v/>
      </c>
      <c r="I485" s="6" t="str">
        <f t="shared" si="15"/>
        <v/>
      </c>
    </row>
    <row r="486" spans="1:9" ht="30" customHeight="1" x14ac:dyDescent="0.35">
      <c r="A486" t="s">
        <v>1032</v>
      </c>
      <c r="B486" t="s">
        <v>1033</v>
      </c>
      <c r="C486" t="s">
        <v>109</v>
      </c>
      <c r="D486" t="s">
        <v>108</v>
      </c>
      <c r="E486" s="2">
        <v>96776.86</v>
      </c>
      <c r="F486" s="2"/>
      <c r="G486" s="2"/>
      <c r="H486" s="4" t="str">
        <f t="shared" si="14"/>
        <v/>
      </c>
      <c r="I486" s="6" t="str">
        <f t="shared" si="15"/>
        <v/>
      </c>
    </row>
    <row r="487" spans="1:9" ht="30" customHeight="1" x14ac:dyDescent="0.35">
      <c r="A487" t="s">
        <v>1034</v>
      </c>
      <c r="B487" t="s">
        <v>1035</v>
      </c>
      <c r="C487" t="s">
        <v>19</v>
      </c>
      <c r="D487" t="s">
        <v>18</v>
      </c>
      <c r="E487" s="2">
        <v>46002.39</v>
      </c>
      <c r="F487" s="2"/>
      <c r="G487" s="2"/>
      <c r="H487" s="4" t="str">
        <f t="shared" si="14"/>
        <v/>
      </c>
      <c r="I487" s="6" t="str">
        <f t="shared" si="15"/>
        <v/>
      </c>
    </row>
    <row r="488" spans="1:9" ht="30" customHeight="1" x14ac:dyDescent="0.35">
      <c r="A488" t="s">
        <v>1036</v>
      </c>
      <c r="B488" t="s">
        <v>1037</v>
      </c>
      <c r="C488" t="s">
        <v>77</v>
      </c>
      <c r="D488" t="s">
        <v>76</v>
      </c>
      <c r="E488" s="2">
        <v>217206.19</v>
      </c>
      <c r="F488" s="2"/>
      <c r="G488" s="2"/>
      <c r="H488" s="4" t="str">
        <f t="shared" si="14"/>
        <v/>
      </c>
      <c r="I488" s="6" t="str">
        <f t="shared" si="15"/>
        <v/>
      </c>
    </row>
    <row r="489" spans="1:9" ht="30" customHeight="1" x14ac:dyDescent="0.35">
      <c r="A489" t="s">
        <v>1038</v>
      </c>
      <c r="B489" t="s">
        <v>1039</v>
      </c>
      <c r="C489" t="s">
        <v>67</v>
      </c>
      <c r="D489" t="s">
        <v>66</v>
      </c>
      <c r="E489" s="2">
        <v>131754.32</v>
      </c>
      <c r="F489" s="2"/>
      <c r="G489" s="2"/>
      <c r="H489" s="4" t="str">
        <f t="shared" si="14"/>
        <v/>
      </c>
      <c r="I489" s="6" t="str">
        <f t="shared" si="15"/>
        <v/>
      </c>
    </row>
    <row r="490" spans="1:9" ht="30" customHeight="1" x14ac:dyDescent="0.35">
      <c r="A490" t="s">
        <v>1040</v>
      </c>
      <c r="B490" t="s">
        <v>1041</v>
      </c>
      <c r="C490" t="s">
        <v>385</v>
      </c>
      <c r="D490" t="s">
        <v>384</v>
      </c>
      <c r="E490" s="2">
        <v>143338.18</v>
      </c>
      <c r="F490" s="2">
        <v>35711.089999999997</v>
      </c>
      <c r="G490" s="2">
        <v>11432.91</v>
      </c>
      <c r="H490" s="4">
        <f t="shared" si="14"/>
        <v>47144</v>
      </c>
      <c r="I490" s="6">
        <f t="shared" si="15"/>
        <v>3.0404331410147631</v>
      </c>
    </row>
    <row r="491" spans="1:9" ht="30" customHeight="1" x14ac:dyDescent="0.35">
      <c r="A491" t="s">
        <v>1042</v>
      </c>
      <c r="B491" t="s">
        <v>1043</v>
      </c>
      <c r="C491" t="s">
        <v>41</v>
      </c>
      <c r="D491" t="s">
        <v>40</v>
      </c>
      <c r="E491" s="2">
        <v>4101.8</v>
      </c>
      <c r="F491" s="2"/>
      <c r="G491" s="2"/>
      <c r="H491" s="4" t="str">
        <f t="shared" si="14"/>
        <v/>
      </c>
      <c r="I491" s="6" t="str">
        <f t="shared" si="15"/>
        <v/>
      </c>
    </row>
    <row r="492" spans="1:9" ht="30" customHeight="1" x14ac:dyDescent="0.35">
      <c r="A492" t="s">
        <v>1044</v>
      </c>
      <c r="B492" t="s">
        <v>1045</v>
      </c>
      <c r="C492" t="s">
        <v>19</v>
      </c>
      <c r="D492" t="s">
        <v>18</v>
      </c>
      <c r="E492" s="2">
        <v>66384.5</v>
      </c>
      <c r="F492" s="2"/>
      <c r="G492" s="2"/>
      <c r="H492" s="4" t="str">
        <f t="shared" si="14"/>
        <v/>
      </c>
      <c r="I492" s="6" t="str">
        <f t="shared" si="15"/>
        <v/>
      </c>
    </row>
    <row r="493" spans="1:9" ht="30" customHeight="1" x14ac:dyDescent="0.35">
      <c r="A493" t="s">
        <v>1046</v>
      </c>
      <c r="B493" t="s">
        <v>1047</v>
      </c>
      <c r="C493" t="s">
        <v>51</v>
      </c>
      <c r="D493" t="s">
        <v>50</v>
      </c>
      <c r="E493" s="2">
        <v>120224.23</v>
      </c>
      <c r="F493" s="2"/>
      <c r="G493" s="2"/>
      <c r="H493" s="4" t="str">
        <f t="shared" si="14"/>
        <v/>
      </c>
      <c r="I493" s="6" t="str">
        <f t="shared" si="15"/>
        <v/>
      </c>
    </row>
    <row r="494" spans="1:9" ht="30" customHeight="1" x14ac:dyDescent="0.35">
      <c r="A494" t="s">
        <v>1048</v>
      </c>
      <c r="B494" t="s">
        <v>1049</v>
      </c>
      <c r="C494" t="s">
        <v>15</v>
      </c>
      <c r="D494" t="s">
        <v>14</v>
      </c>
      <c r="E494" s="2">
        <v>462819.87</v>
      </c>
      <c r="F494" s="2">
        <v>5565892.2400000002</v>
      </c>
      <c r="G494" s="2"/>
      <c r="H494" s="4">
        <f t="shared" si="14"/>
        <v>5565892.2400000002</v>
      </c>
      <c r="I494" s="6">
        <f t="shared" si="15"/>
        <v>8.3152862118652873E-2</v>
      </c>
    </row>
    <row r="495" spans="1:9" ht="30" customHeight="1" x14ac:dyDescent="0.35">
      <c r="A495" t="s">
        <v>1050</v>
      </c>
      <c r="B495" t="s">
        <v>1051</v>
      </c>
      <c r="C495" t="s">
        <v>51</v>
      </c>
      <c r="D495" t="s">
        <v>50</v>
      </c>
      <c r="E495" s="2">
        <v>32426.68</v>
      </c>
      <c r="F495" s="2"/>
      <c r="G495" s="2"/>
      <c r="H495" s="4" t="str">
        <f t="shared" si="14"/>
        <v/>
      </c>
      <c r="I495" s="6" t="str">
        <f t="shared" si="15"/>
        <v/>
      </c>
    </row>
    <row r="496" spans="1:9" ht="30" customHeight="1" x14ac:dyDescent="0.35">
      <c r="A496" t="s">
        <v>1052</v>
      </c>
      <c r="B496" t="s">
        <v>1053</v>
      </c>
      <c r="C496" t="s">
        <v>33</v>
      </c>
      <c r="D496" t="s">
        <v>32</v>
      </c>
      <c r="E496" s="2">
        <v>4263231.03</v>
      </c>
      <c r="F496" s="2"/>
      <c r="G496" s="2"/>
      <c r="H496" s="4" t="str">
        <f t="shared" si="14"/>
        <v/>
      </c>
      <c r="I496" s="6" t="str">
        <f t="shared" si="15"/>
        <v/>
      </c>
    </row>
    <row r="497" spans="1:9" ht="30" customHeight="1" x14ac:dyDescent="0.35">
      <c r="A497" t="s">
        <v>1054</v>
      </c>
      <c r="B497" t="s">
        <v>1055</v>
      </c>
      <c r="C497" t="s">
        <v>51</v>
      </c>
      <c r="D497" t="s">
        <v>50</v>
      </c>
      <c r="E497" s="2">
        <v>90980.01</v>
      </c>
      <c r="F497" s="2"/>
      <c r="G497" s="2"/>
      <c r="H497" s="4" t="str">
        <f t="shared" si="14"/>
        <v/>
      </c>
      <c r="I497" s="6" t="str">
        <f t="shared" si="15"/>
        <v/>
      </c>
    </row>
    <row r="498" spans="1:9" ht="30" customHeight="1" x14ac:dyDescent="0.35">
      <c r="A498" t="s">
        <v>1056</v>
      </c>
      <c r="B498" t="s">
        <v>1057</v>
      </c>
      <c r="C498" t="s">
        <v>77</v>
      </c>
      <c r="D498" t="s">
        <v>76</v>
      </c>
      <c r="E498" s="2">
        <v>41373.75</v>
      </c>
      <c r="F498" s="2"/>
      <c r="G498" s="2"/>
      <c r="H498" s="4" t="str">
        <f t="shared" si="14"/>
        <v/>
      </c>
      <c r="I498" s="6" t="str">
        <f t="shared" si="15"/>
        <v/>
      </c>
    </row>
    <row r="499" spans="1:9" ht="30" customHeight="1" x14ac:dyDescent="0.35">
      <c r="A499" t="s">
        <v>1058</v>
      </c>
      <c r="B499" t="s">
        <v>1059</v>
      </c>
      <c r="C499" t="s">
        <v>77</v>
      </c>
      <c r="D499" t="s">
        <v>76</v>
      </c>
      <c r="E499" s="2">
        <v>133997.49</v>
      </c>
      <c r="F499" s="2"/>
      <c r="G499" s="2"/>
      <c r="H499" s="4" t="str">
        <f t="shared" si="14"/>
        <v/>
      </c>
      <c r="I499" s="6" t="str">
        <f t="shared" si="15"/>
        <v/>
      </c>
    </row>
    <row r="500" spans="1:9" ht="30" customHeight="1" x14ac:dyDescent="0.35">
      <c r="A500" t="s">
        <v>1060</v>
      </c>
      <c r="B500" t="s">
        <v>1061</v>
      </c>
      <c r="C500" t="s">
        <v>15</v>
      </c>
      <c r="D500" t="s">
        <v>14</v>
      </c>
      <c r="E500" s="2">
        <v>262993.59999999998</v>
      </c>
      <c r="F500" s="2">
        <v>831318.94</v>
      </c>
      <c r="G500" s="2">
        <v>4775879.53</v>
      </c>
      <c r="H500" s="4">
        <f t="shared" si="14"/>
        <v>5607198.4700000007</v>
      </c>
      <c r="I500" s="6">
        <f t="shared" si="15"/>
        <v>4.6902852004808732E-2</v>
      </c>
    </row>
    <row r="501" spans="1:9" ht="30" customHeight="1" x14ac:dyDescent="0.35">
      <c r="A501" t="s">
        <v>1062</v>
      </c>
      <c r="B501" t="s">
        <v>1063</v>
      </c>
      <c r="C501" t="s">
        <v>51</v>
      </c>
      <c r="D501" t="s">
        <v>50</v>
      </c>
      <c r="E501" s="2">
        <v>257408.76</v>
      </c>
      <c r="F501" s="2"/>
      <c r="G501" s="2"/>
      <c r="H501" s="4" t="str">
        <f t="shared" si="14"/>
        <v/>
      </c>
      <c r="I501" s="6" t="str">
        <f t="shared" si="15"/>
        <v/>
      </c>
    </row>
    <row r="502" spans="1:9" ht="30" customHeight="1" x14ac:dyDescent="0.35">
      <c r="A502" t="s">
        <v>1064</v>
      </c>
      <c r="B502" t="s">
        <v>1065</v>
      </c>
      <c r="C502" t="s">
        <v>19</v>
      </c>
      <c r="D502" t="s">
        <v>18</v>
      </c>
      <c r="E502" s="2">
        <v>206140.88</v>
      </c>
      <c r="F502" s="2"/>
      <c r="G502" s="2"/>
      <c r="H502" s="4" t="str">
        <f t="shared" si="14"/>
        <v/>
      </c>
      <c r="I502" s="6" t="str">
        <f t="shared" si="15"/>
        <v/>
      </c>
    </row>
    <row r="503" spans="1:9" ht="30" customHeight="1" x14ac:dyDescent="0.35">
      <c r="A503" t="s">
        <v>1066</v>
      </c>
      <c r="B503" t="s">
        <v>1067</v>
      </c>
      <c r="C503" t="s">
        <v>487</v>
      </c>
      <c r="D503" t="s">
        <v>486</v>
      </c>
      <c r="E503" s="2">
        <v>72386.36</v>
      </c>
      <c r="F503" s="2">
        <v>2617362.25</v>
      </c>
      <c r="G503" s="2">
        <v>1009771.97</v>
      </c>
      <c r="H503" s="4">
        <f t="shared" si="14"/>
        <v>3627134.2199999997</v>
      </c>
      <c r="I503" s="6">
        <f t="shared" si="15"/>
        <v>1.9956901401900699E-2</v>
      </c>
    </row>
    <row r="504" spans="1:9" ht="30" customHeight="1" x14ac:dyDescent="0.35">
      <c r="A504" t="s">
        <v>1068</v>
      </c>
      <c r="B504" t="s">
        <v>1069</v>
      </c>
      <c r="C504" t="s">
        <v>51</v>
      </c>
      <c r="D504" t="s">
        <v>50</v>
      </c>
      <c r="E504" s="2">
        <v>91988.58</v>
      </c>
      <c r="F504" s="2"/>
      <c r="G504" s="2"/>
      <c r="H504" s="4" t="str">
        <f t="shared" si="14"/>
        <v/>
      </c>
      <c r="I504" s="6" t="str">
        <f t="shared" si="15"/>
        <v/>
      </c>
    </row>
    <row r="505" spans="1:9" ht="30" customHeight="1" x14ac:dyDescent="0.35">
      <c r="A505" t="s">
        <v>1070</v>
      </c>
      <c r="B505" t="s">
        <v>1071</v>
      </c>
      <c r="C505" t="s">
        <v>109</v>
      </c>
      <c r="D505" t="s">
        <v>108</v>
      </c>
      <c r="E505" s="2">
        <v>1417841.55</v>
      </c>
      <c r="F505" s="2"/>
      <c r="G505" s="2"/>
      <c r="H505" s="4" t="str">
        <f t="shared" si="14"/>
        <v/>
      </c>
      <c r="I505" s="6" t="str">
        <f t="shared" si="15"/>
        <v/>
      </c>
    </row>
    <row r="506" spans="1:9" ht="30" customHeight="1" x14ac:dyDescent="0.35">
      <c r="A506" t="s">
        <v>1072</v>
      </c>
      <c r="B506" t="s">
        <v>1073</v>
      </c>
      <c r="C506" t="s">
        <v>313</v>
      </c>
      <c r="D506" t="s">
        <v>312</v>
      </c>
      <c r="E506" s="2">
        <v>4646.37</v>
      </c>
      <c r="F506" s="2">
        <v>34778.57</v>
      </c>
      <c r="G506" s="2">
        <v>221.43</v>
      </c>
      <c r="H506" s="4">
        <f t="shared" si="14"/>
        <v>35000</v>
      </c>
      <c r="I506" s="6">
        <f t="shared" si="15"/>
        <v>0.13275342857142858</v>
      </c>
    </row>
    <row r="507" spans="1:9" ht="30" customHeight="1" x14ac:dyDescent="0.35">
      <c r="A507" t="s">
        <v>1074</v>
      </c>
      <c r="B507" t="s">
        <v>1075</v>
      </c>
      <c r="C507" t="s">
        <v>109</v>
      </c>
      <c r="D507" t="s">
        <v>108</v>
      </c>
      <c r="E507" s="2">
        <v>307537.24</v>
      </c>
      <c r="F507" s="2"/>
      <c r="G507" s="2"/>
      <c r="H507" s="4" t="str">
        <f t="shared" ref="H507:H568" si="16">IF(ISBLANK(F507),"",(F507+G507))</f>
        <v/>
      </c>
      <c r="I507" s="6" t="str">
        <f t="shared" ref="I507:I568" si="17">IF(ISBLANK(F507), "", E507/H507)</f>
        <v/>
      </c>
    </row>
    <row r="508" spans="1:9" ht="30" customHeight="1" x14ac:dyDescent="0.35">
      <c r="A508" t="s">
        <v>1076</v>
      </c>
      <c r="B508" t="s">
        <v>1077</v>
      </c>
      <c r="C508" t="s">
        <v>259</v>
      </c>
      <c r="D508" t="s">
        <v>258</v>
      </c>
      <c r="E508" s="2">
        <v>1566106.22</v>
      </c>
      <c r="F508" s="2">
        <v>1165236</v>
      </c>
      <c r="G508" s="2">
        <v>91478.43</v>
      </c>
      <c r="H508" s="4">
        <f t="shared" si="16"/>
        <v>1256714.43</v>
      </c>
      <c r="I508" s="6">
        <f t="shared" si="17"/>
        <v>1.2461910061779111</v>
      </c>
    </row>
    <row r="509" spans="1:9" ht="30" customHeight="1" x14ac:dyDescent="0.35">
      <c r="A509" t="s">
        <v>1078</v>
      </c>
      <c r="B509" t="s">
        <v>1079</v>
      </c>
      <c r="C509" t="s">
        <v>57</v>
      </c>
      <c r="D509" t="s">
        <v>56</v>
      </c>
      <c r="E509" s="2">
        <v>367894.46</v>
      </c>
      <c r="F509" s="2"/>
      <c r="G509" s="2"/>
      <c r="H509" s="4" t="str">
        <f t="shared" si="16"/>
        <v/>
      </c>
      <c r="I509" s="6" t="str">
        <f t="shared" si="17"/>
        <v/>
      </c>
    </row>
    <row r="510" spans="1:9" ht="30" customHeight="1" x14ac:dyDescent="0.35">
      <c r="A510" t="s">
        <v>1080</v>
      </c>
      <c r="B510" t="s">
        <v>1081</v>
      </c>
      <c r="C510" t="s">
        <v>29</v>
      </c>
      <c r="D510" t="s">
        <v>28</v>
      </c>
      <c r="E510" s="2">
        <v>7849.37</v>
      </c>
      <c r="F510" s="2"/>
      <c r="G510" s="2"/>
      <c r="H510" s="4" t="str">
        <f t="shared" si="16"/>
        <v/>
      </c>
      <c r="I510" s="6" t="str">
        <f t="shared" si="17"/>
        <v/>
      </c>
    </row>
    <row r="511" spans="1:9" ht="30" customHeight="1" x14ac:dyDescent="0.35">
      <c r="A511" t="s">
        <v>1082</v>
      </c>
      <c r="B511" t="s">
        <v>1083</v>
      </c>
      <c r="C511" t="s">
        <v>213</v>
      </c>
      <c r="D511" t="s">
        <v>212</v>
      </c>
      <c r="E511" s="2">
        <v>79.39</v>
      </c>
      <c r="F511" s="2">
        <v>103701.94</v>
      </c>
      <c r="G511" s="2"/>
      <c r="H511" s="4">
        <f t="shared" si="16"/>
        <v>103701.94</v>
      </c>
      <c r="I511" s="6">
        <f t="shared" si="17"/>
        <v>7.6555944855033573E-4</v>
      </c>
    </row>
    <row r="512" spans="1:9" ht="30" customHeight="1" x14ac:dyDescent="0.35">
      <c r="A512" t="s">
        <v>1084</v>
      </c>
      <c r="B512" t="s">
        <v>1085</v>
      </c>
      <c r="C512" t="s">
        <v>19</v>
      </c>
      <c r="D512" t="s">
        <v>18</v>
      </c>
      <c r="E512" s="2">
        <v>223512.23</v>
      </c>
      <c r="F512" s="2"/>
      <c r="G512" s="2"/>
      <c r="H512" s="4" t="str">
        <f t="shared" si="16"/>
        <v/>
      </c>
      <c r="I512" s="6" t="str">
        <f t="shared" si="17"/>
        <v/>
      </c>
    </row>
    <row r="513" spans="1:9" ht="30" customHeight="1" x14ac:dyDescent="0.35">
      <c r="A513" t="s">
        <v>1086</v>
      </c>
      <c r="B513" t="s">
        <v>1087</v>
      </c>
      <c r="C513" t="s">
        <v>33</v>
      </c>
      <c r="D513" t="s">
        <v>32</v>
      </c>
      <c r="E513" s="2">
        <v>5912.97</v>
      </c>
      <c r="F513" s="2"/>
      <c r="G513" s="2"/>
      <c r="H513" s="4" t="str">
        <f t="shared" si="16"/>
        <v/>
      </c>
      <c r="I513" s="6" t="str">
        <f t="shared" si="17"/>
        <v/>
      </c>
    </row>
    <row r="514" spans="1:9" ht="30" customHeight="1" x14ac:dyDescent="0.35">
      <c r="A514" t="s">
        <v>1088</v>
      </c>
      <c r="B514" t="s">
        <v>1089</v>
      </c>
      <c r="C514" t="s">
        <v>57</v>
      </c>
      <c r="D514" t="s">
        <v>56</v>
      </c>
      <c r="E514" s="2">
        <v>93591.86</v>
      </c>
      <c r="F514" s="2"/>
      <c r="G514" s="2"/>
      <c r="H514" s="4" t="str">
        <f t="shared" si="16"/>
        <v/>
      </c>
      <c r="I514" s="6" t="str">
        <f t="shared" si="17"/>
        <v/>
      </c>
    </row>
    <row r="515" spans="1:9" ht="30" customHeight="1" x14ac:dyDescent="0.35">
      <c r="A515" t="s">
        <v>1090</v>
      </c>
      <c r="B515" t="s">
        <v>1091</v>
      </c>
      <c r="C515" t="s">
        <v>465</v>
      </c>
      <c r="D515" t="s">
        <v>464</v>
      </c>
      <c r="E515" s="2">
        <v>5228406.25</v>
      </c>
      <c r="F515" s="2">
        <v>5689982.1100000003</v>
      </c>
      <c r="G515" s="2">
        <v>4000000</v>
      </c>
      <c r="H515" s="4">
        <f t="shared" si="16"/>
        <v>9689982.1099999994</v>
      </c>
      <c r="I515" s="6">
        <f t="shared" si="17"/>
        <v>0.53956820463108168</v>
      </c>
    </row>
    <row r="516" spans="1:9" ht="30" customHeight="1" x14ac:dyDescent="0.35">
      <c r="A516" t="s">
        <v>1092</v>
      </c>
      <c r="B516" t="s">
        <v>1093</v>
      </c>
      <c r="C516" t="s">
        <v>19</v>
      </c>
      <c r="D516" t="s">
        <v>18</v>
      </c>
      <c r="E516" s="2">
        <v>262693.11</v>
      </c>
      <c r="F516" s="2">
        <v>292396.40000000002</v>
      </c>
      <c r="G516" s="2"/>
      <c r="H516" s="4">
        <f t="shared" si="16"/>
        <v>292396.40000000002</v>
      </c>
      <c r="I516" s="6">
        <f t="shared" si="17"/>
        <v>0.89841431016250528</v>
      </c>
    </row>
    <row r="517" spans="1:9" ht="30" customHeight="1" x14ac:dyDescent="0.35">
      <c r="A517" t="s">
        <v>1094</v>
      </c>
      <c r="B517" t="s">
        <v>1095</v>
      </c>
      <c r="C517" t="s">
        <v>19</v>
      </c>
      <c r="D517" t="s">
        <v>18</v>
      </c>
      <c r="E517" s="2">
        <v>113646.33</v>
      </c>
      <c r="F517" s="2"/>
      <c r="G517" s="2"/>
      <c r="H517" s="4" t="str">
        <f t="shared" si="16"/>
        <v/>
      </c>
      <c r="I517" s="6" t="str">
        <f t="shared" si="17"/>
        <v/>
      </c>
    </row>
    <row r="518" spans="1:9" ht="30" customHeight="1" x14ac:dyDescent="0.35">
      <c r="A518" t="s">
        <v>1096</v>
      </c>
      <c r="B518" t="s">
        <v>1097</v>
      </c>
      <c r="C518" t="s">
        <v>19</v>
      </c>
      <c r="D518" t="s">
        <v>18</v>
      </c>
      <c r="E518" s="2">
        <v>148059.51999999999</v>
      </c>
      <c r="F518" s="2"/>
      <c r="G518" s="2"/>
      <c r="H518" s="4" t="str">
        <f t="shared" si="16"/>
        <v/>
      </c>
      <c r="I518" s="6" t="str">
        <f t="shared" si="17"/>
        <v/>
      </c>
    </row>
    <row r="519" spans="1:9" ht="30" customHeight="1" x14ac:dyDescent="0.35">
      <c r="A519" t="s">
        <v>1098</v>
      </c>
      <c r="B519" t="s">
        <v>1099</v>
      </c>
      <c r="C519" t="s">
        <v>465</v>
      </c>
      <c r="D519" t="s">
        <v>464</v>
      </c>
      <c r="E519" s="2">
        <v>604224.65</v>
      </c>
      <c r="F519" s="2">
        <v>7474511.8700000001</v>
      </c>
      <c r="G519" s="2">
        <v>2494735</v>
      </c>
      <c r="H519" s="4">
        <f t="shared" si="16"/>
        <v>9969246.870000001</v>
      </c>
      <c r="I519" s="6">
        <f t="shared" si="17"/>
        <v>6.0608856203397433E-2</v>
      </c>
    </row>
    <row r="520" spans="1:9" ht="30" customHeight="1" x14ac:dyDescent="0.35">
      <c r="A520" t="s">
        <v>1100</v>
      </c>
      <c r="B520" t="s">
        <v>1101</v>
      </c>
      <c r="C520" t="s">
        <v>109</v>
      </c>
      <c r="D520" t="s">
        <v>108</v>
      </c>
      <c r="E520" s="2">
        <v>425712.14</v>
      </c>
      <c r="F520" s="2"/>
      <c r="G520" s="2"/>
      <c r="H520" s="4" t="str">
        <f t="shared" si="16"/>
        <v/>
      </c>
      <c r="I520" s="6" t="str">
        <f t="shared" si="17"/>
        <v/>
      </c>
    </row>
    <row r="521" spans="1:9" ht="30" customHeight="1" x14ac:dyDescent="0.35">
      <c r="A521" t="s">
        <v>1102</v>
      </c>
      <c r="B521" t="s">
        <v>1103</v>
      </c>
      <c r="C521" t="s">
        <v>57</v>
      </c>
      <c r="D521" t="s">
        <v>56</v>
      </c>
      <c r="E521" s="2">
        <v>217450.82</v>
      </c>
      <c r="F521" s="2"/>
      <c r="G521" s="2"/>
      <c r="H521" s="4" t="str">
        <f t="shared" si="16"/>
        <v/>
      </c>
      <c r="I521" s="6" t="str">
        <f t="shared" si="17"/>
        <v/>
      </c>
    </row>
    <row r="522" spans="1:9" ht="30" customHeight="1" x14ac:dyDescent="0.35">
      <c r="A522" t="s">
        <v>1104</v>
      </c>
      <c r="B522" t="s">
        <v>1105</v>
      </c>
      <c r="C522" t="s">
        <v>67</v>
      </c>
      <c r="D522" t="s">
        <v>66</v>
      </c>
      <c r="E522" s="2">
        <v>377904.61</v>
      </c>
      <c r="F522" s="2"/>
      <c r="G522" s="2"/>
      <c r="H522" s="4" t="str">
        <f t="shared" si="16"/>
        <v/>
      </c>
      <c r="I522" s="6" t="str">
        <f t="shared" si="17"/>
        <v/>
      </c>
    </row>
    <row r="523" spans="1:9" ht="30" customHeight="1" x14ac:dyDescent="0.35">
      <c r="A523" t="s">
        <v>1106</v>
      </c>
      <c r="B523" t="s">
        <v>1107</v>
      </c>
      <c r="C523" t="s">
        <v>77</v>
      </c>
      <c r="D523" t="s">
        <v>76</v>
      </c>
      <c r="E523" s="2">
        <v>59686.87</v>
      </c>
      <c r="F523" s="2"/>
      <c r="G523" s="2"/>
      <c r="H523" s="4" t="str">
        <f t="shared" si="16"/>
        <v/>
      </c>
      <c r="I523" s="6" t="str">
        <f t="shared" si="17"/>
        <v/>
      </c>
    </row>
    <row r="524" spans="1:9" ht="30" customHeight="1" x14ac:dyDescent="0.35">
      <c r="A524" t="s">
        <v>1108</v>
      </c>
      <c r="B524" t="s">
        <v>1109</v>
      </c>
      <c r="C524" t="s">
        <v>77</v>
      </c>
      <c r="D524" t="s">
        <v>76</v>
      </c>
      <c r="E524" s="2">
        <v>198203.4</v>
      </c>
      <c r="F524" s="2"/>
      <c r="G524" s="2"/>
      <c r="H524" s="4" t="str">
        <f t="shared" si="16"/>
        <v/>
      </c>
      <c r="I524" s="6" t="str">
        <f t="shared" si="17"/>
        <v/>
      </c>
    </row>
    <row r="525" spans="1:9" ht="30" customHeight="1" x14ac:dyDescent="0.35">
      <c r="A525" t="s">
        <v>1110</v>
      </c>
      <c r="B525" t="s">
        <v>1111</v>
      </c>
      <c r="C525" t="s">
        <v>51</v>
      </c>
      <c r="D525" t="s">
        <v>50</v>
      </c>
      <c r="E525" s="2">
        <v>385173.31</v>
      </c>
      <c r="F525" s="2"/>
      <c r="G525" s="2"/>
      <c r="H525" s="4" t="str">
        <f t="shared" si="16"/>
        <v/>
      </c>
      <c r="I525" s="6" t="str">
        <f t="shared" si="17"/>
        <v/>
      </c>
    </row>
    <row r="526" spans="1:9" ht="30" customHeight="1" x14ac:dyDescent="0.35">
      <c r="A526" t="s">
        <v>1112</v>
      </c>
      <c r="B526" t="s">
        <v>1113</v>
      </c>
      <c r="C526" t="s">
        <v>51</v>
      </c>
      <c r="D526" t="s">
        <v>50</v>
      </c>
      <c r="E526" s="2">
        <v>30352.400000000001</v>
      </c>
      <c r="F526" s="2"/>
      <c r="G526" s="2"/>
      <c r="H526" s="4" t="str">
        <f t="shared" si="16"/>
        <v/>
      </c>
      <c r="I526" s="6" t="str">
        <f t="shared" si="17"/>
        <v/>
      </c>
    </row>
    <row r="527" spans="1:9" ht="30" customHeight="1" x14ac:dyDescent="0.35">
      <c r="A527" t="s">
        <v>1114</v>
      </c>
      <c r="B527" t="s">
        <v>1115</v>
      </c>
      <c r="C527" t="s">
        <v>67</v>
      </c>
      <c r="D527" t="s">
        <v>66</v>
      </c>
      <c r="E527" s="2">
        <v>33393.07</v>
      </c>
      <c r="F527" s="2"/>
      <c r="G527" s="2"/>
      <c r="H527" s="4" t="str">
        <f t="shared" si="16"/>
        <v/>
      </c>
      <c r="I527" s="6" t="str">
        <f t="shared" si="17"/>
        <v/>
      </c>
    </row>
    <row r="528" spans="1:9" ht="30" customHeight="1" x14ac:dyDescent="0.35">
      <c r="A528" t="s">
        <v>1116</v>
      </c>
      <c r="B528" t="s">
        <v>1117</v>
      </c>
      <c r="C528" t="s">
        <v>259</v>
      </c>
      <c r="D528" t="s">
        <v>258</v>
      </c>
      <c r="E528" s="2">
        <v>3765</v>
      </c>
      <c r="F528" s="2">
        <v>83654.179999999993</v>
      </c>
      <c r="G528" s="2"/>
      <c r="H528" s="4">
        <f t="shared" si="16"/>
        <v>83654.179999999993</v>
      </c>
      <c r="I528" s="6">
        <f t="shared" si="17"/>
        <v>4.5006716938711257E-2</v>
      </c>
    </row>
    <row r="529" spans="1:9" ht="30" customHeight="1" x14ac:dyDescent="0.35">
      <c r="A529" t="s">
        <v>1118</v>
      </c>
      <c r="B529" t="s">
        <v>1119</v>
      </c>
      <c r="C529" t="s">
        <v>109</v>
      </c>
      <c r="D529" t="s">
        <v>108</v>
      </c>
      <c r="E529" s="2">
        <v>185695.34</v>
      </c>
      <c r="F529" s="2"/>
      <c r="G529" s="2"/>
      <c r="H529" s="4" t="str">
        <f t="shared" si="16"/>
        <v/>
      </c>
      <c r="I529" s="6" t="str">
        <f t="shared" si="17"/>
        <v/>
      </c>
    </row>
    <row r="530" spans="1:9" ht="30" customHeight="1" x14ac:dyDescent="0.35">
      <c r="A530" t="s">
        <v>1120</v>
      </c>
      <c r="B530" t="s">
        <v>1121</v>
      </c>
      <c r="C530" t="s">
        <v>465</v>
      </c>
      <c r="D530" t="s">
        <v>464</v>
      </c>
      <c r="E530" s="2">
        <v>1317402.8899999999</v>
      </c>
      <c r="F530" s="2">
        <v>721222.56</v>
      </c>
      <c r="G530" s="2">
        <v>1500000</v>
      </c>
      <c r="H530" s="4">
        <f t="shared" si="16"/>
        <v>2221222.56</v>
      </c>
      <c r="I530" s="6">
        <f t="shared" si="17"/>
        <v>0.59309810449611133</v>
      </c>
    </row>
    <row r="531" spans="1:9" ht="30" customHeight="1" x14ac:dyDescent="0.35">
      <c r="A531" t="s">
        <v>1122</v>
      </c>
      <c r="B531" t="s">
        <v>1123</v>
      </c>
      <c r="C531" t="s">
        <v>29</v>
      </c>
      <c r="D531" t="s">
        <v>28</v>
      </c>
      <c r="E531" s="2">
        <v>1047863.67</v>
      </c>
      <c r="F531" s="2"/>
      <c r="G531" s="2"/>
      <c r="H531" s="4" t="str">
        <f t="shared" si="16"/>
        <v/>
      </c>
      <c r="I531" s="6" t="str">
        <f t="shared" si="17"/>
        <v/>
      </c>
    </row>
    <row r="532" spans="1:9" ht="30" customHeight="1" x14ac:dyDescent="0.35">
      <c r="A532" t="s">
        <v>1124</v>
      </c>
      <c r="B532" t="s">
        <v>1125</v>
      </c>
      <c r="C532" t="s">
        <v>101</v>
      </c>
      <c r="D532" t="s">
        <v>100</v>
      </c>
      <c r="E532" s="2">
        <v>2119782.9300000002</v>
      </c>
      <c r="F532" s="2">
        <v>107342.43</v>
      </c>
      <c r="G532" s="2">
        <v>1573629</v>
      </c>
      <c r="H532" s="4">
        <f t="shared" si="16"/>
        <v>1680971.43</v>
      </c>
      <c r="I532" s="6">
        <f t="shared" si="17"/>
        <v>1.2610463760231787</v>
      </c>
    </row>
    <row r="533" spans="1:9" ht="30" customHeight="1" x14ac:dyDescent="0.35">
      <c r="A533" t="s">
        <v>1126</v>
      </c>
      <c r="B533" t="s">
        <v>1127</v>
      </c>
      <c r="C533" t="s">
        <v>19</v>
      </c>
      <c r="D533" t="s">
        <v>18</v>
      </c>
      <c r="E533" s="2">
        <v>35739.68</v>
      </c>
      <c r="F533" s="2">
        <v>27111.94</v>
      </c>
      <c r="G533" s="2"/>
      <c r="H533" s="4">
        <f t="shared" si="16"/>
        <v>27111.94</v>
      </c>
      <c r="I533" s="6">
        <f t="shared" si="17"/>
        <v>1.3182265820889247</v>
      </c>
    </row>
    <row r="534" spans="1:9" ht="30" customHeight="1" x14ac:dyDescent="0.35">
      <c r="A534" t="s">
        <v>1128</v>
      </c>
      <c r="B534" t="s">
        <v>1129</v>
      </c>
      <c r="C534" t="s">
        <v>19</v>
      </c>
      <c r="D534" t="s">
        <v>18</v>
      </c>
      <c r="E534" s="2">
        <v>559868</v>
      </c>
      <c r="F534" s="2"/>
      <c r="G534" s="2"/>
      <c r="H534" s="4" t="str">
        <f t="shared" si="16"/>
        <v/>
      </c>
      <c r="I534" s="6" t="str">
        <f t="shared" si="17"/>
        <v/>
      </c>
    </row>
    <row r="535" spans="1:9" ht="30" customHeight="1" x14ac:dyDescent="0.35">
      <c r="A535" t="s">
        <v>1130</v>
      </c>
      <c r="B535" t="s">
        <v>1131</v>
      </c>
      <c r="C535" t="s">
        <v>19</v>
      </c>
      <c r="D535" t="s">
        <v>18</v>
      </c>
      <c r="E535" s="2">
        <v>18515.88</v>
      </c>
      <c r="F535" s="2"/>
      <c r="G535" s="2"/>
      <c r="H535" s="4" t="str">
        <f t="shared" si="16"/>
        <v/>
      </c>
      <c r="I535" s="6" t="str">
        <f t="shared" si="17"/>
        <v/>
      </c>
    </row>
    <row r="536" spans="1:9" ht="30" customHeight="1" x14ac:dyDescent="0.35">
      <c r="A536" t="s">
        <v>1132</v>
      </c>
      <c r="B536" t="s">
        <v>1133</v>
      </c>
      <c r="C536" t="s">
        <v>19</v>
      </c>
      <c r="D536" t="s">
        <v>18</v>
      </c>
      <c r="E536" s="2">
        <v>196937.54</v>
      </c>
      <c r="F536" s="2"/>
      <c r="G536" s="2"/>
      <c r="H536" s="4" t="str">
        <f t="shared" si="16"/>
        <v/>
      </c>
      <c r="I536" s="6" t="str">
        <f t="shared" si="17"/>
        <v/>
      </c>
    </row>
    <row r="537" spans="1:9" ht="30" customHeight="1" x14ac:dyDescent="0.35">
      <c r="A537" t="s">
        <v>1134</v>
      </c>
      <c r="B537" t="s">
        <v>1135</v>
      </c>
      <c r="C537" t="s">
        <v>57</v>
      </c>
      <c r="D537" t="s">
        <v>56</v>
      </c>
      <c r="E537" s="2">
        <v>46725.48</v>
      </c>
      <c r="F537" s="2"/>
      <c r="G537" s="2"/>
      <c r="H537" s="4" t="str">
        <f t="shared" si="16"/>
        <v/>
      </c>
      <c r="I537" s="6" t="str">
        <f t="shared" si="17"/>
        <v/>
      </c>
    </row>
    <row r="538" spans="1:9" ht="30" customHeight="1" x14ac:dyDescent="0.35">
      <c r="A538" t="s">
        <v>1136</v>
      </c>
      <c r="B538" t="s">
        <v>1137</v>
      </c>
      <c r="C538" t="s">
        <v>19</v>
      </c>
      <c r="D538" t="s">
        <v>18</v>
      </c>
      <c r="E538" s="2">
        <v>76517.81</v>
      </c>
      <c r="F538" s="2"/>
      <c r="G538" s="2"/>
      <c r="H538" s="4" t="str">
        <f t="shared" si="16"/>
        <v/>
      </c>
      <c r="I538" s="6" t="str">
        <f t="shared" si="17"/>
        <v/>
      </c>
    </row>
    <row r="539" spans="1:9" ht="30" customHeight="1" x14ac:dyDescent="0.35">
      <c r="A539" t="s">
        <v>1138</v>
      </c>
      <c r="B539" t="s">
        <v>1139</v>
      </c>
      <c r="C539" t="s">
        <v>19</v>
      </c>
      <c r="D539" t="s">
        <v>18</v>
      </c>
      <c r="E539" s="2">
        <v>361798.54</v>
      </c>
      <c r="F539" s="2"/>
      <c r="G539" s="2"/>
      <c r="H539" s="4" t="str">
        <f t="shared" si="16"/>
        <v/>
      </c>
      <c r="I539" s="6" t="str">
        <f t="shared" si="17"/>
        <v/>
      </c>
    </row>
    <row r="540" spans="1:9" ht="30" customHeight="1" x14ac:dyDescent="0.35">
      <c r="A540" t="s">
        <v>1140</v>
      </c>
      <c r="B540" t="s">
        <v>1141</v>
      </c>
      <c r="C540" t="s">
        <v>259</v>
      </c>
      <c r="D540" t="s">
        <v>258</v>
      </c>
      <c r="E540" s="2">
        <v>1046.5999999999999</v>
      </c>
      <c r="F540" s="2">
        <v>1241640.29</v>
      </c>
      <c r="G540" s="2">
        <v>3057.53</v>
      </c>
      <c r="H540" s="4">
        <f t="shared" si="16"/>
        <v>1244697.82</v>
      </c>
      <c r="I540" s="6">
        <f t="shared" si="17"/>
        <v>8.4084665625910697E-4</v>
      </c>
    </row>
    <row r="541" spans="1:9" ht="30" customHeight="1" x14ac:dyDescent="0.35">
      <c r="A541" t="s">
        <v>1142</v>
      </c>
      <c r="B541" t="s">
        <v>1143</v>
      </c>
      <c r="C541" t="s">
        <v>109</v>
      </c>
      <c r="D541" t="s">
        <v>108</v>
      </c>
      <c r="E541" s="2">
        <v>68510.67</v>
      </c>
      <c r="F541" s="2"/>
      <c r="G541" s="2"/>
      <c r="H541" s="4" t="str">
        <f t="shared" si="16"/>
        <v/>
      </c>
      <c r="I541" s="6" t="str">
        <f t="shared" si="17"/>
        <v/>
      </c>
    </row>
    <row r="542" spans="1:9" ht="30" customHeight="1" x14ac:dyDescent="0.35">
      <c r="A542" t="s">
        <v>1144</v>
      </c>
      <c r="B542" t="s">
        <v>1145</v>
      </c>
      <c r="C542" t="s">
        <v>29</v>
      </c>
      <c r="D542" t="s">
        <v>28</v>
      </c>
      <c r="E542" s="2">
        <v>10536.27</v>
      </c>
      <c r="F542" s="2"/>
      <c r="G542" s="2"/>
      <c r="H542" s="4" t="str">
        <f t="shared" si="16"/>
        <v/>
      </c>
      <c r="I542" s="6" t="str">
        <f t="shared" si="17"/>
        <v/>
      </c>
    </row>
    <row r="543" spans="1:9" ht="30" customHeight="1" x14ac:dyDescent="0.35">
      <c r="A543" t="s">
        <v>1146</v>
      </c>
      <c r="B543" t="s">
        <v>1147</v>
      </c>
      <c r="C543" t="s">
        <v>51</v>
      </c>
      <c r="D543" t="s">
        <v>50</v>
      </c>
      <c r="E543" s="2">
        <v>439713.73</v>
      </c>
      <c r="F543" s="2"/>
      <c r="G543" s="2"/>
      <c r="H543" s="4" t="str">
        <f t="shared" si="16"/>
        <v/>
      </c>
      <c r="I543" s="6" t="str">
        <f t="shared" si="17"/>
        <v/>
      </c>
    </row>
    <row r="544" spans="1:9" ht="30" customHeight="1" x14ac:dyDescent="0.35">
      <c r="A544" t="s">
        <v>1148</v>
      </c>
      <c r="B544" t="s">
        <v>1149</v>
      </c>
      <c r="C544" t="s">
        <v>67</v>
      </c>
      <c r="D544" t="s">
        <v>66</v>
      </c>
      <c r="E544" s="2">
        <v>220715.69</v>
      </c>
      <c r="F544" s="2"/>
      <c r="G544" s="2"/>
      <c r="H544" s="4" t="str">
        <f t="shared" si="16"/>
        <v/>
      </c>
      <c r="I544" s="6" t="str">
        <f t="shared" si="17"/>
        <v/>
      </c>
    </row>
    <row r="545" spans="1:9" ht="30" customHeight="1" x14ac:dyDescent="0.35">
      <c r="A545" t="s">
        <v>1150</v>
      </c>
      <c r="B545" t="s">
        <v>1151</v>
      </c>
      <c r="C545" t="s">
        <v>109</v>
      </c>
      <c r="D545" t="s">
        <v>108</v>
      </c>
      <c r="E545" s="2">
        <v>93976.2</v>
      </c>
      <c r="F545" s="2"/>
      <c r="G545" s="2"/>
      <c r="H545" s="4" t="str">
        <f t="shared" si="16"/>
        <v/>
      </c>
      <c r="I545" s="6" t="str">
        <f t="shared" si="17"/>
        <v/>
      </c>
    </row>
    <row r="546" spans="1:9" ht="30" customHeight="1" x14ac:dyDescent="0.35">
      <c r="A546" t="s">
        <v>1152</v>
      </c>
      <c r="B546" t="s">
        <v>1153</v>
      </c>
      <c r="C546" t="s">
        <v>51</v>
      </c>
      <c r="D546" t="s">
        <v>50</v>
      </c>
      <c r="E546" s="2">
        <v>167032.95999999999</v>
      </c>
      <c r="F546" s="2"/>
      <c r="G546" s="2"/>
      <c r="H546" s="4" t="str">
        <f t="shared" si="16"/>
        <v/>
      </c>
      <c r="I546" s="6" t="str">
        <f t="shared" si="17"/>
        <v/>
      </c>
    </row>
    <row r="547" spans="1:9" ht="30" customHeight="1" x14ac:dyDescent="0.35">
      <c r="A547" t="s">
        <v>1154</v>
      </c>
      <c r="B547" t="s">
        <v>1155</v>
      </c>
      <c r="C547" t="s">
        <v>109</v>
      </c>
      <c r="D547" t="s">
        <v>108</v>
      </c>
      <c r="E547" s="2">
        <v>152158.72</v>
      </c>
      <c r="F547" s="2"/>
      <c r="G547" s="2"/>
      <c r="H547" s="4" t="str">
        <f t="shared" si="16"/>
        <v/>
      </c>
      <c r="I547" s="6" t="str">
        <f t="shared" si="17"/>
        <v/>
      </c>
    </row>
    <row r="548" spans="1:9" ht="30" customHeight="1" x14ac:dyDescent="0.35">
      <c r="A548" t="s">
        <v>1156</v>
      </c>
      <c r="B548" t="s">
        <v>1157</v>
      </c>
      <c r="C548" t="s">
        <v>67</v>
      </c>
      <c r="D548" t="s">
        <v>66</v>
      </c>
      <c r="E548" s="2">
        <v>12258.56</v>
      </c>
      <c r="F548" s="2"/>
      <c r="G548" s="2"/>
      <c r="H548" s="4" t="str">
        <f t="shared" si="16"/>
        <v/>
      </c>
      <c r="I548" s="6" t="str">
        <f t="shared" si="17"/>
        <v/>
      </c>
    </row>
    <row r="549" spans="1:9" ht="30" customHeight="1" x14ac:dyDescent="0.35">
      <c r="A549" t="s">
        <v>1158</v>
      </c>
      <c r="B549" t="s">
        <v>1159</v>
      </c>
      <c r="C549" t="s">
        <v>51</v>
      </c>
      <c r="D549" t="s">
        <v>50</v>
      </c>
      <c r="E549" s="2">
        <v>3647.01</v>
      </c>
      <c r="F549" s="2"/>
      <c r="G549" s="2"/>
      <c r="H549" s="4" t="str">
        <f t="shared" si="16"/>
        <v/>
      </c>
      <c r="I549" s="6" t="str">
        <f t="shared" si="17"/>
        <v/>
      </c>
    </row>
    <row r="550" spans="1:9" ht="30" customHeight="1" x14ac:dyDescent="0.35">
      <c r="A550" t="s">
        <v>1160</v>
      </c>
      <c r="B550" t="s">
        <v>1161</v>
      </c>
      <c r="C550" t="s">
        <v>465</v>
      </c>
      <c r="D550" t="s">
        <v>464</v>
      </c>
      <c r="E550" s="2">
        <v>161961.65</v>
      </c>
      <c r="F550" s="2">
        <v>1375512.94</v>
      </c>
      <c r="G550" s="2">
        <v>100000</v>
      </c>
      <c r="H550" s="4">
        <f t="shared" si="16"/>
        <v>1475512.94</v>
      </c>
      <c r="I550" s="6">
        <f t="shared" si="17"/>
        <v>0.10976633657987439</v>
      </c>
    </row>
    <row r="551" spans="1:9" ht="30" customHeight="1" x14ac:dyDescent="0.35">
      <c r="A551" t="s">
        <v>1162</v>
      </c>
      <c r="B551" t="s">
        <v>1163</v>
      </c>
      <c r="C551" t="s">
        <v>109</v>
      </c>
      <c r="D551" t="s">
        <v>108</v>
      </c>
      <c r="E551" s="2">
        <v>874942.78</v>
      </c>
      <c r="F551" s="2">
        <v>0</v>
      </c>
      <c r="G551" s="2"/>
      <c r="H551" s="4">
        <f t="shared" si="16"/>
        <v>0</v>
      </c>
      <c r="I551" s="6" t="e">
        <f t="shared" si="17"/>
        <v>#DIV/0!</v>
      </c>
    </row>
    <row r="552" spans="1:9" ht="30" customHeight="1" x14ac:dyDescent="0.35">
      <c r="A552" t="s">
        <v>1164</v>
      </c>
      <c r="B552" t="s">
        <v>1165</v>
      </c>
      <c r="C552" t="s">
        <v>51</v>
      </c>
      <c r="D552" t="s">
        <v>50</v>
      </c>
      <c r="E552" s="2">
        <v>36266.51</v>
      </c>
      <c r="F552" s="2"/>
      <c r="G552" s="2"/>
      <c r="H552" s="4" t="str">
        <f t="shared" si="16"/>
        <v/>
      </c>
      <c r="I552" s="6" t="str">
        <f t="shared" si="17"/>
        <v/>
      </c>
    </row>
    <row r="553" spans="1:9" ht="30" customHeight="1" x14ac:dyDescent="0.35">
      <c r="A553" t="s">
        <v>1166</v>
      </c>
      <c r="B553" t="s">
        <v>1167</v>
      </c>
      <c r="C553" t="s">
        <v>19</v>
      </c>
      <c r="D553" t="s">
        <v>18</v>
      </c>
      <c r="E553" s="2">
        <v>1523996.4</v>
      </c>
      <c r="F553" s="2"/>
      <c r="G553" s="2"/>
      <c r="H553" s="4" t="str">
        <f t="shared" si="16"/>
        <v/>
      </c>
      <c r="I553" s="6" t="str">
        <f t="shared" si="17"/>
        <v/>
      </c>
    </row>
    <row r="554" spans="1:9" ht="30" customHeight="1" x14ac:dyDescent="0.35">
      <c r="A554" t="s">
        <v>1168</v>
      </c>
      <c r="B554" t="s">
        <v>1169</v>
      </c>
      <c r="C554" t="s">
        <v>465</v>
      </c>
      <c r="D554" t="s">
        <v>464</v>
      </c>
      <c r="E554" s="2">
        <v>549563.07999999996</v>
      </c>
      <c r="F554" s="2">
        <v>7662249.3399999999</v>
      </c>
      <c r="G554" s="2">
        <v>533987.6</v>
      </c>
      <c r="H554" s="4">
        <f t="shared" si="16"/>
        <v>8196236.9399999995</v>
      </c>
      <c r="I554" s="6">
        <f t="shared" si="17"/>
        <v>6.7050658005989763E-2</v>
      </c>
    </row>
    <row r="555" spans="1:9" ht="30" customHeight="1" x14ac:dyDescent="0.35">
      <c r="A555" t="s">
        <v>1170</v>
      </c>
      <c r="B555" t="s">
        <v>1171</v>
      </c>
      <c r="C555" t="s">
        <v>109</v>
      </c>
      <c r="D555" t="s">
        <v>108</v>
      </c>
      <c r="E555" s="2">
        <v>21884</v>
      </c>
      <c r="F555" s="2"/>
      <c r="G555" s="2"/>
      <c r="H555" s="4" t="str">
        <f t="shared" si="16"/>
        <v/>
      </c>
      <c r="I555" s="6" t="str">
        <f t="shared" si="17"/>
        <v/>
      </c>
    </row>
    <row r="556" spans="1:9" ht="30" customHeight="1" x14ac:dyDescent="0.35">
      <c r="A556" t="s">
        <v>312</v>
      </c>
      <c r="B556" t="s">
        <v>1172</v>
      </c>
      <c r="C556" t="s">
        <v>77</v>
      </c>
      <c r="D556" t="s">
        <v>76</v>
      </c>
      <c r="E556" s="2">
        <v>1819570.62</v>
      </c>
      <c r="F556" s="2"/>
      <c r="G556" s="2"/>
      <c r="H556" s="4" t="str">
        <f t="shared" si="16"/>
        <v/>
      </c>
      <c r="I556" s="6" t="str">
        <f t="shared" si="17"/>
        <v/>
      </c>
    </row>
    <row r="557" spans="1:9" ht="30" customHeight="1" x14ac:dyDescent="0.35">
      <c r="A557" t="s">
        <v>1173</v>
      </c>
      <c r="B557" t="s">
        <v>1174</v>
      </c>
      <c r="C557" t="s">
        <v>57</v>
      </c>
      <c r="D557" t="s">
        <v>56</v>
      </c>
      <c r="E557" s="2">
        <v>421929.5</v>
      </c>
      <c r="F557" s="2"/>
      <c r="G557" s="2"/>
      <c r="H557" s="4" t="str">
        <f t="shared" si="16"/>
        <v/>
      </c>
      <c r="I557" s="6" t="str">
        <f t="shared" si="17"/>
        <v/>
      </c>
    </row>
    <row r="558" spans="1:9" ht="30" customHeight="1" x14ac:dyDescent="0.35">
      <c r="A558" t="s">
        <v>1175</v>
      </c>
      <c r="B558" t="s">
        <v>1176</v>
      </c>
      <c r="C558" t="s">
        <v>57</v>
      </c>
      <c r="D558" t="s">
        <v>56</v>
      </c>
      <c r="E558" s="2">
        <v>373641.49</v>
      </c>
      <c r="F558" s="2"/>
      <c r="G558" s="2"/>
      <c r="H558" s="4" t="str">
        <f t="shared" si="16"/>
        <v/>
      </c>
      <c r="I558" s="6" t="str">
        <f t="shared" si="17"/>
        <v/>
      </c>
    </row>
    <row r="559" spans="1:9" ht="30" customHeight="1" x14ac:dyDescent="0.35">
      <c r="A559" t="s">
        <v>1177</v>
      </c>
      <c r="B559" t="s">
        <v>1178</v>
      </c>
      <c r="C559" t="s">
        <v>465</v>
      </c>
      <c r="D559" t="s">
        <v>464</v>
      </c>
      <c r="E559" s="2">
        <v>195598.32</v>
      </c>
      <c r="F559" s="2">
        <v>2063643.15</v>
      </c>
      <c r="G559" s="2">
        <v>250000</v>
      </c>
      <c r="H559" s="4">
        <f t="shared" si="16"/>
        <v>2313643.15</v>
      </c>
      <c r="I559" s="6">
        <f t="shared" si="17"/>
        <v>8.454126557935264E-2</v>
      </c>
    </row>
    <row r="560" spans="1:9" ht="30" customHeight="1" x14ac:dyDescent="0.35">
      <c r="A560" t="s">
        <v>1179</v>
      </c>
      <c r="B560" t="s">
        <v>1180</v>
      </c>
      <c r="C560" t="s">
        <v>19</v>
      </c>
      <c r="D560" t="s">
        <v>18</v>
      </c>
      <c r="E560" s="2">
        <v>154365.99</v>
      </c>
      <c r="F560" s="2">
        <v>0</v>
      </c>
      <c r="G560" s="2"/>
      <c r="H560" s="4">
        <f t="shared" si="16"/>
        <v>0</v>
      </c>
      <c r="I560" s="6" t="e">
        <f t="shared" si="17"/>
        <v>#DIV/0!</v>
      </c>
    </row>
    <row r="561" spans="1:9" ht="30" customHeight="1" x14ac:dyDescent="0.35">
      <c r="A561" t="s">
        <v>1181</v>
      </c>
      <c r="B561" t="s">
        <v>1182</v>
      </c>
      <c r="C561" t="s">
        <v>77</v>
      </c>
      <c r="D561" t="s">
        <v>76</v>
      </c>
      <c r="E561" s="2">
        <v>295679.96999999997</v>
      </c>
      <c r="F561" s="2"/>
      <c r="G561" s="2"/>
      <c r="H561" s="4" t="str">
        <f t="shared" si="16"/>
        <v/>
      </c>
      <c r="I561" s="6" t="str">
        <f t="shared" si="17"/>
        <v/>
      </c>
    </row>
    <row r="562" spans="1:9" ht="30" customHeight="1" x14ac:dyDescent="0.35">
      <c r="A562" t="s">
        <v>1183</v>
      </c>
      <c r="B562" t="s">
        <v>1184</v>
      </c>
      <c r="C562" t="s">
        <v>109</v>
      </c>
      <c r="D562" t="s">
        <v>108</v>
      </c>
      <c r="E562" s="2">
        <v>1055385.03</v>
      </c>
      <c r="F562" s="2"/>
      <c r="G562" s="2"/>
      <c r="H562" s="4" t="str">
        <f t="shared" si="16"/>
        <v/>
      </c>
      <c r="I562" s="6" t="str">
        <f t="shared" si="17"/>
        <v/>
      </c>
    </row>
    <row r="563" spans="1:9" ht="30" customHeight="1" x14ac:dyDescent="0.35">
      <c r="A563" t="s">
        <v>1185</v>
      </c>
      <c r="B563" t="s">
        <v>1186</v>
      </c>
      <c r="C563" t="s">
        <v>457</v>
      </c>
      <c r="D563" t="s">
        <v>456</v>
      </c>
      <c r="E563" s="2">
        <v>1257154.4099999999</v>
      </c>
      <c r="F563" s="2">
        <v>414262.74</v>
      </c>
      <c r="G563" s="2">
        <v>50824.31</v>
      </c>
      <c r="H563" s="4">
        <f t="shared" si="16"/>
        <v>465087.05</v>
      </c>
      <c r="I563" s="6">
        <f t="shared" si="17"/>
        <v>2.7030518480357602</v>
      </c>
    </row>
    <row r="564" spans="1:9" ht="30" customHeight="1" x14ac:dyDescent="0.35">
      <c r="A564" t="s">
        <v>1187</v>
      </c>
      <c r="B564" t="s">
        <v>1188</v>
      </c>
      <c r="C564" t="s">
        <v>67</v>
      </c>
      <c r="D564" t="s">
        <v>66</v>
      </c>
      <c r="E564" s="2">
        <v>70298.11</v>
      </c>
      <c r="F564" s="2"/>
      <c r="G564" s="2"/>
      <c r="H564" s="4" t="str">
        <f t="shared" si="16"/>
        <v/>
      </c>
      <c r="I564" s="6" t="str">
        <f t="shared" si="17"/>
        <v/>
      </c>
    </row>
    <row r="565" spans="1:9" ht="30" customHeight="1" x14ac:dyDescent="0.35">
      <c r="A565" t="s">
        <v>1189</v>
      </c>
      <c r="B565" t="s">
        <v>1190</v>
      </c>
      <c r="C565" t="s">
        <v>15</v>
      </c>
      <c r="D565" t="s">
        <v>14</v>
      </c>
      <c r="E565" s="2">
        <v>222383.38</v>
      </c>
      <c r="F565" s="2">
        <v>2779302</v>
      </c>
      <c r="G565" s="2">
        <v>224633</v>
      </c>
      <c r="H565" s="4">
        <f t="shared" si="16"/>
        <v>3003935</v>
      </c>
      <c r="I565" s="6">
        <f t="shared" si="17"/>
        <v>7.4030689745284109E-2</v>
      </c>
    </row>
    <row r="566" spans="1:9" ht="30" customHeight="1" x14ac:dyDescent="0.35">
      <c r="A566" t="s">
        <v>1191</v>
      </c>
      <c r="B566" t="s">
        <v>1192</v>
      </c>
      <c r="C566" t="s">
        <v>57</v>
      </c>
      <c r="D566" t="s">
        <v>56</v>
      </c>
      <c r="E566" s="2">
        <v>424559.91</v>
      </c>
      <c r="F566" s="2"/>
      <c r="G566" s="2"/>
      <c r="H566" s="4" t="str">
        <f t="shared" si="16"/>
        <v/>
      </c>
      <c r="I566" s="6" t="str">
        <f t="shared" si="17"/>
        <v/>
      </c>
    </row>
    <row r="567" spans="1:9" ht="30" customHeight="1" x14ac:dyDescent="0.35">
      <c r="A567" t="s">
        <v>1193</v>
      </c>
      <c r="B567" t="s">
        <v>1194</v>
      </c>
      <c r="C567" t="s">
        <v>109</v>
      </c>
      <c r="D567" t="s">
        <v>108</v>
      </c>
      <c r="E567" s="2">
        <v>80017.39</v>
      </c>
      <c r="F567" s="2"/>
      <c r="G567" s="2"/>
      <c r="H567" s="4" t="str">
        <f t="shared" si="16"/>
        <v/>
      </c>
      <c r="I567" s="6" t="str">
        <f t="shared" si="17"/>
        <v/>
      </c>
    </row>
    <row r="568" spans="1:9" ht="30" customHeight="1" x14ac:dyDescent="0.35">
      <c r="A568" t="s">
        <v>1195</v>
      </c>
      <c r="B568" t="s">
        <v>1196</v>
      </c>
      <c r="C568" t="s">
        <v>19</v>
      </c>
      <c r="D568" t="s">
        <v>18</v>
      </c>
      <c r="E568" s="2">
        <v>62336.58</v>
      </c>
      <c r="F568" s="2">
        <v>79100.72</v>
      </c>
      <c r="G568" s="2">
        <v>170899.28</v>
      </c>
      <c r="H568" s="4">
        <f t="shared" si="16"/>
        <v>250000</v>
      </c>
      <c r="I568" s="6">
        <f t="shared" si="17"/>
        <v>0.24934632000000001</v>
      </c>
    </row>
    <row r="569" spans="1:9" ht="30" customHeight="1" x14ac:dyDescent="0.35">
      <c r="A569" t="s">
        <v>1197</v>
      </c>
      <c r="B569" t="s">
        <v>1198</v>
      </c>
      <c r="C569" t="s">
        <v>385</v>
      </c>
      <c r="D569" t="s">
        <v>384</v>
      </c>
      <c r="E569" s="2">
        <v>30425.68</v>
      </c>
      <c r="F569" s="2"/>
      <c r="G569" s="2"/>
      <c r="H569" s="4" t="str">
        <f t="shared" ref="H569:H628" si="18">IF(ISBLANK(F569),"",(F569+G569))</f>
        <v/>
      </c>
      <c r="I569" s="6" t="str">
        <f t="shared" ref="I569:I628" si="19">IF(ISBLANK(F569), "", E569/H569)</f>
        <v/>
      </c>
    </row>
    <row r="570" spans="1:9" ht="30" customHeight="1" x14ac:dyDescent="0.35">
      <c r="A570" t="s">
        <v>1199</v>
      </c>
      <c r="B570" t="s">
        <v>1200</v>
      </c>
      <c r="C570" t="s">
        <v>33</v>
      </c>
      <c r="D570" t="s">
        <v>32</v>
      </c>
      <c r="E570" s="2">
        <v>22625.43</v>
      </c>
      <c r="F570" s="2"/>
      <c r="G570" s="2"/>
      <c r="H570" s="4" t="str">
        <f t="shared" si="18"/>
        <v/>
      </c>
      <c r="I570" s="6" t="str">
        <f t="shared" si="19"/>
        <v/>
      </c>
    </row>
    <row r="571" spans="1:9" ht="30" customHeight="1" x14ac:dyDescent="0.35">
      <c r="A571" t="s">
        <v>1201</v>
      </c>
      <c r="B571" t="s">
        <v>1202</v>
      </c>
      <c r="C571" t="s">
        <v>457</v>
      </c>
      <c r="D571" t="s">
        <v>456</v>
      </c>
      <c r="E571" s="2">
        <v>8039515.3499999996</v>
      </c>
      <c r="F571" s="2">
        <v>3491974.51</v>
      </c>
      <c r="G571" s="2">
        <v>2250000</v>
      </c>
      <c r="H571" s="4">
        <f t="shared" si="18"/>
        <v>5741974.5099999998</v>
      </c>
      <c r="I571" s="6">
        <f t="shared" si="19"/>
        <v>1.4001307975155048</v>
      </c>
    </row>
    <row r="572" spans="1:9" ht="30" customHeight="1" x14ac:dyDescent="0.35">
      <c r="A572" t="s">
        <v>1203</v>
      </c>
      <c r="B572" t="s">
        <v>1204</v>
      </c>
      <c r="C572" t="s">
        <v>385</v>
      </c>
      <c r="D572" t="s">
        <v>384</v>
      </c>
      <c r="E572" s="2">
        <v>198379.18</v>
      </c>
      <c r="F572" s="2"/>
      <c r="G572" s="2"/>
      <c r="H572" s="4" t="str">
        <f t="shared" si="18"/>
        <v/>
      </c>
      <c r="I572" s="6" t="str">
        <f t="shared" si="19"/>
        <v/>
      </c>
    </row>
    <row r="573" spans="1:9" ht="30" customHeight="1" x14ac:dyDescent="0.35">
      <c r="A573" t="s">
        <v>1205</v>
      </c>
      <c r="B573" t="s">
        <v>1206</v>
      </c>
      <c r="C573" t="s">
        <v>101</v>
      </c>
      <c r="D573" t="s">
        <v>100</v>
      </c>
      <c r="E573" s="2"/>
      <c r="F573" s="2">
        <v>1145535.23</v>
      </c>
      <c r="G573" s="2"/>
      <c r="H573" s="4">
        <f t="shared" si="18"/>
        <v>1145535.23</v>
      </c>
      <c r="I573" s="6">
        <f t="shared" si="19"/>
        <v>0</v>
      </c>
    </row>
    <row r="574" spans="1:9" ht="30" customHeight="1" x14ac:dyDescent="0.35">
      <c r="A574" t="s">
        <v>1207</v>
      </c>
      <c r="B574" t="s">
        <v>1208</v>
      </c>
      <c r="C574" t="s">
        <v>259</v>
      </c>
      <c r="D574" t="s">
        <v>258</v>
      </c>
      <c r="E574" s="2">
        <v>215563.94</v>
      </c>
      <c r="F574" s="2">
        <v>0</v>
      </c>
      <c r="G574" s="2">
        <v>500000</v>
      </c>
      <c r="H574" s="4">
        <f t="shared" si="18"/>
        <v>500000</v>
      </c>
      <c r="I574" s="6">
        <f t="shared" si="19"/>
        <v>0.43112788000000002</v>
      </c>
    </row>
    <row r="575" spans="1:9" ht="30" customHeight="1" x14ac:dyDescent="0.35">
      <c r="A575" t="s">
        <v>1209</v>
      </c>
      <c r="B575" t="s">
        <v>1210</v>
      </c>
      <c r="C575" t="s">
        <v>29</v>
      </c>
      <c r="D575" t="s">
        <v>28</v>
      </c>
      <c r="E575" s="2">
        <v>318833.65000000002</v>
      </c>
      <c r="F575" s="2"/>
      <c r="G575" s="2"/>
      <c r="H575" s="4" t="str">
        <f t="shared" si="18"/>
        <v/>
      </c>
      <c r="I575" s="6" t="str">
        <f t="shared" si="19"/>
        <v/>
      </c>
    </row>
    <row r="576" spans="1:9" ht="30" customHeight="1" x14ac:dyDescent="0.35">
      <c r="A576" t="s">
        <v>1211</v>
      </c>
      <c r="B576" t="s">
        <v>1212</v>
      </c>
      <c r="C576" t="s">
        <v>33</v>
      </c>
      <c r="D576" t="s">
        <v>32</v>
      </c>
      <c r="E576" s="2">
        <v>60242.97</v>
      </c>
      <c r="F576" s="2"/>
      <c r="G576" s="2"/>
      <c r="H576" s="4" t="str">
        <f t="shared" si="18"/>
        <v/>
      </c>
      <c r="I576" s="6" t="str">
        <f t="shared" si="19"/>
        <v/>
      </c>
    </row>
    <row r="577" spans="1:9" ht="30" customHeight="1" x14ac:dyDescent="0.35">
      <c r="A577" t="s">
        <v>1213</v>
      </c>
      <c r="B577" t="s">
        <v>1214</v>
      </c>
      <c r="C577" t="s">
        <v>465</v>
      </c>
      <c r="D577" t="s">
        <v>464</v>
      </c>
      <c r="E577" s="2">
        <v>96242.75</v>
      </c>
      <c r="F577" s="2">
        <v>748076.19</v>
      </c>
      <c r="G577" s="2"/>
      <c r="H577" s="4">
        <f t="shared" si="18"/>
        <v>748076.19</v>
      </c>
      <c r="I577" s="6">
        <f t="shared" si="19"/>
        <v>0.1286536736318262</v>
      </c>
    </row>
    <row r="578" spans="1:9" ht="30" customHeight="1" x14ac:dyDescent="0.35">
      <c r="A578" t="s">
        <v>1215</v>
      </c>
      <c r="B578" t="s">
        <v>1216</v>
      </c>
      <c r="C578" t="s">
        <v>19</v>
      </c>
      <c r="D578" t="s">
        <v>18</v>
      </c>
      <c r="E578" s="2">
        <v>3056.43</v>
      </c>
      <c r="F578" s="2">
        <v>0</v>
      </c>
      <c r="G578" s="2">
        <v>500</v>
      </c>
      <c r="H578" s="4">
        <f t="shared" si="18"/>
        <v>500</v>
      </c>
      <c r="I578" s="6">
        <f t="shared" si="19"/>
        <v>6.1128599999999995</v>
      </c>
    </row>
    <row r="579" spans="1:9" ht="30" customHeight="1" x14ac:dyDescent="0.35">
      <c r="A579" t="s">
        <v>1217</v>
      </c>
      <c r="B579" t="s">
        <v>1218</v>
      </c>
      <c r="C579" t="s">
        <v>57</v>
      </c>
      <c r="D579" t="s">
        <v>56</v>
      </c>
      <c r="E579" s="2">
        <v>263454.84999999998</v>
      </c>
      <c r="F579" s="2"/>
      <c r="G579" s="2"/>
      <c r="H579" s="4" t="str">
        <f t="shared" si="18"/>
        <v/>
      </c>
      <c r="I579" s="6" t="str">
        <f t="shared" si="19"/>
        <v/>
      </c>
    </row>
    <row r="580" spans="1:9" ht="30" customHeight="1" x14ac:dyDescent="0.35">
      <c r="A580" t="s">
        <v>1219</v>
      </c>
      <c r="B580" t="s">
        <v>1220</v>
      </c>
      <c r="C580" t="s">
        <v>29</v>
      </c>
      <c r="D580" t="s">
        <v>28</v>
      </c>
      <c r="E580" s="2">
        <v>1201982.03</v>
      </c>
      <c r="F580" s="2"/>
      <c r="G580" s="2"/>
      <c r="H580" s="4" t="str">
        <f t="shared" si="18"/>
        <v/>
      </c>
      <c r="I580" s="6" t="str">
        <f t="shared" si="19"/>
        <v/>
      </c>
    </row>
    <row r="581" spans="1:9" ht="30" customHeight="1" x14ac:dyDescent="0.35">
      <c r="A581" t="s">
        <v>1221</v>
      </c>
      <c r="B581" t="s">
        <v>1222</v>
      </c>
      <c r="C581" t="s">
        <v>29</v>
      </c>
      <c r="D581" t="s">
        <v>28</v>
      </c>
      <c r="E581" s="2">
        <v>65843.41</v>
      </c>
      <c r="F581" s="2"/>
      <c r="G581" s="2"/>
      <c r="H581" s="4" t="str">
        <f t="shared" si="18"/>
        <v/>
      </c>
      <c r="I581" s="6" t="str">
        <f t="shared" si="19"/>
        <v/>
      </c>
    </row>
    <row r="582" spans="1:9" ht="30" customHeight="1" x14ac:dyDescent="0.35">
      <c r="A582" t="s">
        <v>1223</v>
      </c>
      <c r="B582" t="s">
        <v>1224</v>
      </c>
      <c r="C582" t="s">
        <v>57</v>
      </c>
      <c r="D582" t="s">
        <v>56</v>
      </c>
      <c r="E582" s="2">
        <v>50970.35</v>
      </c>
      <c r="F582" s="2"/>
      <c r="G582" s="2"/>
      <c r="H582" s="4" t="str">
        <f t="shared" si="18"/>
        <v/>
      </c>
      <c r="I582" s="6" t="str">
        <f t="shared" si="19"/>
        <v/>
      </c>
    </row>
    <row r="583" spans="1:9" ht="30" customHeight="1" x14ac:dyDescent="0.35">
      <c r="A583" t="s">
        <v>1225</v>
      </c>
      <c r="B583" t="s">
        <v>1226</v>
      </c>
      <c r="C583" t="s">
        <v>33</v>
      </c>
      <c r="D583" t="s">
        <v>32</v>
      </c>
      <c r="E583" s="2">
        <v>80737.53</v>
      </c>
      <c r="F583" s="2"/>
      <c r="G583" s="2"/>
      <c r="H583" s="4" t="str">
        <f t="shared" si="18"/>
        <v/>
      </c>
      <c r="I583" s="6" t="str">
        <f t="shared" si="19"/>
        <v/>
      </c>
    </row>
    <row r="584" spans="1:9" ht="30" customHeight="1" x14ac:dyDescent="0.35">
      <c r="A584" t="s">
        <v>1227</v>
      </c>
      <c r="B584" t="s">
        <v>1228</v>
      </c>
      <c r="C584" t="s">
        <v>51</v>
      </c>
      <c r="D584" t="s">
        <v>50</v>
      </c>
      <c r="E584" s="2">
        <v>96801.41</v>
      </c>
      <c r="F584" s="2"/>
      <c r="G584" s="2"/>
      <c r="H584" s="4" t="str">
        <f t="shared" si="18"/>
        <v/>
      </c>
      <c r="I584" s="6" t="str">
        <f t="shared" si="19"/>
        <v/>
      </c>
    </row>
    <row r="585" spans="1:9" ht="30" customHeight="1" x14ac:dyDescent="0.35">
      <c r="A585" t="s">
        <v>1229</v>
      </c>
      <c r="B585" t="s">
        <v>1230</v>
      </c>
      <c r="C585" t="s">
        <v>29</v>
      </c>
      <c r="D585" t="s">
        <v>28</v>
      </c>
      <c r="E585" s="2">
        <v>15561.86</v>
      </c>
      <c r="F585" s="2"/>
      <c r="G585" s="2"/>
      <c r="H585" s="4" t="str">
        <f t="shared" si="18"/>
        <v/>
      </c>
      <c r="I585" s="6" t="str">
        <f t="shared" si="19"/>
        <v/>
      </c>
    </row>
    <row r="586" spans="1:9" ht="30" customHeight="1" x14ac:dyDescent="0.35">
      <c r="A586" t="s">
        <v>1231</v>
      </c>
      <c r="B586" t="s">
        <v>1232</v>
      </c>
      <c r="C586" t="s">
        <v>29</v>
      </c>
      <c r="D586" t="s">
        <v>28</v>
      </c>
      <c r="E586" s="2">
        <v>7994.79</v>
      </c>
      <c r="F586" s="2"/>
      <c r="G586" s="2"/>
      <c r="H586" s="4" t="str">
        <f t="shared" si="18"/>
        <v/>
      </c>
      <c r="I586" s="6" t="str">
        <f t="shared" si="19"/>
        <v/>
      </c>
    </row>
    <row r="587" spans="1:9" ht="30" customHeight="1" x14ac:dyDescent="0.35">
      <c r="A587" t="s">
        <v>1233</v>
      </c>
      <c r="B587" t="s">
        <v>1234</v>
      </c>
      <c r="C587" t="s">
        <v>51</v>
      </c>
      <c r="D587" t="s">
        <v>50</v>
      </c>
      <c r="E587" s="2">
        <v>808725.82</v>
      </c>
      <c r="F587" s="2"/>
      <c r="G587" s="2"/>
      <c r="H587" s="4" t="str">
        <f t="shared" si="18"/>
        <v/>
      </c>
      <c r="I587" s="6" t="str">
        <f t="shared" si="19"/>
        <v/>
      </c>
    </row>
    <row r="588" spans="1:9" ht="30" customHeight="1" x14ac:dyDescent="0.35">
      <c r="A588" t="s">
        <v>40</v>
      </c>
      <c r="B588" t="s">
        <v>1235</v>
      </c>
      <c r="C588" t="s">
        <v>465</v>
      </c>
      <c r="D588" t="s">
        <v>464</v>
      </c>
      <c r="E588" s="2">
        <v>160919.25</v>
      </c>
      <c r="F588" s="2">
        <v>8088971.9400000004</v>
      </c>
      <c r="G588" s="2">
        <v>4218554.88</v>
      </c>
      <c r="H588" s="4">
        <f t="shared" si="18"/>
        <v>12307526.82</v>
      </c>
      <c r="I588" s="6">
        <f t="shared" si="19"/>
        <v>1.3074864865498623E-2</v>
      </c>
    </row>
    <row r="589" spans="1:9" ht="30" customHeight="1" x14ac:dyDescent="0.35">
      <c r="A589" t="s">
        <v>1236</v>
      </c>
      <c r="B589" t="s">
        <v>1237</v>
      </c>
      <c r="C589" t="s">
        <v>19</v>
      </c>
      <c r="D589" t="s">
        <v>18</v>
      </c>
      <c r="E589" s="2">
        <v>120226.02</v>
      </c>
      <c r="F589" s="2"/>
      <c r="G589" s="2"/>
      <c r="H589" s="4" t="str">
        <f t="shared" si="18"/>
        <v/>
      </c>
      <c r="I589" s="6" t="str">
        <f t="shared" si="19"/>
        <v/>
      </c>
    </row>
    <row r="590" spans="1:9" ht="30" customHeight="1" x14ac:dyDescent="0.35">
      <c r="A590" t="s">
        <v>1238</v>
      </c>
      <c r="B590" t="s">
        <v>1239</v>
      </c>
      <c r="C590" t="s">
        <v>33</v>
      </c>
      <c r="D590" t="s">
        <v>32</v>
      </c>
      <c r="E590" s="2"/>
      <c r="F590" s="2">
        <v>0</v>
      </c>
      <c r="G590" s="2"/>
      <c r="H590" s="4">
        <f t="shared" si="18"/>
        <v>0</v>
      </c>
      <c r="I590" s="6" t="e">
        <f t="shared" si="19"/>
        <v>#DIV/0!</v>
      </c>
    </row>
    <row r="591" spans="1:9" ht="30" customHeight="1" x14ac:dyDescent="0.35">
      <c r="A591" t="s">
        <v>1240</v>
      </c>
      <c r="B591" t="s">
        <v>1241</v>
      </c>
      <c r="C591" t="s">
        <v>57</v>
      </c>
      <c r="D591" t="s">
        <v>56</v>
      </c>
      <c r="E591" s="2">
        <v>78224.149999999994</v>
      </c>
      <c r="F591" s="2"/>
      <c r="G591" s="2"/>
      <c r="H591" s="4" t="str">
        <f t="shared" si="18"/>
        <v/>
      </c>
      <c r="I591" s="6" t="str">
        <f t="shared" si="19"/>
        <v/>
      </c>
    </row>
    <row r="592" spans="1:9" ht="30" customHeight="1" x14ac:dyDescent="0.35">
      <c r="A592" t="s">
        <v>1242</v>
      </c>
      <c r="B592" t="s">
        <v>1243</v>
      </c>
      <c r="C592" t="s">
        <v>101</v>
      </c>
      <c r="D592" t="s">
        <v>100</v>
      </c>
      <c r="E592" s="2">
        <v>81552.72</v>
      </c>
      <c r="F592" s="2">
        <v>826924.45</v>
      </c>
      <c r="G592" s="2"/>
      <c r="H592" s="4">
        <f t="shared" si="18"/>
        <v>826924.45</v>
      </c>
      <c r="I592" s="6">
        <f t="shared" si="19"/>
        <v>9.8621730195545682E-2</v>
      </c>
    </row>
    <row r="593" spans="1:9" ht="30" customHeight="1" x14ac:dyDescent="0.35">
      <c r="A593" t="s">
        <v>540</v>
      </c>
      <c r="B593" t="s">
        <v>1244</v>
      </c>
      <c r="C593" t="s">
        <v>213</v>
      </c>
      <c r="D593" t="s">
        <v>212</v>
      </c>
      <c r="E593" s="2">
        <v>31216.93</v>
      </c>
      <c r="F593" s="2">
        <v>594764.34</v>
      </c>
      <c r="G593" s="2"/>
      <c r="H593" s="4">
        <f t="shared" si="18"/>
        <v>594764.34</v>
      </c>
      <c r="I593" s="6">
        <f t="shared" si="19"/>
        <v>5.2486216641703845E-2</v>
      </c>
    </row>
    <row r="594" spans="1:9" ht="30" customHeight="1" x14ac:dyDescent="0.35">
      <c r="A594" t="s">
        <v>1245</v>
      </c>
      <c r="B594" t="s">
        <v>1246</v>
      </c>
      <c r="C594" t="s">
        <v>19</v>
      </c>
      <c r="D594" t="s">
        <v>18</v>
      </c>
      <c r="E594" s="2">
        <v>26091.4</v>
      </c>
      <c r="F594" s="2"/>
      <c r="G594" s="2"/>
      <c r="H594" s="4" t="str">
        <f t="shared" si="18"/>
        <v/>
      </c>
      <c r="I594" s="6" t="str">
        <f t="shared" si="19"/>
        <v/>
      </c>
    </row>
    <row r="595" spans="1:9" ht="30" customHeight="1" x14ac:dyDescent="0.35">
      <c r="A595" t="s">
        <v>1247</v>
      </c>
      <c r="B595" t="s">
        <v>1248</v>
      </c>
      <c r="C595" t="s">
        <v>19</v>
      </c>
      <c r="D595" t="s">
        <v>18</v>
      </c>
      <c r="E595" s="2">
        <v>664.73</v>
      </c>
      <c r="F595" s="2"/>
      <c r="G595" s="2"/>
      <c r="H595" s="4" t="str">
        <f t="shared" si="18"/>
        <v/>
      </c>
      <c r="I595" s="6" t="str">
        <f t="shared" si="19"/>
        <v/>
      </c>
    </row>
    <row r="596" spans="1:9" ht="30" customHeight="1" x14ac:dyDescent="0.35">
      <c r="A596" t="s">
        <v>1249</v>
      </c>
      <c r="B596" t="s">
        <v>1250</v>
      </c>
      <c r="C596" t="s">
        <v>51</v>
      </c>
      <c r="D596" t="s">
        <v>50</v>
      </c>
      <c r="E596" s="2"/>
      <c r="F596" s="2">
        <v>12333.91</v>
      </c>
      <c r="G596" s="2"/>
      <c r="H596" s="4">
        <f t="shared" si="18"/>
        <v>12333.91</v>
      </c>
      <c r="I596" s="6">
        <f t="shared" si="19"/>
        <v>0</v>
      </c>
    </row>
    <row r="597" spans="1:9" ht="30" customHeight="1" x14ac:dyDescent="0.35">
      <c r="A597" t="s">
        <v>1251</v>
      </c>
      <c r="B597" t="s">
        <v>1252</v>
      </c>
      <c r="C597" t="s">
        <v>29</v>
      </c>
      <c r="D597" t="s">
        <v>28</v>
      </c>
      <c r="E597" s="2">
        <v>31724.94</v>
      </c>
      <c r="F597" s="2"/>
      <c r="G597" s="2"/>
      <c r="H597" s="4" t="str">
        <f t="shared" si="18"/>
        <v/>
      </c>
      <c r="I597" s="6" t="str">
        <f t="shared" si="19"/>
        <v/>
      </c>
    </row>
    <row r="598" spans="1:9" ht="30" customHeight="1" x14ac:dyDescent="0.35">
      <c r="A598" t="s">
        <v>108</v>
      </c>
      <c r="B598" t="s">
        <v>1253</v>
      </c>
      <c r="C598" t="s">
        <v>51</v>
      </c>
      <c r="D598" t="s">
        <v>50</v>
      </c>
      <c r="E598" s="2"/>
      <c r="F598" s="2">
        <v>0</v>
      </c>
      <c r="G598" s="2"/>
      <c r="H598" s="4">
        <f t="shared" si="18"/>
        <v>0</v>
      </c>
      <c r="I598" s="6" t="e">
        <f t="shared" si="19"/>
        <v>#DIV/0!</v>
      </c>
    </row>
    <row r="599" spans="1:9" ht="30" customHeight="1" x14ac:dyDescent="0.35">
      <c r="A599" t="s">
        <v>1254</v>
      </c>
      <c r="B599" t="s">
        <v>1255</v>
      </c>
      <c r="C599" t="s">
        <v>253</v>
      </c>
      <c r="D599" t="s">
        <v>252</v>
      </c>
      <c r="E599" s="2">
        <v>25141.19</v>
      </c>
      <c r="F599" s="2">
        <v>1383114.32</v>
      </c>
      <c r="G599" s="2"/>
      <c r="H599" s="4">
        <f t="shared" si="18"/>
        <v>1383114.32</v>
      </c>
      <c r="I599" s="6">
        <f t="shared" si="19"/>
        <v>1.8177232088812442E-2</v>
      </c>
    </row>
    <row r="600" spans="1:9" ht="30" customHeight="1" x14ac:dyDescent="0.35">
      <c r="A600" t="s">
        <v>1256</v>
      </c>
      <c r="B600" t="s">
        <v>1257</v>
      </c>
      <c r="C600" t="s">
        <v>57</v>
      </c>
      <c r="D600" t="s">
        <v>56</v>
      </c>
      <c r="E600" s="2">
        <v>109955.92</v>
      </c>
      <c r="F600" s="2"/>
      <c r="G600" s="2"/>
      <c r="H600" s="4" t="str">
        <f t="shared" si="18"/>
        <v/>
      </c>
      <c r="I600" s="6" t="str">
        <f t="shared" si="19"/>
        <v/>
      </c>
    </row>
    <row r="601" spans="1:9" ht="30" customHeight="1" x14ac:dyDescent="0.35">
      <c r="A601" t="s">
        <v>1258</v>
      </c>
      <c r="B601" t="s">
        <v>1259</v>
      </c>
      <c r="C601" t="s">
        <v>41</v>
      </c>
      <c r="D601" t="s">
        <v>40</v>
      </c>
      <c r="E601" s="2">
        <v>215623.93</v>
      </c>
      <c r="F601" s="2">
        <v>578264</v>
      </c>
      <c r="G601" s="2"/>
      <c r="H601" s="4">
        <f t="shared" si="18"/>
        <v>578264</v>
      </c>
      <c r="I601" s="6">
        <f t="shared" si="19"/>
        <v>0.37288146936347411</v>
      </c>
    </row>
    <row r="602" spans="1:9" ht="30" customHeight="1" x14ac:dyDescent="0.35">
      <c r="A602" t="s">
        <v>1260</v>
      </c>
      <c r="B602" t="s">
        <v>1261</v>
      </c>
      <c r="C602" t="s">
        <v>51</v>
      </c>
      <c r="D602" t="s">
        <v>50</v>
      </c>
      <c r="E602" s="2">
        <v>925446</v>
      </c>
      <c r="F602" s="2">
        <v>0</v>
      </c>
      <c r="G602" s="2">
        <v>2000</v>
      </c>
      <c r="H602" s="4">
        <f t="shared" si="18"/>
        <v>2000</v>
      </c>
      <c r="I602" s="6">
        <f t="shared" si="19"/>
        <v>462.72300000000001</v>
      </c>
    </row>
    <row r="603" spans="1:9" ht="30" customHeight="1" x14ac:dyDescent="0.35">
      <c r="A603" t="s">
        <v>1262</v>
      </c>
      <c r="B603" t="s">
        <v>1263</v>
      </c>
      <c r="C603" t="s">
        <v>213</v>
      </c>
      <c r="D603" t="s">
        <v>212</v>
      </c>
      <c r="E603" s="2">
        <v>519.01</v>
      </c>
      <c r="F603" s="2">
        <v>348935.93</v>
      </c>
      <c r="G603" s="2"/>
      <c r="H603" s="4">
        <f t="shared" si="18"/>
        <v>348935.93</v>
      </c>
      <c r="I603" s="6">
        <f t="shared" si="19"/>
        <v>1.4874077312703223E-3</v>
      </c>
    </row>
    <row r="604" spans="1:9" ht="30" customHeight="1" x14ac:dyDescent="0.35">
      <c r="A604" t="s">
        <v>1264</v>
      </c>
      <c r="B604" t="s">
        <v>1265</v>
      </c>
      <c r="C604" t="s">
        <v>213</v>
      </c>
      <c r="D604" t="s">
        <v>212</v>
      </c>
      <c r="E604" s="2">
        <v>394.52</v>
      </c>
      <c r="F604" s="2">
        <v>78928.56</v>
      </c>
      <c r="G604" s="2"/>
      <c r="H604" s="4">
        <f t="shared" si="18"/>
        <v>78928.56</v>
      </c>
      <c r="I604" s="6">
        <f t="shared" si="19"/>
        <v>4.9984441626706481E-3</v>
      </c>
    </row>
    <row r="605" spans="1:9" ht="30" customHeight="1" x14ac:dyDescent="0.35">
      <c r="A605" t="s">
        <v>1266</v>
      </c>
      <c r="B605" t="s">
        <v>1267</v>
      </c>
      <c r="C605" t="s">
        <v>15</v>
      </c>
      <c r="D605" t="s">
        <v>14</v>
      </c>
      <c r="E605" s="2">
        <v>922954.83</v>
      </c>
      <c r="F605" s="2"/>
      <c r="G605" s="2"/>
      <c r="H605" s="4" t="str">
        <f t="shared" si="18"/>
        <v/>
      </c>
      <c r="I605" s="6" t="str">
        <f t="shared" si="19"/>
        <v/>
      </c>
    </row>
    <row r="606" spans="1:9" ht="30" customHeight="1" x14ac:dyDescent="0.35">
      <c r="A606" t="s">
        <v>66</v>
      </c>
      <c r="B606" t="s">
        <v>1268</v>
      </c>
      <c r="C606" t="s">
        <v>101</v>
      </c>
      <c r="D606" t="s">
        <v>100</v>
      </c>
      <c r="E606" s="2">
        <v>42757.04</v>
      </c>
      <c r="F606" s="2">
        <v>372854.05</v>
      </c>
      <c r="G606" s="2">
        <v>601800</v>
      </c>
      <c r="H606" s="4">
        <f t="shared" si="18"/>
        <v>974654.05</v>
      </c>
      <c r="I606" s="6">
        <f t="shared" si="19"/>
        <v>4.386893995874741E-2</v>
      </c>
    </row>
    <row r="607" spans="1:9" ht="30" customHeight="1" x14ac:dyDescent="0.35">
      <c r="A607" t="s">
        <v>184</v>
      </c>
      <c r="B607" t="s">
        <v>1269</v>
      </c>
      <c r="C607" t="s">
        <v>259</v>
      </c>
      <c r="D607" t="s">
        <v>258</v>
      </c>
      <c r="E607" s="2">
        <v>213724.95</v>
      </c>
      <c r="F607" s="2">
        <v>383657.51</v>
      </c>
      <c r="G607" s="2">
        <v>456253.49</v>
      </c>
      <c r="H607" s="4">
        <f t="shared" si="18"/>
        <v>839911</v>
      </c>
      <c r="I607" s="6">
        <f t="shared" si="19"/>
        <v>0.25446142507956204</v>
      </c>
    </row>
    <row r="608" spans="1:9" ht="30" customHeight="1" x14ac:dyDescent="0.35">
      <c r="A608" t="s">
        <v>1270</v>
      </c>
      <c r="B608" t="s">
        <v>1271</v>
      </c>
      <c r="C608" t="s">
        <v>67</v>
      </c>
      <c r="D608" t="s">
        <v>66</v>
      </c>
      <c r="E608" s="2">
        <v>89023.14</v>
      </c>
      <c r="F608" s="2"/>
      <c r="G608" s="2"/>
      <c r="H608" s="4" t="str">
        <f t="shared" si="18"/>
        <v/>
      </c>
      <c r="I608" s="6" t="str">
        <f t="shared" si="19"/>
        <v/>
      </c>
    </row>
    <row r="609" spans="1:9" ht="30" customHeight="1" x14ac:dyDescent="0.35">
      <c r="A609" t="s">
        <v>1272</v>
      </c>
      <c r="B609" t="s">
        <v>1273</v>
      </c>
      <c r="C609" t="s">
        <v>101</v>
      </c>
      <c r="D609" t="s">
        <v>100</v>
      </c>
      <c r="E609" s="2">
        <v>177499.9</v>
      </c>
      <c r="F609" s="2">
        <v>1470690.58</v>
      </c>
      <c r="G609" s="2"/>
      <c r="H609" s="4">
        <f t="shared" si="18"/>
        <v>1470690.58</v>
      </c>
      <c r="I609" s="6">
        <f t="shared" si="19"/>
        <v>0.12069153254520743</v>
      </c>
    </row>
    <row r="610" spans="1:9" ht="30" customHeight="1" x14ac:dyDescent="0.35">
      <c r="A610" t="s">
        <v>619</v>
      </c>
      <c r="B610" t="s">
        <v>1274</v>
      </c>
      <c r="C610" t="s">
        <v>259</v>
      </c>
      <c r="D610" t="s">
        <v>258</v>
      </c>
      <c r="E610" s="2">
        <v>2762421.44</v>
      </c>
      <c r="F610" s="2"/>
      <c r="G610" s="2"/>
      <c r="H610" s="4" t="str">
        <f t="shared" si="18"/>
        <v/>
      </c>
      <c r="I610" s="6" t="str">
        <f t="shared" si="19"/>
        <v/>
      </c>
    </row>
    <row r="611" spans="1:9" ht="30" customHeight="1" x14ac:dyDescent="0.35">
      <c r="A611" t="s">
        <v>1275</v>
      </c>
      <c r="B611" t="s">
        <v>1276</v>
      </c>
      <c r="C611" t="s">
        <v>67</v>
      </c>
      <c r="D611" t="s">
        <v>66</v>
      </c>
      <c r="E611" s="2">
        <v>7974.32</v>
      </c>
      <c r="F611" s="2">
        <v>46056.3</v>
      </c>
      <c r="G611" s="2"/>
      <c r="H611" s="4">
        <f t="shared" si="18"/>
        <v>46056.3</v>
      </c>
      <c r="I611" s="6">
        <f t="shared" si="19"/>
        <v>0.17314287079074955</v>
      </c>
    </row>
    <row r="612" spans="1:9" ht="30" customHeight="1" x14ac:dyDescent="0.35">
      <c r="A612" t="s">
        <v>1277</v>
      </c>
      <c r="B612" t="s">
        <v>1278</v>
      </c>
      <c r="C612" t="s">
        <v>19</v>
      </c>
      <c r="D612" t="s">
        <v>18</v>
      </c>
      <c r="E612" s="2">
        <v>155.24</v>
      </c>
      <c r="F612" s="2">
        <v>427960.48</v>
      </c>
      <c r="G612" s="2"/>
      <c r="H612" s="4">
        <f t="shared" si="18"/>
        <v>427960.48</v>
      </c>
      <c r="I612" s="6">
        <f t="shared" si="19"/>
        <v>3.6274377484575213E-4</v>
      </c>
    </row>
    <row r="613" spans="1:9" ht="30" customHeight="1" x14ac:dyDescent="0.35">
      <c r="A613" t="s">
        <v>1279</v>
      </c>
      <c r="B613" t="s">
        <v>1280</v>
      </c>
      <c r="C613" t="s">
        <v>51</v>
      </c>
      <c r="D613" t="s">
        <v>50</v>
      </c>
      <c r="E613" s="2"/>
      <c r="F613" s="2">
        <v>29222.39</v>
      </c>
      <c r="G613" s="2"/>
      <c r="H613" s="4">
        <f t="shared" si="18"/>
        <v>29222.39</v>
      </c>
      <c r="I613" s="6">
        <f t="shared" si="19"/>
        <v>0</v>
      </c>
    </row>
    <row r="614" spans="1:9" ht="30" customHeight="1" x14ac:dyDescent="0.35">
      <c r="A614" t="s">
        <v>1281</v>
      </c>
      <c r="B614" t="s">
        <v>1282</v>
      </c>
      <c r="C614" t="s">
        <v>19</v>
      </c>
      <c r="D614" t="s">
        <v>18</v>
      </c>
      <c r="E614" s="2">
        <v>57584.24</v>
      </c>
      <c r="F614" s="2"/>
      <c r="G614" s="2"/>
      <c r="H614" s="4" t="str">
        <f t="shared" si="18"/>
        <v/>
      </c>
      <c r="I614" s="6" t="str">
        <f t="shared" si="19"/>
        <v/>
      </c>
    </row>
    <row r="615" spans="1:9" ht="30" customHeight="1" x14ac:dyDescent="0.35">
      <c r="A615" t="s">
        <v>1283</v>
      </c>
      <c r="B615" t="s">
        <v>1284</v>
      </c>
      <c r="C615" t="s">
        <v>213</v>
      </c>
      <c r="D615" t="s">
        <v>212</v>
      </c>
      <c r="E615" s="2">
        <v>782.92</v>
      </c>
      <c r="F615" s="2">
        <v>4801883.25</v>
      </c>
      <c r="G615" s="2"/>
      <c r="H615" s="4">
        <f t="shared" si="18"/>
        <v>4801883.25</v>
      </c>
      <c r="I615" s="6">
        <f t="shared" si="19"/>
        <v>1.6304436389618594E-4</v>
      </c>
    </row>
    <row r="616" spans="1:9" ht="30" customHeight="1" x14ac:dyDescent="0.35">
      <c r="A616" t="s">
        <v>1285</v>
      </c>
      <c r="B616" t="s">
        <v>1286</v>
      </c>
      <c r="C616" t="s">
        <v>15</v>
      </c>
      <c r="D616" t="s">
        <v>14</v>
      </c>
      <c r="E616" s="2">
        <v>56321.26</v>
      </c>
      <c r="F616" s="2">
        <v>2652954.11</v>
      </c>
      <c r="G616" s="2">
        <v>113518.93</v>
      </c>
      <c r="H616" s="4">
        <f t="shared" si="18"/>
        <v>2766473.04</v>
      </c>
      <c r="I616" s="6">
        <f t="shared" si="19"/>
        <v>2.0358506728842006E-2</v>
      </c>
    </row>
    <row r="617" spans="1:9" ht="30" customHeight="1" x14ac:dyDescent="0.35">
      <c r="A617" t="s">
        <v>1287</v>
      </c>
      <c r="B617" t="s">
        <v>1288</v>
      </c>
      <c r="C617" t="s">
        <v>77</v>
      </c>
      <c r="D617" t="s">
        <v>76</v>
      </c>
      <c r="E617" s="2">
        <v>3151.45</v>
      </c>
      <c r="F617" s="2"/>
      <c r="G617" s="2"/>
      <c r="H617" s="4" t="str">
        <f t="shared" si="18"/>
        <v/>
      </c>
      <c r="I617" s="6" t="str">
        <f t="shared" si="19"/>
        <v/>
      </c>
    </row>
    <row r="618" spans="1:9" ht="30" customHeight="1" x14ac:dyDescent="0.35">
      <c r="A618" t="s">
        <v>1289</v>
      </c>
      <c r="B618" t="s">
        <v>1290</v>
      </c>
      <c r="C618" t="s">
        <v>15</v>
      </c>
      <c r="D618" t="s">
        <v>14</v>
      </c>
      <c r="E618" s="2">
        <v>479203.92</v>
      </c>
      <c r="F618" s="2">
        <v>2400894.27</v>
      </c>
      <c r="G618" s="2">
        <v>420000</v>
      </c>
      <c r="H618" s="4">
        <f t="shared" si="18"/>
        <v>2820894.27</v>
      </c>
      <c r="I618" s="6">
        <f t="shared" si="19"/>
        <v>0.16987659732457822</v>
      </c>
    </row>
    <row r="619" spans="1:9" ht="30" customHeight="1" x14ac:dyDescent="0.35">
      <c r="A619" t="s">
        <v>1291</v>
      </c>
      <c r="B619" t="s">
        <v>1292</v>
      </c>
      <c r="C619" t="s">
        <v>19</v>
      </c>
      <c r="D619" t="s">
        <v>18</v>
      </c>
      <c r="E619" s="2"/>
      <c r="F619" s="2">
        <v>311953.78999999998</v>
      </c>
      <c r="G619" s="2"/>
      <c r="H619" s="4">
        <f t="shared" si="18"/>
        <v>311953.78999999998</v>
      </c>
      <c r="I619" s="6">
        <f t="shared" si="19"/>
        <v>0</v>
      </c>
    </row>
    <row r="620" spans="1:9" ht="30" customHeight="1" x14ac:dyDescent="0.35">
      <c r="A620" t="s">
        <v>1293</v>
      </c>
      <c r="B620" t="s">
        <v>1294</v>
      </c>
      <c r="C620" t="s">
        <v>253</v>
      </c>
      <c r="D620" t="s">
        <v>252</v>
      </c>
      <c r="E620" s="2">
        <v>133348.46</v>
      </c>
      <c r="F620" s="2">
        <v>1878269.45</v>
      </c>
      <c r="G620" s="2"/>
      <c r="H620" s="4">
        <f t="shared" si="18"/>
        <v>1878269.45</v>
      </c>
      <c r="I620" s="6">
        <f t="shared" si="19"/>
        <v>7.0995383543080035E-2</v>
      </c>
    </row>
    <row r="621" spans="1:9" ht="30" customHeight="1" x14ac:dyDescent="0.35">
      <c r="A621" t="s">
        <v>1295</v>
      </c>
      <c r="B621" t="s">
        <v>1296</v>
      </c>
      <c r="C621" t="s">
        <v>19</v>
      </c>
      <c r="D621" t="s">
        <v>18</v>
      </c>
      <c r="E621" s="2"/>
      <c r="F621" s="2">
        <v>294435.69</v>
      </c>
      <c r="G621" s="2">
        <v>1564.31</v>
      </c>
      <c r="H621" s="4">
        <f t="shared" si="18"/>
        <v>296000</v>
      </c>
      <c r="I621" s="6">
        <f t="shared" si="19"/>
        <v>0</v>
      </c>
    </row>
    <row r="622" spans="1:9" ht="30" customHeight="1" x14ac:dyDescent="0.35">
      <c r="A622" t="s">
        <v>1297</v>
      </c>
      <c r="B622" t="s">
        <v>1298</v>
      </c>
      <c r="C622" t="s">
        <v>51</v>
      </c>
      <c r="D622" t="s">
        <v>50</v>
      </c>
      <c r="E622" s="2">
        <v>364931.75</v>
      </c>
      <c r="F622" s="2"/>
      <c r="G622" s="2"/>
      <c r="H622" s="4" t="str">
        <f t="shared" si="18"/>
        <v/>
      </c>
      <c r="I622" s="6" t="str">
        <f t="shared" si="19"/>
        <v/>
      </c>
    </row>
    <row r="623" spans="1:9" ht="30" customHeight="1" x14ac:dyDescent="0.35">
      <c r="A623" t="s">
        <v>1299</v>
      </c>
      <c r="B623" t="s">
        <v>1300</v>
      </c>
      <c r="C623" t="s">
        <v>15</v>
      </c>
      <c r="D623" t="s">
        <v>14</v>
      </c>
      <c r="E623" s="2">
        <v>1287905.74</v>
      </c>
      <c r="F623" s="2">
        <v>2038804.85</v>
      </c>
      <c r="G623" s="2">
        <v>250000</v>
      </c>
      <c r="H623" s="4">
        <f t="shared" si="18"/>
        <v>2288804.85</v>
      </c>
      <c r="I623" s="6">
        <f t="shared" si="19"/>
        <v>0.56269792507648697</v>
      </c>
    </row>
    <row r="624" spans="1:9" ht="30" customHeight="1" x14ac:dyDescent="0.35">
      <c r="A624" t="s">
        <v>1301</v>
      </c>
      <c r="B624" t="s">
        <v>1302</v>
      </c>
      <c r="C624" t="s">
        <v>465</v>
      </c>
      <c r="D624" t="s">
        <v>464</v>
      </c>
      <c r="E624" s="2">
        <v>3679542.41</v>
      </c>
      <c r="F624" s="2">
        <v>448211.79</v>
      </c>
      <c r="G624" s="2">
        <v>7099883.5199999996</v>
      </c>
      <c r="H624" s="4">
        <f t="shared" si="18"/>
        <v>7548095.3099999996</v>
      </c>
      <c r="I624" s="6">
        <f t="shared" si="19"/>
        <v>0.48747959039748801</v>
      </c>
    </row>
    <row r="625" spans="1:9" ht="30" customHeight="1" x14ac:dyDescent="0.35">
      <c r="A625" t="s">
        <v>1303</v>
      </c>
      <c r="B625" t="s">
        <v>1304</v>
      </c>
      <c r="C625" t="s">
        <v>213</v>
      </c>
      <c r="D625" t="s">
        <v>212</v>
      </c>
      <c r="E625" s="2"/>
      <c r="F625" s="2">
        <v>0</v>
      </c>
      <c r="G625" s="2">
        <v>0</v>
      </c>
      <c r="H625" s="4">
        <f t="shared" si="18"/>
        <v>0</v>
      </c>
      <c r="I625" s="6" t="e">
        <f t="shared" si="19"/>
        <v>#DIV/0!</v>
      </c>
    </row>
    <row r="626" spans="1:9" ht="30" customHeight="1" x14ac:dyDescent="0.35">
      <c r="A626" t="s">
        <v>1305</v>
      </c>
      <c r="B626" t="s">
        <v>1306</v>
      </c>
      <c r="C626" t="s">
        <v>457</v>
      </c>
      <c r="D626" t="s">
        <v>456</v>
      </c>
      <c r="E626" s="2">
        <v>58364.84</v>
      </c>
      <c r="F626" s="2">
        <v>76284.05</v>
      </c>
      <c r="G626" s="2"/>
      <c r="H626" s="4">
        <f t="shared" si="18"/>
        <v>76284.05</v>
      </c>
      <c r="I626" s="6">
        <f t="shared" si="19"/>
        <v>0.76509886404825111</v>
      </c>
    </row>
    <row r="627" spans="1:9" ht="30" customHeight="1" x14ac:dyDescent="0.35">
      <c r="A627" t="s">
        <v>1307</v>
      </c>
      <c r="B627" t="s">
        <v>1308</v>
      </c>
      <c r="C627" t="s">
        <v>385</v>
      </c>
      <c r="D627" t="s">
        <v>384</v>
      </c>
      <c r="E627" s="2">
        <v>1.1599999999999999</v>
      </c>
      <c r="F627" s="2"/>
      <c r="G627" s="2"/>
      <c r="H627" s="4" t="str">
        <f t="shared" si="18"/>
        <v/>
      </c>
      <c r="I627" s="6" t="str">
        <f t="shared" si="19"/>
        <v/>
      </c>
    </row>
    <row r="628" spans="1:9" ht="30" customHeight="1" x14ac:dyDescent="0.35">
      <c r="A628" t="s">
        <v>1309</v>
      </c>
      <c r="B628" t="s">
        <v>1310</v>
      </c>
      <c r="C628" t="s">
        <v>385</v>
      </c>
      <c r="D628" t="s">
        <v>384</v>
      </c>
      <c r="E628" s="2">
        <v>27180.25</v>
      </c>
      <c r="F628" s="2"/>
      <c r="G628" s="2"/>
      <c r="H628" s="4" t="str">
        <f t="shared" si="18"/>
        <v/>
      </c>
      <c r="I628" s="6" t="str">
        <f t="shared" si="19"/>
        <v/>
      </c>
    </row>
    <row r="629" spans="1:9" ht="30" customHeight="1" x14ac:dyDescent="0.35">
      <c r="A629" t="s">
        <v>1311</v>
      </c>
      <c r="B629" t="s">
        <v>1312</v>
      </c>
      <c r="C629" t="s">
        <v>253</v>
      </c>
      <c r="D629" t="s">
        <v>252</v>
      </c>
      <c r="E629" s="2">
        <v>78370.490000000005</v>
      </c>
      <c r="F629" s="2">
        <v>750703.66</v>
      </c>
      <c r="G629" s="2"/>
      <c r="H629" s="4">
        <f t="shared" ref="H629:H690" si="20">IF(ISBLANK(F629),"",(F629+G629))</f>
        <v>750703.66</v>
      </c>
      <c r="I629" s="6">
        <f t="shared" ref="I629:I690" si="21">IF(ISBLANK(F629), "", E629/H629)</f>
        <v>0.10439604090913851</v>
      </c>
    </row>
    <row r="630" spans="1:9" ht="30" customHeight="1" x14ac:dyDescent="0.35">
      <c r="A630" t="s">
        <v>1313</v>
      </c>
      <c r="B630" t="s">
        <v>1314</v>
      </c>
      <c r="C630" t="s">
        <v>77</v>
      </c>
      <c r="D630" t="s">
        <v>76</v>
      </c>
      <c r="E630" s="2">
        <v>141144.59</v>
      </c>
      <c r="F630" s="2"/>
      <c r="G630" s="2"/>
      <c r="H630" s="4" t="str">
        <f t="shared" si="20"/>
        <v/>
      </c>
      <c r="I630" s="6" t="str">
        <f t="shared" si="21"/>
        <v/>
      </c>
    </row>
    <row r="631" spans="1:9" ht="30" customHeight="1" x14ac:dyDescent="0.35">
      <c r="A631" t="s">
        <v>1315</v>
      </c>
      <c r="B631" t="s">
        <v>1316</v>
      </c>
      <c r="C631" t="s">
        <v>465</v>
      </c>
      <c r="D631" t="s">
        <v>464</v>
      </c>
      <c r="E631" s="2">
        <v>55869.83</v>
      </c>
      <c r="F631" s="2">
        <v>1349637.67</v>
      </c>
      <c r="G631" s="2"/>
      <c r="H631" s="4">
        <f t="shared" si="20"/>
        <v>1349637.67</v>
      </c>
      <c r="I631" s="6">
        <f t="shared" si="21"/>
        <v>4.1396169684564305E-2</v>
      </c>
    </row>
    <row r="632" spans="1:9" ht="30" customHeight="1" x14ac:dyDescent="0.35">
      <c r="A632" t="s">
        <v>1317</v>
      </c>
      <c r="B632" t="s">
        <v>1318</v>
      </c>
      <c r="C632" t="s">
        <v>259</v>
      </c>
      <c r="D632" t="s">
        <v>258</v>
      </c>
      <c r="E632" s="2"/>
      <c r="F632" s="2">
        <v>4243794.49</v>
      </c>
      <c r="G632" s="2">
        <v>1189194.29</v>
      </c>
      <c r="H632" s="4">
        <f t="shared" si="20"/>
        <v>5432988.7800000003</v>
      </c>
      <c r="I632" s="6">
        <f t="shared" si="21"/>
        <v>0</v>
      </c>
    </row>
    <row r="633" spans="1:9" ht="30" customHeight="1" x14ac:dyDescent="0.35">
      <c r="A633" t="s">
        <v>1319</v>
      </c>
      <c r="B633" t="s">
        <v>1320</v>
      </c>
      <c r="C633" t="s">
        <v>57</v>
      </c>
      <c r="D633" t="s">
        <v>56</v>
      </c>
      <c r="E633" s="2">
        <v>240693.56</v>
      </c>
      <c r="F633" s="2">
        <v>0</v>
      </c>
      <c r="G633" s="2">
        <v>2000</v>
      </c>
      <c r="H633" s="4">
        <f t="shared" si="20"/>
        <v>2000</v>
      </c>
      <c r="I633" s="6">
        <f t="shared" si="21"/>
        <v>120.34678</v>
      </c>
    </row>
    <row r="634" spans="1:9" ht="30" customHeight="1" x14ac:dyDescent="0.35">
      <c r="A634" t="s">
        <v>1321</v>
      </c>
      <c r="B634" t="s">
        <v>1322</v>
      </c>
      <c r="C634" t="s">
        <v>213</v>
      </c>
      <c r="D634" t="s">
        <v>212</v>
      </c>
      <c r="E634" s="2">
        <v>191486.41</v>
      </c>
      <c r="F634" s="2">
        <v>2131980.48</v>
      </c>
      <c r="G634" s="2"/>
      <c r="H634" s="4">
        <f t="shared" si="20"/>
        <v>2131980.48</v>
      </c>
      <c r="I634" s="6">
        <f t="shared" si="21"/>
        <v>8.9816211638110308E-2</v>
      </c>
    </row>
    <row r="635" spans="1:9" ht="30" customHeight="1" x14ac:dyDescent="0.35">
      <c r="A635" t="s">
        <v>1323</v>
      </c>
      <c r="B635" t="s">
        <v>1324</v>
      </c>
      <c r="C635" t="s">
        <v>253</v>
      </c>
      <c r="D635" t="s">
        <v>252</v>
      </c>
      <c r="E635" s="2">
        <v>607779.1</v>
      </c>
      <c r="F635" s="2">
        <v>0</v>
      </c>
      <c r="G635" s="2">
        <v>3000</v>
      </c>
      <c r="H635" s="4">
        <f t="shared" si="20"/>
        <v>3000</v>
      </c>
      <c r="I635" s="6">
        <f t="shared" si="21"/>
        <v>202.59303333333332</v>
      </c>
    </row>
    <row r="636" spans="1:9" ht="30" customHeight="1" x14ac:dyDescent="0.35">
      <c r="A636" t="s">
        <v>1325</v>
      </c>
      <c r="B636" t="s">
        <v>1326</v>
      </c>
      <c r="C636" t="s">
        <v>457</v>
      </c>
      <c r="D636" t="s">
        <v>456</v>
      </c>
      <c r="E636" s="2">
        <v>340647.4</v>
      </c>
      <c r="F636" s="2">
        <v>1186515.99</v>
      </c>
      <c r="G636" s="2">
        <v>9239.2000000000007</v>
      </c>
      <c r="H636" s="4">
        <f t="shared" si="20"/>
        <v>1195755.19</v>
      </c>
      <c r="I636" s="6">
        <f t="shared" si="21"/>
        <v>0.28488055318413463</v>
      </c>
    </row>
    <row r="637" spans="1:9" ht="30" customHeight="1" x14ac:dyDescent="0.35">
      <c r="A637" t="s">
        <v>1327</v>
      </c>
      <c r="B637" t="s">
        <v>1328</v>
      </c>
      <c r="C637" t="s">
        <v>465</v>
      </c>
      <c r="D637" t="s">
        <v>464</v>
      </c>
      <c r="E637" s="2">
        <v>117308.02</v>
      </c>
      <c r="F637" s="2">
        <v>1525450.22</v>
      </c>
      <c r="G637" s="2"/>
      <c r="H637" s="4">
        <f t="shared" si="20"/>
        <v>1525450.22</v>
      </c>
      <c r="I637" s="6">
        <f t="shared" si="21"/>
        <v>7.6900588732420255E-2</v>
      </c>
    </row>
    <row r="638" spans="1:9" ht="30" customHeight="1" x14ac:dyDescent="0.35">
      <c r="A638" t="s">
        <v>1329</v>
      </c>
      <c r="B638" t="s">
        <v>1330</v>
      </c>
      <c r="C638" t="s">
        <v>465</v>
      </c>
      <c r="D638" t="s">
        <v>464</v>
      </c>
      <c r="E638" s="2">
        <v>466236.58</v>
      </c>
      <c r="F638" s="2">
        <v>1374061.95</v>
      </c>
      <c r="G638" s="2"/>
      <c r="H638" s="4">
        <f t="shared" si="20"/>
        <v>1374061.95</v>
      </c>
      <c r="I638" s="6">
        <f t="shared" si="21"/>
        <v>0.33931263433937608</v>
      </c>
    </row>
    <row r="639" spans="1:9" ht="30" customHeight="1" x14ac:dyDescent="0.35">
      <c r="A639" t="s">
        <v>1331</v>
      </c>
      <c r="B639" t="s">
        <v>1332</v>
      </c>
      <c r="C639" t="s">
        <v>57</v>
      </c>
      <c r="D639" t="s">
        <v>56</v>
      </c>
      <c r="E639" s="2"/>
      <c r="F639" s="2">
        <v>12364.9</v>
      </c>
      <c r="G639" s="2"/>
      <c r="H639" s="4">
        <f t="shared" si="20"/>
        <v>12364.9</v>
      </c>
      <c r="I639" s="6">
        <f t="shared" si="21"/>
        <v>0</v>
      </c>
    </row>
    <row r="640" spans="1:9" ht="30" customHeight="1" x14ac:dyDescent="0.35">
      <c r="A640" t="s">
        <v>1333</v>
      </c>
      <c r="B640" t="s">
        <v>1334</v>
      </c>
      <c r="C640" t="s">
        <v>101</v>
      </c>
      <c r="D640" t="s">
        <v>100</v>
      </c>
      <c r="E640" s="2">
        <v>74888.86</v>
      </c>
      <c r="F640" s="2">
        <v>4969046.96</v>
      </c>
      <c r="G640" s="2"/>
      <c r="H640" s="4">
        <f t="shared" si="20"/>
        <v>4969046.96</v>
      </c>
      <c r="I640" s="6">
        <f t="shared" si="21"/>
        <v>1.5071071093278619E-2</v>
      </c>
    </row>
    <row r="641" spans="1:9" ht="30" customHeight="1" x14ac:dyDescent="0.35">
      <c r="A641" t="s">
        <v>1335</v>
      </c>
      <c r="B641" t="s">
        <v>1336</v>
      </c>
      <c r="C641" t="s">
        <v>213</v>
      </c>
      <c r="D641" t="s">
        <v>212</v>
      </c>
      <c r="E641" s="2">
        <v>2239.34</v>
      </c>
      <c r="F641" s="2">
        <v>7246046.5800000001</v>
      </c>
      <c r="G641" s="2">
        <v>1177326.55</v>
      </c>
      <c r="H641" s="4">
        <f t="shared" si="20"/>
        <v>8423373.1300000008</v>
      </c>
      <c r="I641" s="6">
        <f t="shared" si="21"/>
        <v>2.6584836803970478E-4</v>
      </c>
    </row>
    <row r="642" spans="1:9" ht="30" customHeight="1" x14ac:dyDescent="0.35">
      <c r="A642" t="s">
        <v>1337</v>
      </c>
      <c r="B642" t="s">
        <v>1338</v>
      </c>
      <c r="C642" t="s">
        <v>101</v>
      </c>
      <c r="D642" t="s">
        <v>100</v>
      </c>
      <c r="E642" s="2">
        <v>653882.11</v>
      </c>
      <c r="F642" s="2"/>
      <c r="G642" s="2"/>
      <c r="H642" s="4" t="str">
        <f t="shared" si="20"/>
        <v/>
      </c>
      <c r="I642" s="6" t="str">
        <f t="shared" si="21"/>
        <v/>
      </c>
    </row>
    <row r="643" spans="1:9" ht="30" customHeight="1" x14ac:dyDescent="0.35">
      <c r="A643" t="s">
        <v>1339</v>
      </c>
      <c r="B643" t="s">
        <v>1340</v>
      </c>
      <c r="C643" t="s">
        <v>213</v>
      </c>
      <c r="D643" t="s">
        <v>212</v>
      </c>
      <c r="E643" s="2">
        <v>185789.29</v>
      </c>
      <c r="F643" s="2">
        <v>424162.77</v>
      </c>
      <c r="G643" s="2"/>
      <c r="H643" s="4">
        <f t="shared" si="20"/>
        <v>424162.77</v>
      </c>
      <c r="I643" s="6">
        <f t="shared" si="21"/>
        <v>0.43801413782732512</v>
      </c>
    </row>
    <row r="644" spans="1:9" ht="30" customHeight="1" x14ac:dyDescent="0.35">
      <c r="A644" t="s">
        <v>1341</v>
      </c>
      <c r="B644" t="s">
        <v>1342</v>
      </c>
      <c r="C644" t="s">
        <v>213</v>
      </c>
      <c r="D644" t="s">
        <v>212</v>
      </c>
      <c r="E644" s="2">
        <v>2605.5500000000002</v>
      </c>
      <c r="F644" s="2">
        <v>205630.19</v>
      </c>
      <c r="G644" s="2"/>
      <c r="H644" s="4">
        <f t="shared" si="20"/>
        <v>205630.19</v>
      </c>
      <c r="I644" s="6">
        <f t="shared" si="21"/>
        <v>1.2671047962363893E-2</v>
      </c>
    </row>
    <row r="645" spans="1:9" ht="30" customHeight="1" x14ac:dyDescent="0.35">
      <c r="A645" t="s">
        <v>1343</v>
      </c>
      <c r="B645" t="s">
        <v>1344</v>
      </c>
      <c r="C645" t="s">
        <v>19</v>
      </c>
      <c r="D645" t="s">
        <v>18</v>
      </c>
      <c r="E645" s="2">
        <v>2321.0700000000002</v>
      </c>
      <c r="F645" s="2"/>
      <c r="G645" s="2"/>
      <c r="H645" s="4" t="str">
        <f t="shared" si="20"/>
        <v/>
      </c>
      <c r="I645" s="6" t="str">
        <f t="shared" si="21"/>
        <v/>
      </c>
    </row>
    <row r="646" spans="1:9" ht="30" customHeight="1" x14ac:dyDescent="0.35">
      <c r="A646" t="s">
        <v>1345</v>
      </c>
      <c r="B646" t="s">
        <v>1346</v>
      </c>
      <c r="C646" t="s">
        <v>29</v>
      </c>
      <c r="D646" t="s">
        <v>28</v>
      </c>
      <c r="E646" s="2">
        <v>1160.3599999999999</v>
      </c>
      <c r="F646" s="2">
        <v>11986.87</v>
      </c>
      <c r="G646" s="2"/>
      <c r="H646" s="4">
        <f t="shared" si="20"/>
        <v>11986.87</v>
      </c>
      <c r="I646" s="6">
        <f t="shared" si="21"/>
        <v>9.6802584828232882E-2</v>
      </c>
    </row>
    <row r="647" spans="1:9" ht="30" customHeight="1" x14ac:dyDescent="0.35">
      <c r="A647" t="s">
        <v>1347</v>
      </c>
      <c r="B647" t="s">
        <v>1348</v>
      </c>
      <c r="C647" t="s">
        <v>19</v>
      </c>
      <c r="D647" t="s">
        <v>18</v>
      </c>
      <c r="E647" s="2">
        <v>160132.39000000001</v>
      </c>
      <c r="F647" s="2">
        <v>635608.25</v>
      </c>
      <c r="G647" s="2">
        <v>17021.23</v>
      </c>
      <c r="H647" s="4">
        <f t="shared" si="20"/>
        <v>652629.48</v>
      </c>
      <c r="I647" s="6">
        <f t="shared" si="21"/>
        <v>0.24536493509303323</v>
      </c>
    </row>
    <row r="648" spans="1:9" ht="30" customHeight="1" x14ac:dyDescent="0.35">
      <c r="A648" t="s">
        <v>1349</v>
      </c>
      <c r="B648" t="s">
        <v>1350</v>
      </c>
      <c r="C648" t="s">
        <v>253</v>
      </c>
      <c r="D648" t="s">
        <v>252</v>
      </c>
      <c r="E648" s="2">
        <v>2900</v>
      </c>
      <c r="F648" s="2">
        <v>165807.25</v>
      </c>
      <c r="G648" s="2">
        <v>334192.75</v>
      </c>
      <c r="H648" s="4">
        <f t="shared" si="20"/>
        <v>500000</v>
      </c>
      <c r="I648" s="6">
        <f t="shared" si="21"/>
        <v>5.7999999999999996E-3</v>
      </c>
    </row>
    <row r="649" spans="1:9" ht="30" customHeight="1" x14ac:dyDescent="0.35">
      <c r="A649" t="s">
        <v>1351</v>
      </c>
      <c r="B649" t="s">
        <v>1352</v>
      </c>
      <c r="C649" t="s">
        <v>213</v>
      </c>
      <c r="D649" t="s">
        <v>212</v>
      </c>
      <c r="E649" s="2">
        <v>42247.43</v>
      </c>
      <c r="F649" s="2">
        <v>659548.43000000005</v>
      </c>
      <c r="G649" s="2"/>
      <c r="H649" s="4">
        <f t="shared" si="20"/>
        <v>659548.43000000005</v>
      </c>
      <c r="I649" s="6">
        <f t="shared" si="21"/>
        <v>6.405508387003514E-2</v>
      </c>
    </row>
    <row r="650" spans="1:9" ht="30" customHeight="1" x14ac:dyDescent="0.35">
      <c r="A650" t="s">
        <v>1353</v>
      </c>
      <c r="B650" t="s">
        <v>1354</v>
      </c>
      <c r="C650" t="s">
        <v>15</v>
      </c>
      <c r="D650" t="s">
        <v>14</v>
      </c>
      <c r="E650" s="2">
        <v>258944.31</v>
      </c>
      <c r="F650" s="2">
        <v>1429627.67</v>
      </c>
      <c r="G650" s="2"/>
      <c r="H650" s="4">
        <f t="shared" si="20"/>
        <v>1429627.67</v>
      </c>
      <c r="I650" s="6">
        <f t="shared" si="21"/>
        <v>0.18112709723924134</v>
      </c>
    </row>
    <row r="651" spans="1:9" ht="30" customHeight="1" x14ac:dyDescent="0.35">
      <c r="A651" t="s">
        <v>1355</v>
      </c>
      <c r="B651" t="s">
        <v>1356</v>
      </c>
      <c r="C651" t="s">
        <v>253</v>
      </c>
      <c r="D651" t="s">
        <v>252</v>
      </c>
      <c r="E651" s="2">
        <v>1494486.33</v>
      </c>
      <c r="F651" s="2">
        <v>269518.92</v>
      </c>
      <c r="G651" s="2"/>
      <c r="H651" s="4">
        <f t="shared" si="20"/>
        <v>269518.92</v>
      </c>
      <c r="I651" s="6">
        <f t="shared" si="21"/>
        <v>5.5450145392390269</v>
      </c>
    </row>
    <row r="652" spans="1:9" ht="30" customHeight="1" x14ac:dyDescent="0.35">
      <c r="A652" t="s">
        <v>1357</v>
      </c>
      <c r="B652" t="s">
        <v>1358</v>
      </c>
      <c r="C652" t="s">
        <v>109</v>
      </c>
      <c r="D652" t="s">
        <v>108</v>
      </c>
      <c r="E652" s="2">
        <v>1001832.72</v>
      </c>
      <c r="F652" s="2"/>
      <c r="G652" s="2"/>
      <c r="H652" s="4" t="str">
        <f t="shared" si="20"/>
        <v/>
      </c>
      <c r="I652" s="6" t="str">
        <f t="shared" si="21"/>
        <v/>
      </c>
    </row>
    <row r="653" spans="1:9" ht="30" customHeight="1" x14ac:dyDescent="0.35">
      <c r="A653" t="s">
        <v>1359</v>
      </c>
      <c r="B653" t="s">
        <v>1360</v>
      </c>
      <c r="C653" t="s">
        <v>67</v>
      </c>
      <c r="D653" t="s">
        <v>66</v>
      </c>
      <c r="E653" s="2"/>
      <c r="F653" s="2">
        <v>15839.09</v>
      </c>
      <c r="G653" s="2"/>
      <c r="H653" s="4">
        <f t="shared" si="20"/>
        <v>15839.09</v>
      </c>
      <c r="I653" s="6">
        <f t="shared" si="21"/>
        <v>0</v>
      </c>
    </row>
    <row r="654" spans="1:9" ht="30" customHeight="1" x14ac:dyDescent="0.35">
      <c r="A654" t="s">
        <v>1361</v>
      </c>
      <c r="B654" t="s">
        <v>1362</v>
      </c>
      <c r="C654" t="s">
        <v>51</v>
      </c>
      <c r="D654" t="s">
        <v>50</v>
      </c>
      <c r="E654" s="2"/>
      <c r="F654" s="2">
        <v>12288.48</v>
      </c>
      <c r="G654" s="2"/>
      <c r="H654" s="4">
        <f t="shared" si="20"/>
        <v>12288.48</v>
      </c>
      <c r="I654" s="6">
        <f t="shared" si="21"/>
        <v>0</v>
      </c>
    </row>
    <row r="655" spans="1:9" ht="30" customHeight="1" x14ac:dyDescent="0.35">
      <c r="A655" t="s">
        <v>1363</v>
      </c>
      <c r="B655" t="s">
        <v>1364</v>
      </c>
      <c r="C655" t="s">
        <v>385</v>
      </c>
      <c r="D655" t="s">
        <v>384</v>
      </c>
      <c r="E655" s="2"/>
      <c r="F655" s="2">
        <v>45595.51</v>
      </c>
      <c r="G655" s="2"/>
      <c r="H655" s="4">
        <f t="shared" si="20"/>
        <v>45595.51</v>
      </c>
      <c r="I655" s="6">
        <f t="shared" si="21"/>
        <v>0</v>
      </c>
    </row>
    <row r="656" spans="1:9" ht="30" customHeight="1" x14ac:dyDescent="0.35">
      <c r="A656" t="s">
        <v>1365</v>
      </c>
      <c r="B656" t="s">
        <v>1366</v>
      </c>
      <c r="C656" t="s">
        <v>109</v>
      </c>
      <c r="D656" t="s">
        <v>108</v>
      </c>
      <c r="E656" s="2">
        <v>67814.679999999993</v>
      </c>
      <c r="F656" s="2"/>
      <c r="G656" s="2"/>
      <c r="H656" s="4" t="str">
        <f t="shared" si="20"/>
        <v/>
      </c>
      <c r="I656" s="6" t="str">
        <f t="shared" si="21"/>
        <v/>
      </c>
    </row>
    <row r="657" spans="1:9" ht="30" customHeight="1" x14ac:dyDescent="0.35">
      <c r="A657" t="s">
        <v>1367</v>
      </c>
      <c r="B657" t="s">
        <v>1368</v>
      </c>
      <c r="C657" t="s">
        <v>15</v>
      </c>
      <c r="D657" t="s">
        <v>14</v>
      </c>
      <c r="E657" s="2">
        <v>2739.04</v>
      </c>
      <c r="F657" s="2"/>
      <c r="G657" s="2"/>
      <c r="H657" s="4" t="str">
        <f t="shared" si="20"/>
        <v/>
      </c>
      <c r="I657" s="6" t="str">
        <f t="shared" si="21"/>
        <v/>
      </c>
    </row>
    <row r="658" spans="1:9" ht="30" customHeight="1" x14ac:dyDescent="0.35">
      <c r="A658" t="s">
        <v>1369</v>
      </c>
      <c r="B658" t="s">
        <v>1370</v>
      </c>
      <c r="C658" t="s">
        <v>213</v>
      </c>
      <c r="D658" t="s">
        <v>212</v>
      </c>
      <c r="E658" s="2">
        <v>157.63</v>
      </c>
      <c r="F658" s="2">
        <v>440370.12</v>
      </c>
      <c r="G658" s="2">
        <v>142.94999999999999</v>
      </c>
      <c r="H658" s="4">
        <f t="shared" si="20"/>
        <v>440513.07</v>
      </c>
      <c r="I658" s="6">
        <f t="shared" si="21"/>
        <v>3.578327426244129E-4</v>
      </c>
    </row>
    <row r="659" spans="1:9" ht="30" customHeight="1" x14ac:dyDescent="0.35">
      <c r="A659" t="s">
        <v>1371</v>
      </c>
      <c r="B659" t="s">
        <v>1372</v>
      </c>
      <c r="C659" t="s">
        <v>15</v>
      </c>
      <c r="D659" t="s">
        <v>14</v>
      </c>
      <c r="E659" s="2">
        <v>10000</v>
      </c>
      <c r="F659" s="2">
        <v>7450493.46</v>
      </c>
      <c r="G659" s="2"/>
      <c r="H659" s="4">
        <f t="shared" si="20"/>
        <v>7450493.46</v>
      </c>
      <c r="I659" s="6">
        <f t="shared" si="21"/>
        <v>1.342192977376293E-3</v>
      </c>
    </row>
    <row r="660" spans="1:9" ht="30" customHeight="1" x14ac:dyDescent="0.35">
      <c r="A660" t="s">
        <v>1373</v>
      </c>
      <c r="B660" t="s">
        <v>1374</v>
      </c>
      <c r="C660" t="s">
        <v>642</v>
      </c>
      <c r="D660" t="s">
        <v>641</v>
      </c>
      <c r="E660" s="2">
        <v>8689.61</v>
      </c>
      <c r="F660" s="2">
        <v>68434.570000000007</v>
      </c>
      <c r="G660" s="2"/>
      <c r="H660" s="4">
        <f t="shared" si="20"/>
        <v>68434.570000000007</v>
      </c>
      <c r="I660" s="6">
        <f t="shared" si="21"/>
        <v>0.12697690655468427</v>
      </c>
    </row>
    <row r="661" spans="1:9" ht="30" customHeight="1" x14ac:dyDescent="0.35">
      <c r="A661" t="s">
        <v>1375</v>
      </c>
      <c r="B661" t="s">
        <v>1376</v>
      </c>
      <c r="C661" t="s">
        <v>57</v>
      </c>
      <c r="D661" t="s">
        <v>56</v>
      </c>
      <c r="E661" s="2">
        <v>202921.56</v>
      </c>
      <c r="F661" s="2">
        <v>111782.04</v>
      </c>
      <c r="G661" s="2"/>
      <c r="H661" s="4">
        <f t="shared" si="20"/>
        <v>111782.04</v>
      </c>
      <c r="I661" s="6">
        <f t="shared" si="21"/>
        <v>1.8153324093924212</v>
      </c>
    </row>
    <row r="662" spans="1:9" ht="30" customHeight="1" x14ac:dyDescent="0.35">
      <c r="A662" t="s">
        <v>1377</v>
      </c>
      <c r="B662" t="s">
        <v>1378</v>
      </c>
      <c r="C662" t="s">
        <v>101</v>
      </c>
      <c r="D662" t="s">
        <v>100</v>
      </c>
      <c r="E662" s="2">
        <v>105624.16</v>
      </c>
      <c r="F662" s="2"/>
      <c r="G662" s="2"/>
      <c r="H662" s="4" t="str">
        <f t="shared" si="20"/>
        <v/>
      </c>
      <c r="I662" s="6" t="str">
        <f t="shared" si="21"/>
        <v/>
      </c>
    </row>
    <row r="663" spans="1:9" ht="30" customHeight="1" x14ac:dyDescent="0.35">
      <c r="A663" t="s">
        <v>1379</v>
      </c>
      <c r="B663" t="s">
        <v>1380</v>
      </c>
      <c r="C663" t="s">
        <v>67</v>
      </c>
      <c r="D663" t="s">
        <v>66</v>
      </c>
      <c r="E663" s="2">
        <v>4616.51</v>
      </c>
      <c r="F663" s="2">
        <v>121208.29</v>
      </c>
      <c r="G663" s="2">
        <v>44791.71</v>
      </c>
      <c r="H663" s="4">
        <f t="shared" si="20"/>
        <v>166000</v>
      </c>
      <c r="I663" s="6">
        <f t="shared" si="21"/>
        <v>2.7810301204819279E-2</v>
      </c>
    </row>
    <row r="664" spans="1:9" ht="30" customHeight="1" x14ac:dyDescent="0.35">
      <c r="A664" t="s">
        <v>1381</v>
      </c>
      <c r="B664" t="s">
        <v>1382</v>
      </c>
      <c r="C664" t="s">
        <v>15</v>
      </c>
      <c r="D664" t="s">
        <v>14</v>
      </c>
      <c r="E664" s="2">
        <v>34319.43</v>
      </c>
      <c r="F664" s="2">
        <v>201023.81</v>
      </c>
      <c r="G664" s="2"/>
      <c r="H664" s="4">
        <f t="shared" si="20"/>
        <v>201023.81</v>
      </c>
      <c r="I664" s="6">
        <f t="shared" si="21"/>
        <v>0.17072320935515051</v>
      </c>
    </row>
    <row r="665" spans="1:9" ht="30" customHeight="1" x14ac:dyDescent="0.35">
      <c r="A665" t="s">
        <v>1383</v>
      </c>
      <c r="B665" t="s">
        <v>1384</v>
      </c>
      <c r="C665" t="s">
        <v>253</v>
      </c>
      <c r="D665" t="s">
        <v>252</v>
      </c>
      <c r="E665" s="2">
        <v>343220.01</v>
      </c>
      <c r="F665" s="2">
        <v>256795.25</v>
      </c>
      <c r="G665" s="2">
        <v>237868.65</v>
      </c>
      <c r="H665" s="4">
        <f t="shared" si="20"/>
        <v>494663.9</v>
      </c>
      <c r="I665" s="6">
        <f t="shared" si="21"/>
        <v>0.69384487123479188</v>
      </c>
    </row>
    <row r="666" spans="1:9" ht="30" customHeight="1" x14ac:dyDescent="0.35">
      <c r="A666" t="s">
        <v>1385</v>
      </c>
      <c r="B666" t="s">
        <v>1386</v>
      </c>
      <c r="C666" t="s">
        <v>457</v>
      </c>
      <c r="D666" t="s">
        <v>456</v>
      </c>
      <c r="E666" s="2">
        <v>219705.72</v>
      </c>
      <c r="F666" s="2">
        <v>411029.64</v>
      </c>
      <c r="G666" s="2">
        <v>0</v>
      </c>
      <c r="H666" s="4">
        <f t="shared" si="20"/>
        <v>411029.64</v>
      </c>
      <c r="I666" s="6">
        <f t="shared" si="21"/>
        <v>0.53452524737632057</v>
      </c>
    </row>
    <row r="667" spans="1:9" ht="30" customHeight="1" x14ac:dyDescent="0.35">
      <c r="A667" t="s">
        <v>1387</v>
      </c>
      <c r="B667" t="s">
        <v>1388</v>
      </c>
      <c r="C667" t="s">
        <v>259</v>
      </c>
      <c r="D667" t="s">
        <v>258</v>
      </c>
      <c r="E667" s="2"/>
      <c r="F667" s="2">
        <v>4192932.14</v>
      </c>
      <c r="G667" s="2"/>
      <c r="H667" s="4">
        <f t="shared" si="20"/>
        <v>4192932.14</v>
      </c>
      <c r="I667" s="6">
        <f t="shared" si="21"/>
        <v>0</v>
      </c>
    </row>
    <row r="668" spans="1:9" ht="30" customHeight="1" x14ac:dyDescent="0.35">
      <c r="A668" t="s">
        <v>252</v>
      </c>
      <c r="B668" t="s">
        <v>1389</v>
      </c>
      <c r="C668" t="s">
        <v>101</v>
      </c>
      <c r="D668" t="s">
        <v>100</v>
      </c>
      <c r="E668" s="2">
        <v>333322.03999999998</v>
      </c>
      <c r="F668" s="2"/>
      <c r="G668" s="2"/>
      <c r="H668" s="4" t="str">
        <f t="shared" si="20"/>
        <v/>
      </c>
      <c r="I668" s="6" t="str">
        <f t="shared" si="21"/>
        <v/>
      </c>
    </row>
    <row r="669" spans="1:9" ht="30" customHeight="1" x14ac:dyDescent="0.35">
      <c r="A669" t="s">
        <v>1390</v>
      </c>
      <c r="B669" t="s">
        <v>1391</v>
      </c>
      <c r="C669" t="s">
        <v>33</v>
      </c>
      <c r="D669" t="s">
        <v>32</v>
      </c>
      <c r="E669" s="2">
        <v>13613.6</v>
      </c>
      <c r="F669" s="2">
        <v>430392.22</v>
      </c>
      <c r="G669" s="2"/>
      <c r="H669" s="4">
        <f t="shared" si="20"/>
        <v>430392.22</v>
      </c>
      <c r="I669" s="6">
        <f t="shared" si="21"/>
        <v>3.1630683286979495E-2</v>
      </c>
    </row>
    <row r="670" spans="1:9" ht="30" customHeight="1" x14ac:dyDescent="0.35">
      <c r="A670" t="s">
        <v>1392</v>
      </c>
      <c r="B670" t="s">
        <v>1393</v>
      </c>
      <c r="C670" t="s">
        <v>41</v>
      </c>
      <c r="D670" t="s">
        <v>40</v>
      </c>
      <c r="E670" s="2">
        <v>77932.06</v>
      </c>
      <c r="F670" s="2">
        <v>292701.78000000003</v>
      </c>
      <c r="G670" s="2"/>
      <c r="H670" s="4">
        <f t="shared" si="20"/>
        <v>292701.78000000003</v>
      </c>
      <c r="I670" s="6">
        <f t="shared" si="21"/>
        <v>0.26625072112646525</v>
      </c>
    </row>
    <row r="671" spans="1:9" ht="30" customHeight="1" x14ac:dyDescent="0.35">
      <c r="A671" t="s">
        <v>1394</v>
      </c>
      <c r="B671" t="s">
        <v>1395</v>
      </c>
      <c r="C671" t="s">
        <v>259</v>
      </c>
      <c r="D671" t="s">
        <v>258</v>
      </c>
      <c r="E671" s="2">
        <v>2456728</v>
      </c>
      <c r="F671" s="2">
        <v>3180655.04</v>
      </c>
      <c r="G671" s="2"/>
      <c r="H671" s="4">
        <f t="shared" si="20"/>
        <v>3180655.04</v>
      </c>
      <c r="I671" s="6">
        <f t="shared" si="21"/>
        <v>0.77239687080306574</v>
      </c>
    </row>
    <row r="672" spans="1:9" ht="30" customHeight="1" x14ac:dyDescent="0.35">
      <c r="A672" t="s">
        <v>486</v>
      </c>
      <c r="B672" t="s">
        <v>1396</v>
      </c>
      <c r="C672" t="s">
        <v>41</v>
      </c>
      <c r="D672" t="s">
        <v>40</v>
      </c>
      <c r="E672" s="2">
        <v>6525.15</v>
      </c>
      <c r="F672" s="2"/>
      <c r="G672" s="2"/>
      <c r="H672" s="4" t="str">
        <f t="shared" si="20"/>
        <v/>
      </c>
      <c r="I672" s="6" t="str">
        <f t="shared" si="21"/>
        <v/>
      </c>
    </row>
    <row r="673" spans="1:9" ht="30" customHeight="1" x14ac:dyDescent="0.35">
      <c r="A673" t="s">
        <v>1397</v>
      </c>
      <c r="B673" t="s">
        <v>1398</v>
      </c>
      <c r="C673" t="s">
        <v>15</v>
      </c>
      <c r="D673" t="s">
        <v>14</v>
      </c>
      <c r="E673" s="2">
        <v>262478.02</v>
      </c>
      <c r="F673" s="2">
        <v>0</v>
      </c>
      <c r="G673" s="2"/>
      <c r="H673" s="4">
        <f t="shared" si="20"/>
        <v>0</v>
      </c>
      <c r="I673" s="6" t="e">
        <f t="shared" si="21"/>
        <v>#DIV/0!</v>
      </c>
    </row>
    <row r="674" spans="1:9" ht="30" customHeight="1" x14ac:dyDescent="0.35">
      <c r="A674" t="s">
        <v>1399</v>
      </c>
      <c r="B674" t="s">
        <v>1400</v>
      </c>
      <c r="C674" t="s">
        <v>41</v>
      </c>
      <c r="D674" t="s">
        <v>40</v>
      </c>
      <c r="E674" s="2">
        <v>102286.49</v>
      </c>
      <c r="F674" s="2">
        <v>493969.82</v>
      </c>
      <c r="G674" s="2"/>
      <c r="H674" s="4">
        <f t="shared" si="20"/>
        <v>493969.82</v>
      </c>
      <c r="I674" s="6">
        <f t="shared" si="21"/>
        <v>0.20707032263631006</v>
      </c>
    </row>
    <row r="675" spans="1:9" ht="30" customHeight="1" x14ac:dyDescent="0.35">
      <c r="A675" t="s">
        <v>1401</v>
      </c>
      <c r="B675" t="s">
        <v>1402</v>
      </c>
      <c r="C675" t="s">
        <v>15</v>
      </c>
      <c r="D675" t="s">
        <v>14</v>
      </c>
      <c r="E675" s="2">
        <v>111493.48</v>
      </c>
      <c r="F675" s="2">
        <v>5935657.8499999996</v>
      </c>
      <c r="G675" s="2"/>
      <c r="H675" s="4">
        <f t="shared" si="20"/>
        <v>5935657.8499999996</v>
      </c>
      <c r="I675" s="6">
        <f t="shared" si="21"/>
        <v>1.8783677027475566E-2</v>
      </c>
    </row>
    <row r="676" spans="1:9" ht="30" customHeight="1" x14ac:dyDescent="0.35">
      <c r="A676" t="s">
        <v>1403</v>
      </c>
      <c r="B676" t="s">
        <v>1404</v>
      </c>
      <c r="C676" t="s">
        <v>41</v>
      </c>
      <c r="D676" t="s">
        <v>40</v>
      </c>
      <c r="E676" s="2">
        <v>425510.07</v>
      </c>
      <c r="F676" s="2">
        <v>200461.1</v>
      </c>
      <c r="G676" s="2">
        <v>57287.34</v>
      </c>
      <c r="H676" s="4">
        <f t="shared" si="20"/>
        <v>257748.44</v>
      </c>
      <c r="I676" s="6">
        <f t="shared" si="21"/>
        <v>1.6508735028619379</v>
      </c>
    </row>
    <row r="677" spans="1:9" ht="30" customHeight="1" x14ac:dyDescent="0.35">
      <c r="A677" t="s">
        <v>1405</v>
      </c>
      <c r="B677" t="s">
        <v>1406</v>
      </c>
      <c r="C677" t="s">
        <v>213</v>
      </c>
      <c r="D677" t="s">
        <v>212</v>
      </c>
      <c r="E677" s="2">
        <v>25865.14</v>
      </c>
      <c r="F677" s="2">
        <v>163270.26999999999</v>
      </c>
      <c r="G677" s="2"/>
      <c r="H677" s="4">
        <f t="shared" si="20"/>
        <v>163270.26999999999</v>
      </c>
      <c r="I677" s="6">
        <f t="shared" si="21"/>
        <v>0.15841916596328284</v>
      </c>
    </row>
    <row r="678" spans="1:9" ht="30" customHeight="1" x14ac:dyDescent="0.35">
      <c r="A678" t="s">
        <v>1407</v>
      </c>
      <c r="B678" t="s">
        <v>1408</v>
      </c>
      <c r="C678" t="s">
        <v>213</v>
      </c>
      <c r="D678" t="s">
        <v>212</v>
      </c>
      <c r="E678" s="2"/>
      <c r="F678" s="2">
        <v>1648359.68</v>
      </c>
      <c r="G678" s="2"/>
      <c r="H678" s="4">
        <f t="shared" si="20"/>
        <v>1648359.68</v>
      </c>
      <c r="I678" s="6">
        <f t="shared" si="21"/>
        <v>0</v>
      </c>
    </row>
    <row r="679" spans="1:9" ht="30" customHeight="1" x14ac:dyDescent="0.35">
      <c r="A679" t="s">
        <v>1409</v>
      </c>
      <c r="B679" t="s">
        <v>1410</v>
      </c>
      <c r="C679" t="s">
        <v>67</v>
      </c>
      <c r="D679" t="s">
        <v>66</v>
      </c>
      <c r="E679" s="2"/>
      <c r="F679" s="2">
        <v>2466473.12</v>
      </c>
      <c r="G679" s="2">
        <v>72285.83</v>
      </c>
      <c r="H679" s="4">
        <f t="shared" si="20"/>
        <v>2538758.9500000002</v>
      </c>
      <c r="I679" s="6">
        <f t="shared" si="21"/>
        <v>0</v>
      </c>
    </row>
    <row r="680" spans="1:9" ht="30" customHeight="1" x14ac:dyDescent="0.35">
      <c r="A680" t="s">
        <v>1411</v>
      </c>
      <c r="B680" t="s">
        <v>1412</v>
      </c>
      <c r="C680" t="s">
        <v>253</v>
      </c>
      <c r="D680" t="s">
        <v>252</v>
      </c>
      <c r="E680" s="2">
        <v>183314</v>
      </c>
      <c r="F680" s="2">
        <v>4621827.3600000003</v>
      </c>
      <c r="G680" s="2"/>
      <c r="H680" s="4">
        <f t="shared" si="20"/>
        <v>4621827.3600000003</v>
      </c>
      <c r="I680" s="6">
        <f t="shared" si="21"/>
        <v>3.9662667105765714E-2</v>
      </c>
    </row>
    <row r="681" spans="1:9" ht="30" customHeight="1" x14ac:dyDescent="0.35">
      <c r="A681" t="s">
        <v>1413</v>
      </c>
      <c r="B681" t="s">
        <v>1414</v>
      </c>
      <c r="C681" t="s">
        <v>253</v>
      </c>
      <c r="D681" t="s">
        <v>252</v>
      </c>
      <c r="E681" s="2">
        <v>143811.76</v>
      </c>
      <c r="F681" s="2">
        <v>313898.46999999997</v>
      </c>
      <c r="G681" s="2">
        <v>600336.29</v>
      </c>
      <c r="H681" s="4">
        <f t="shared" si="20"/>
        <v>914234.76</v>
      </c>
      <c r="I681" s="6">
        <f t="shared" si="21"/>
        <v>0.15730287918608565</v>
      </c>
    </row>
    <row r="682" spans="1:9" ht="30" customHeight="1" x14ac:dyDescent="0.35">
      <c r="A682" t="s">
        <v>1415</v>
      </c>
      <c r="B682" t="s">
        <v>1416</v>
      </c>
      <c r="C682" t="s">
        <v>259</v>
      </c>
      <c r="D682" t="s">
        <v>258</v>
      </c>
      <c r="E682" s="2">
        <v>25804.68</v>
      </c>
      <c r="F682" s="2">
        <v>636307.72</v>
      </c>
      <c r="G682" s="2"/>
      <c r="H682" s="4">
        <f t="shared" si="20"/>
        <v>636307.72</v>
      </c>
      <c r="I682" s="6">
        <f t="shared" si="21"/>
        <v>4.0553774830831849E-2</v>
      </c>
    </row>
    <row r="683" spans="1:9" ht="30" customHeight="1" x14ac:dyDescent="0.35">
      <c r="A683" t="s">
        <v>1417</v>
      </c>
      <c r="B683" t="s">
        <v>1418</v>
      </c>
      <c r="C683" t="s">
        <v>253</v>
      </c>
      <c r="D683" t="s">
        <v>252</v>
      </c>
      <c r="E683" s="2"/>
      <c r="F683" s="2">
        <v>2850841.81</v>
      </c>
      <c r="G683" s="2"/>
      <c r="H683" s="4">
        <f t="shared" si="20"/>
        <v>2850841.81</v>
      </c>
      <c r="I683" s="6">
        <f t="shared" si="21"/>
        <v>0</v>
      </c>
    </row>
    <row r="684" spans="1:9" ht="30" customHeight="1" x14ac:dyDescent="0.35">
      <c r="A684" t="s">
        <v>1419</v>
      </c>
      <c r="B684" t="s">
        <v>1420</v>
      </c>
      <c r="C684" t="s">
        <v>101</v>
      </c>
      <c r="D684" t="s">
        <v>100</v>
      </c>
      <c r="E684" s="2">
        <v>2195.19</v>
      </c>
      <c r="F684" s="2"/>
      <c r="G684" s="2"/>
      <c r="H684" s="4" t="str">
        <f t="shared" si="20"/>
        <v/>
      </c>
      <c r="I684" s="6" t="str">
        <f t="shared" si="21"/>
        <v/>
      </c>
    </row>
    <row r="685" spans="1:9" ht="30" customHeight="1" x14ac:dyDescent="0.35">
      <c r="A685" t="s">
        <v>1421</v>
      </c>
      <c r="B685" t="s">
        <v>1422</v>
      </c>
      <c r="C685" t="s">
        <v>41</v>
      </c>
      <c r="D685" t="s">
        <v>40</v>
      </c>
      <c r="E685" s="2">
        <v>56205.760000000002</v>
      </c>
      <c r="F685" s="2"/>
      <c r="G685" s="2"/>
      <c r="H685" s="4" t="str">
        <f t="shared" si="20"/>
        <v/>
      </c>
      <c r="I685" s="6" t="str">
        <f t="shared" si="21"/>
        <v/>
      </c>
    </row>
    <row r="686" spans="1:9" ht="30" customHeight="1" x14ac:dyDescent="0.35">
      <c r="A686" t="s">
        <v>1423</v>
      </c>
      <c r="B686" t="s">
        <v>1424</v>
      </c>
      <c r="C686" t="s">
        <v>253</v>
      </c>
      <c r="D686" t="s">
        <v>252</v>
      </c>
      <c r="E686" s="2">
        <v>87529.33</v>
      </c>
      <c r="F686" s="2">
        <v>1643921.59</v>
      </c>
      <c r="G686" s="2"/>
      <c r="H686" s="4">
        <f t="shared" si="20"/>
        <v>1643921.59</v>
      </c>
      <c r="I686" s="6">
        <f t="shared" si="21"/>
        <v>5.3244224379339164E-2</v>
      </c>
    </row>
    <row r="687" spans="1:9" ht="30" customHeight="1" x14ac:dyDescent="0.35">
      <c r="A687" t="s">
        <v>1425</v>
      </c>
      <c r="B687" t="s">
        <v>1426</v>
      </c>
      <c r="C687" t="s">
        <v>457</v>
      </c>
      <c r="D687" t="s">
        <v>456</v>
      </c>
      <c r="E687" s="2">
        <v>74903.17</v>
      </c>
      <c r="F687" s="2">
        <v>258025.03</v>
      </c>
      <c r="G687" s="2">
        <v>319063.8</v>
      </c>
      <c r="H687" s="4">
        <f t="shared" si="20"/>
        <v>577088.82999999996</v>
      </c>
      <c r="I687" s="6">
        <f t="shared" si="21"/>
        <v>0.1297948705747779</v>
      </c>
    </row>
    <row r="688" spans="1:9" ht="30" customHeight="1" x14ac:dyDescent="0.35">
      <c r="A688" t="s">
        <v>1427</v>
      </c>
      <c r="B688" t="s">
        <v>1428</v>
      </c>
      <c r="C688" t="s">
        <v>253</v>
      </c>
      <c r="D688" t="s">
        <v>252</v>
      </c>
      <c r="E688" s="2"/>
      <c r="F688" s="2">
        <v>1074784.73</v>
      </c>
      <c r="G688" s="2"/>
      <c r="H688" s="4">
        <f t="shared" si="20"/>
        <v>1074784.73</v>
      </c>
      <c r="I688" s="6">
        <f t="shared" si="21"/>
        <v>0</v>
      </c>
    </row>
    <row r="689" spans="1:9" ht="30" customHeight="1" x14ac:dyDescent="0.35">
      <c r="A689" t="s">
        <v>1429</v>
      </c>
      <c r="B689" t="s">
        <v>1430</v>
      </c>
      <c r="C689" t="s">
        <v>253</v>
      </c>
      <c r="D689" t="s">
        <v>252</v>
      </c>
      <c r="E689" s="2"/>
      <c r="F689" s="2">
        <v>3793821.86</v>
      </c>
      <c r="G689" s="2"/>
      <c r="H689" s="4">
        <f t="shared" si="20"/>
        <v>3793821.86</v>
      </c>
      <c r="I689" s="6">
        <f t="shared" si="21"/>
        <v>0</v>
      </c>
    </row>
    <row r="690" spans="1:9" ht="30" customHeight="1" x14ac:dyDescent="0.35">
      <c r="A690" t="s">
        <v>1431</v>
      </c>
      <c r="B690" t="s">
        <v>1432</v>
      </c>
      <c r="C690" t="s">
        <v>15</v>
      </c>
      <c r="D690" t="s">
        <v>14</v>
      </c>
      <c r="E690" s="2">
        <v>2983144.22</v>
      </c>
      <c r="F690" s="2">
        <v>101014.75</v>
      </c>
      <c r="G690" s="2">
        <v>1000000</v>
      </c>
      <c r="H690" s="4">
        <f t="shared" si="20"/>
        <v>1101014.75</v>
      </c>
      <c r="I690" s="6">
        <f t="shared" si="21"/>
        <v>2.7094498234469611</v>
      </c>
    </row>
    <row r="691" spans="1:9" ht="30" customHeight="1" x14ac:dyDescent="0.35">
      <c r="A691" t="s">
        <v>1433</v>
      </c>
      <c r="B691" t="s">
        <v>1434</v>
      </c>
      <c r="C691" t="s">
        <v>15</v>
      </c>
      <c r="D691" t="s">
        <v>14</v>
      </c>
      <c r="E691" s="2">
        <v>922876.63</v>
      </c>
      <c r="F691" s="2">
        <v>0</v>
      </c>
      <c r="G691" s="2">
        <v>500000</v>
      </c>
      <c r="H691" s="4">
        <f t="shared" ref="H691:H752" si="22">IF(ISBLANK(F691),"",(F691+G691))</f>
        <v>500000</v>
      </c>
      <c r="I691" s="6">
        <f t="shared" ref="I691:I752" si="23">IF(ISBLANK(F691), "", E691/H691)</f>
        <v>1.84575326</v>
      </c>
    </row>
    <row r="692" spans="1:9" ht="30" customHeight="1" x14ac:dyDescent="0.35">
      <c r="A692" t="s">
        <v>1435</v>
      </c>
      <c r="B692" t="s">
        <v>1436</v>
      </c>
      <c r="C692" t="s">
        <v>67</v>
      </c>
      <c r="D692" t="s">
        <v>66</v>
      </c>
      <c r="E692" s="2"/>
      <c r="F692" s="2">
        <v>123361.36</v>
      </c>
      <c r="G692" s="2"/>
      <c r="H692" s="4">
        <f t="shared" si="22"/>
        <v>123361.36</v>
      </c>
      <c r="I692" s="6">
        <f t="shared" si="23"/>
        <v>0</v>
      </c>
    </row>
    <row r="693" spans="1:9" ht="30" customHeight="1" x14ac:dyDescent="0.35">
      <c r="A693" t="s">
        <v>1437</v>
      </c>
      <c r="B693" t="s">
        <v>1438</v>
      </c>
      <c r="C693" t="s">
        <v>41</v>
      </c>
      <c r="D693" t="s">
        <v>40</v>
      </c>
      <c r="E693" s="2"/>
      <c r="F693" s="2">
        <v>266661.73</v>
      </c>
      <c r="G693" s="2"/>
      <c r="H693" s="4">
        <f t="shared" si="22"/>
        <v>266661.73</v>
      </c>
      <c r="I693" s="6">
        <f t="shared" si="23"/>
        <v>0</v>
      </c>
    </row>
    <row r="694" spans="1:9" ht="30" customHeight="1" x14ac:dyDescent="0.35">
      <c r="A694" t="s">
        <v>1439</v>
      </c>
      <c r="B694" t="s">
        <v>1440</v>
      </c>
      <c r="C694" t="s">
        <v>41</v>
      </c>
      <c r="D694" t="s">
        <v>40</v>
      </c>
      <c r="E694" s="2">
        <v>1589.88</v>
      </c>
      <c r="F694" s="2"/>
      <c r="G694" s="2"/>
      <c r="H694" s="4" t="str">
        <f t="shared" si="22"/>
        <v/>
      </c>
      <c r="I694" s="6" t="str">
        <f t="shared" si="23"/>
        <v/>
      </c>
    </row>
    <row r="695" spans="1:9" ht="30" customHeight="1" x14ac:dyDescent="0.35">
      <c r="A695" t="s">
        <v>1441</v>
      </c>
      <c r="B695" t="s">
        <v>1442</v>
      </c>
      <c r="C695" t="s">
        <v>213</v>
      </c>
      <c r="D695" t="s">
        <v>212</v>
      </c>
      <c r="E695" s="2">
        <v>58180.97</v>
      </c>
      <c r="F695" s="2">
        <v>603246.01</v>
      </c>
      <c r="G695" s="2"/>
      <c r="H695" s="4">
        <f t="shared" si="22"/>
        <v>603246.01</v>
      </c>
      <c r="I695" s="6">
        <f t="shared" si="23"/>
        <v>9.6446506127740486E-2</v>
      </c>
    </row>
    <row r="696" spans="1:9" ht="30" customHeight="1" x14ac:dyDescent="0.35">
      <c r="A696" t="s">
        <v>1443</v>
      </c>
      <c r="B696" t="s">
        <v>1444</v>
      </c>
      <c r="C696" t="s">
        <v>19</v>
      </c>
      <c r="D696" t="s">
        <v>18</v>
      </c>
      <c r="E696" s="2">
        <v>62719.43</v>
      </c>
      <c r="F696" s="2"/>
      <c r="G696" s="2"/>
      <c r="H696" s="4" t="str">
        <f t="shared" si="22"/>
        <v/>
      </c>
      <c r="I696" s="6" t="str">
        <f t="shared" si="23"/>
        <v/>
      </c>
    </row>
    <row r="697" spans="1:9" ht="30" customHeight="1" x14ac:dyDescent="0.35">
      <c r="A697" t="s">
        <v>1445</v>
      </c>
      <c r="B697" t="s">
        <v>1446</v>
      </c>
      <c r="C697" t="s">
        <v>457</v>
      </c>
      <c r="D697" t="s">
        <v>456</v>
      </c>
      <c r="E697" s="2"/>
      <c r="F697" s="2">
        <v>513000.13</v>
      </c>
      <c r="G697" s="2">
        <v>400000</v>
      </c>
      <c r="H697" s="4">
        <f t="shared" si="22"/>
        <v>913000.13</v>
      </c>
      <c r="I697" s="6">
        <f t="shared" si="23"/>
        <v>0</v>
      </c>
    </row>
    <row r="698" spans="1:9" ht="30" customHeight="1" x14ac:dyDescent="0.35">
      <c r="A698" t="s">
        <v>1447</v>
      </c>
      <c r="B698" t="s">
        <v>1448</v>
      </c>
      <c r="C698" t="s">
        <v>465</v>
      </c>
      <c r="D698" t="s">
        <v>464</v>
      </c>
      <c r="E698" s="2">
        <v>2180064.79</v>
      </c>
      <c r="F698" s="2">
        <v>3458025.07</v>
      </c>
      <c r="G698" s="2"/>
      <c r="H698" s="4">
        <f t="shared" si="22"/>
        <v>3458025.07</v>
      </c>
      <c r="I698" s="6">
        <f t="shared" si="23"/>
        <v>0.63043637506075112</v>
      </c>
    </row>
    <row r="699" spans="1:9" ht="30" customHeight="1" x14ac:dyDescent="0.35">
      <c r="A699" t="s">
        <v>1449</v>
      </c>
      <c r="B699" t="s">
        <v>1450</v>
      </c>
      <c r="C699" t="s">
        <v>253</v>
      </c>
      <c r="D699" t="s">
        <v>252</v>
      </c>
      <c r="E699" s="2">
        <v>57609.120000000003</v>
      </c>
      <c r="F699" s="2">
        <v>732930.36</v>
      </c>
      <c r="G699" s="2"/>
      <c r="H699" s="4">
        <f t="shared" si="22"/>
        <v>732930.36</v>
      </c>
      <c r="I699" s="6">
        <f t="shared" si="23"/>
        <v>7.8601082918710041E-2</v>
      </c>
    </row>
    <row r="700" spans="1:9" ht="30" customHeight="1" x14ac:dyDescent="0.35">
      <c r="A700" t="s">
        <v>1451</v>
      </c>
      <c r="B700" t="s">
        <v>1452</v>
      </c>
      <c r="C700" t="s">
        <v>19</v>
      </c>
      <c r="D700" t="s">
        <v>18</v>
      </c>
      <c r="E700" s="2">
        <v>674.1</v>
      </c>
      <c r="F700" s="2"/>
      <c r="G700" s="2"/>
      <c r="H700" s="4" t="str">
        <f t="shared" si="22"/>
        <v/>
      </c>
      <c r="I700" s="6" t="str">
        <f t="shared" si="23"/>
        <v/>
      </c>
    </row>
    <row r="701" spans="1:9" ht="30" customHeight="1" x14ac:dyDescent="0.35">
      <c r="A701" t="s">
        <v>1453</v>
      </c>
      <c r="B701" t="s">
        <v>1454</v>
      </c>
      <c r="C701" t="s">
        <v>101</v>
      </c>
      <c r="D701" t="s">
        <v>100</v>
      </c>
      <c r="E701" s="2">
        <v>476993.2</v>
      </c>
      <c r="F701" s="2">
        <v>2777221.21</v>
      </c>
      <c r="G701" s="2">
        <v>500000</v>
      </c>
      <c r="H701" s="4">
        <f t="shared" si="22"/>
        <v>3277221.21</v>
      </c>
      <c r="I701" s="6">
        <f t="shared" si="23"/>
        <v>0.14554806326302278</v>
      </c>
    </row>
    <row r="702" spans="1:9" ht="30" customHeight="1" x14ac:dyDescent="0.35">
      <c r="A702" t="s">
        <v>1455</v>
      </c>
      <c r="B702" t="s">
        <v>1456</v>
      </c>
      <c r="C702" t="s">
        <v>19</v>
      </c>
      <c r="D702" t="s">
        <v>18</v>
      </c>
      <c r="E702" s="2">
        <v>61108.13</v>
      </c>
      <c r="F702" s="2"/>
      <c r="G702" s="2"/>
      <c r="H702" s="4" t="str">
        <f t="shared" si="22"/>
        <v/>
      </c>
      <c r="I702" s="6" t="str">
        <f t="shared" si="23"/>
        <v/>
      </c>
    </row>
    <row r="703" spans="1:9" ht="30" customHeight="1" x14ac:dyDescent="0.35">
      <c r="A703" t="s">
        <v>1457</v>
      </c>
      <c r="B703" t="s">
        <v>1458</v>
      </c>
      <c r="C703" t="s">
        <v>19</v>
      </c>
      <c r="D703" t="s">
        <v>18</v>
      </c>
      <c r="E703" s="2">
        <v>3053.01</v>
      </c>
      <c r="F703" s="2">
        <v>0</v>
      </c>
      <c r="G703" s="2">
        <v>100000</v>
      </c>
      <c r="H703" s="4">
        <f t="shared" si="22"/>
        <v>100000</v>
      </c>
      <c r="I703" s="6">
        <f t="shared" si="23"/>
        <v>3.0530100000000001E-2</v>
      </c>
    </row>
    <row r="704" spans="1:9" ht="30" customHeight="1" x14ac:dyDescent="0.35">
      <c r="A704" t="s">
        <v>1459</v>
      </c>
      <c r="B704" t="s">
        <v>1460</v>
      </c>
      <c r="C704" t="s">
        <v>213</v>
      </c>
      <c r="D704" t="s">
        <v>212</v>
      </c>
      <c r="E704" s="2">
        <v>40585.86</v>
      </c>
      <c r="F704" s="2">
        <v>245410.31</v>
      </c>
      <c r="G704" s="2">
        <v>2735.3</v>
      </c>
      <c r="H704" s="4">
        <f t="shared" si="22"/>
        <v>248145.61</v>
      </c>
      <c r="I704" s="6">
        <f t="shared" si="23"/>
        <v>0.16355663112476582</v>
      </c>
    </row>
    <row r="705" spans="1:9" ht="30" customHeight="1" x14ac:dyDescent="0.35">
      <c r="A705" t="s">
        <v>1461</v>
      </c>
      <c r="B705" t="s">
        <v>1462</v>
      </c>
      <c r="C705" t="s">
        <v>29</v>
      </c>
      <c r="D705" t="s">
        <v>28</v>
      </c>
      <c r="E705" s="2">
        <v>255639.93</v>
      </c>
      <c r="F705" s="2"/>
      <c r="G705" s="2"/>
      <c r="H705" s="4" t="str">
        <f t="shared" si="22"/>
        <v/>
      </c>
      <c r="I705" s="6" t="str">
        <f t="shared" si="23"/>
        <v/>
      </c>
    </row>
    <row r="706" spans="1:9" ht="30" customHeight="1" x14ac:dyDescent="0.35">
      <c r="A706" t="s">
        <v>1463</v>
      </c>
      <c r="B706" t="s">
        <v>1464</v>
      </c>
      <c r="C706" t="s">
        <v>67</v>
      </c>
      <c r="D706" t="s">
        <v>66</v>
      </c>
      <c r="E706" s="2"/>
      <c r="F706" s="2">
        <v>28726.31</v>
      </c>
      <c r="G706" s="2"/>
      <c r="H706" s="4">
        <f t="shared" si="22"/>
        <v>28726.31</v>
      </c>
      <c r="I706" s="6">
        <f t="shared" si="23"/>
        <v>0</v>
      </c>
    </row>
    <row r="707" spans="1:9" ht="30" customHeight="1" x14ac:dyDescent="0.35">
      <c r="A707" t="s">
        <v>1465</v>
      </c>
      <c r="B707" t="s">
        <v>1466</v>
      </c>
      <c r="C707" t="s">
        <v>101</v>
      </c>
      <c r="D707" t="s">
        <v>100</v>
      </c>
      <c r="E707" s="2">
        <v>1870619.38</v>
      </c>
      <c r="F707" s="2">
        <v>1918275.99</v>
      </c>
      <c r="G707" s="2">
        <v>2349050</v>
      </c>
      <c r="H707" s="4">
        <f t="shared" si="22"/>
        <v>4267325.99</v>
      </c>
      <c r="I707" s="6">
        <f t="shared" si="23"/>
        <v>0.43835867810042789</v>
      </c>
    </row>
    <row r="708" spans="1:9" ht="30" customHeight="1" x14ac:dyDescent="0.35">
      <c r="A708" t="s">
        <v>1467</v>
      </c>
      <c r="B708" t="s">
        <v>1468</v>
      </c>
      <c r="C708" t="s">
        <v>457</v>
      </c>
      <c r="D708" t="s">
        <v>456</v>
      </c>
      <c r="E708" s="2">
        <v>6597.91</v>
      </c>
      <c r="F708" s="2">
        <v>343417.13</v>
      </c>
      <c r="G708" s="2">
        <v>181.3</v>
      </c>
      <c r="H708" s="4">
        <f t="shared" si="22"/>
        <v>343598.43</v>
      </c>
      <c r="I708" s="6">
        <f t="shared" si="23"/>
        <v>1.9202386925923964E-2</v>
      </c>
    </row>
    <row r="709" spans="1:9" ht="30" customHeight="1" x14ac:dyDescent="0.35">
      <c r="A709" t="s">
        <v>1469</v>
      </c>
      <c r="B709" t="s">
        <v>1470</v>
      </c>
      <c r="C709" t="s">
        <v>213</v>
      </c>
      <c r="D709" t="s">
        <v>212</v>
      </c>
      <c r="E709" s="2"/>
      <c r="F709" s="2">
        <v>2020161.34</v>
      </c>
      <c r="G709" s="2"/>
      <c r="H709" s="4">
        <f t="shared" si="22"/>
        <v>2020161.34</v>
      </c>
      <c r="I709" s="6">
        <f t="shared" si="23"/>
        <v>0</v>
      </c>
    </row>
    <row r="710" spans="1:9" ht="30" customHeight="1" x14ac:dyDescent="0.35">
      <c r="A710" t="s">
        <v>1471</v>
      </c>
      <c r="B710" t="s">
        <v>1472</v>
      </c>
      <c r="C710" t="s">
        <v>259</v>
      </c>
      <c r="D710" t="s">
        <v>258</v>
      </c>
      <c r="E710" s="2">
        <v>34294.589999999997</v>
      </c>
      <c r="F710" s="2">
        <v>701980.16000000003</v>
      </c>
      <c r="G710" s="2"/>
      <c r="H710" s="4">
        <f t="shared" si="22"/>
        <v>701980.16000000003</v>
      </c>
      <c r="I710" s="6">
        <f t="shared" si="23"/>
        <v>4.8854073026793225E-2</v>
      </c>
    </row>
    <row r="711" spans="1:9" ht="30" customHeight="1" x14ac:dyDescent="0.35">
      <c r="A711" t="s">
        <v>1473</v>
      </c>
      <c r="B711" t="s">
        <v>1474</v>
      </c>
      <c r="C711" t="s">
        <v>101</v>
      </c>
      <c r="D711" t="s">
        <v>100</v>
      </c>
      <c r="E711" s="2">
        <v>7935145.7599999998</v>
      </c>
      <c r="F711" s="2">
        <v>5520789</v>
      </c>
      <c r="G711" s="2">
        <v>1000000</v>
      </c>
      <c r="H711" s="4">
        <f t="shared" si="22"/>
        <v>6520789</v>
      </c>
      <c r="I711" s="6">
        <f t="shared" si="23"/>
        <v>1.2168996359182915</v>
      </c>
    </row>
    <row r="712" spans="1:9" ht="30" customHeight="1" x14ac:dyDescent="0.35">
      <c r="A712" t="s">
        <v>1475</v>
      </c>
      <c r="B712" t="s">
        <v>1476</v>
      </c>
      <c r="C712" t="s">
        <v>465</v>
      </c>
      <c r="D712" t="s">
        <v>464</v>
      </c>
      <c r="E712" s="2">
        <v>1604441.23</v>
      </c>
      <c r="F712" s="2">
        <v>2929828.18</v>
      </c>
      <c r="G712" s="2">
        <v>138874.57</v>
      </c>
      <c r="H712" s="4">
        <f t="shared" si="22"/>
        <v>3068702.75</v>
      </c>
      <c r="I712" s="6">
        <f t="shared" si="23"/>
        <v>0.5228402229574044</v>
      </c>
    </row>
    <row r="713" spans="1:9" ht="30" customHeight="1" x14ac:dyDescent="0.35">
      <c r="A713" t="s">
        <v>1477</v>
      </c>
      <c r="B713" t="s">
        <v>1478</v>
      </c>
      <c r="C713" t="s">
        <v>185</v>
      </c>
      <c r="D713" t="s">
        <v>184</v>
      </c>
      <c r="E713" s="2">
        <v>25.8</v>
      </c>
      <c r="F713" s="2">
        <v>263623.96999999997</v>
      </c>
      <c r="G713" s="2"/>
      <c r="H713" s="4">
        <f t="shared" si="22"/>
        <v>263623.96999999997</v>
      </c>
      <c r="I713" s="6">
        <f t="shared" si="23"/>
        <v>9.786666971140752E-5</v>
      </c>
    </row>
    <row r="714" spans="1:9" ht="30" customHeight="1" x14ac:dyDescent="0.35">
      <c r="A714" t="s">
        <v>1479</v>
      </c>
      <c r="B714" t="s">
        <v>1480</v>
      </c>
      <c r="C714" t="s">
        <v>487</v>
      </c>
      <c r="D714" t="s">
        <v>486</v>
      </c>
      <c r="E714" s="2">
        <v>1599345.09</v>
      </c>
      <c r="F714" s="2">
        <v>4582419.18</v>
      </c>
      <c r="G714" s="2"/>
      <c r="H714" s="4">
        <f t="shared" si="22"/>
        <v>4582419.18</v>
      </c>
      <c r="I714" s="6">
        <f t="shared" si="23"/>
        <v>0.3490176317741408</v>
      </c>
    </row>
    <row r="715" spans="1:9" ht="30" customHeight="1" x14ac:dyDescent="0.35">
      <c r="A715" t="s">
        <v>1481</v>
      </c>
      <c r="B715" t="s">
        <v>1482</v>
      </c>
      <c r="C715" t="s">
        <v>213</v>
      </c>
      <c r="D715" t="s">
        <v>212</v>
      </c>
      <c r="E715" s="2"/>
      <c r="F715" s="2">
        <v>199843.92</v>
      </c>
      <c r="G715" s="2">
        <v>156.08000000000001</v>
      </c>
      <c r="H715" s="4">
        <f t="shared" si="22"/>
        <v>200000</v>
      </c>
      <c r="I715" s="6">
        <f t="shared" si="23"/>
        <v>0</v>
      </c>
    </row>
    <row r="716" spans="1:9" ht="30" customHeight="1" x14ac:dyDescent="0.35">
      <c r="A716" t="s">
        <v>1483</v>
      </c>
      <c r="B716" t="s">
        <v>1484</v>
      </c>
      <c r="C716" t="s">
        <v>77</v>
      </c>
      <c r="D716" t="s">
        <v>76</v>
      </c>
      <c r="E716" s="2">
        <v>13332.19</v>
      </c>
      <c r="F716" s="2">
        <v>75005</v>
      </c>
      <c r="G716" s="2">
        <v>1241</v>
      </c>
      <c r="H716" s="4">
        <f t="shared" si="22"/>
        <v>76246</v>
      </c>
      <c r="I716" s="6">
        <f t="shared" si="23"/>
        <v>0.17485756629855992</v>
      </c>
    </row>
    <row r="717" spans="1:9" ht="30" customHeight="1" x14ac:dyDescent="0.35">
      <c r="A717" t="s">
        <v>1485</v>
      </c>
      <c r="B717" t="s">
        <v>1486</v>
      </c>
      <c r="C717" t="s">
        <v>465</v>
      </c>
      <c r="D717" t="s">
        <v>464</v>
      </c>
      <c r="E717" s="2">
        <v>1603400.94</v>
      </c>
      <c r="F717" s="2">
        <v>0</v>
      </c>
      <c r="G717" s="2">
        <v>500000</v>
      </c>
      <c r="H717" s="4">
        <f t="shared" si="22"/>
        <v>500000</v>
      </c>
      <c r="I717" s="6">
        <f t="shared" si="23"/>
        <v>3.20680188</v>
      </c>
    </row>
    <row r="718" spans="1:9" ht="30" customHeight="1" x14ac:dyDescent="0.35">
      <c r="A718" t="s">
        <v>1487</v>
      </c>
      <c r="B718" t="s">
        <v>1488</v>
      </c>
      <c r="C718" t="s">
        <v>15</v>
      </c>
      <c r="D718" t="s">
        <v>14</v>
      </c>
      <c r="E718" s="2">
        <v>932971.43</v>
      </c>
      <c r="F718" s="2">
        <v>8226497.6299999999</v>
      </c>
      <c r="G718" s="2">
        <v>98586.72</v>
      </c>
      <c r="H718" s="4">
        <f t="shared" si="22"/>
        <v>8325084.3499999996</v>
      </c>
      <c r="I718" s="6">
        <f t="shared" si="23"/>
        <v>0.11206750475747433</v>
      </c>
    </row>
    <row r="719" spans="1:9" ht="30" customHeight="1" x14ac:dyDescent="0.35">
      <c r="A719" t="s">
        <v>1489</v>
      </c>
      <c r="B719" t="s">
        <v>1490</v>
      </c>
      <c r="C719" t="s">
        <v>385</v>
      </c>
      <c r="D719" t="s">
        <v>384</v>
      </c>
      <c r="E719" s="2">
        <v>40668.1</v>
      </c>
      <c r="F719" s="2">
        <v>452240.58</v>
      </c>
      <c r="G719" s="2">
        <v>54000.959999999999</v>
      </c>
      <c r="H719" s="4">
        <f t="shared" si="22"/>
        <v>506241.54000000004</v>
      </c>
      <c r="I719" s="6">
        <f t="shared" si="23"/>
        <v>8.0333391842953059E-2</v>
      </c>
    </row>
    <row r="720" spans="1:9" ht="30" customHeight="1" x14ac:dyDescent="0.35">
      <c r="A720" t="s">
        <v>1491</v>
      </c>
      <c r="B720" t="s">
        <v>1492</v>
      </c>
      <c r="C720" t="s">
        <v>101</v>
      </c>
      <c r="D720" t="s">
        <v>100</v>
      </c>
      <c r="E720" s="2">
        <v>342888.29</v>
      </c>
      <c r="F720" s="2">
        <v>0</v>
      </c>
      <c r="G720" s="2">
        <v>1000000</v>
      </c>
      <c r="H720" s="4">
        <f t="shared" si="22"/>
        <v>1000000</v>
      </c>
      <c r="I720" s="6">
        <f t="shared" si="23"/>
        <v>0.34288828999999998</v>
      </c>
    </row>
    <row r="721" spans="1:9" ht="30" customHeight="1" x14ac:dyDescent="0.35">
      <c r="A721" t="s">
        <v>1493</v>
      </c>
      <c r="B721" t="s">
        <v>1494</v>
      </c>
      <c r="C721" t="s">
        <v>11</v>
      </c>
      <c r="D721" t="s">
        <v>10</v>
      </c>
      <c r="E721" s="2">
        <v>35462.83</v>
      </c>
      <c r="F721" s="2">
        <v>3443680.21</v>
      </c>
      <c r="G721" s="2"/>
      <c r="H721" s="4">
        <f t="shared" si="22"/>
        <v>3443680.21</v>
      </c>
      <c r="I721" s="6">
        <f t="shared" si="23"/>
        <v>1.029794517418329E-2</v>
      </c>
    </row>
    <row r="722" spans="1:9" ht="30" customHeight="1" x14ac:dyDescent="0.35">
      <c r="A722" t="s">
        <v>1495</v>
      </c>
      <c r="B722" t="s">
        <v>1496</v>
      </c>
      <c r="C722" t="s">
        <v>185</v>
      </c>
      <c r="D722" t="s">
        <v>184</v>
      </c>
      <c r="E722" s="2">
        <v>1908.64</v>
      </c>
      <c r="F722" s="2">
        <v>101310.88</v>
      </c>
      <c r="G722" s="2"/>
      <c r="H722" s="4">
        <f t="shared" si="22"/>
        <v>101310.88</v>
      </c>
      <c r="I722" s="6">
        <f t="shared" si="23"/>
        <v>1.8839437580642868E-2</v>
      </c>
    </row>
    <row r="723" spans="1:9" ht="30" customHeight="1" x14ac:dyDescent="0.35">
      <c r="A723" t="s">
        <v>1497</v>
      </c>
      <c r="B723" t="s">
        <v>1498</v>
      </c>
      <c r="C723" t="s">
        <v>253</v>
      </c>
      <c r="D723" t="s">
        <v>252</v>
      </c>
      <c r="E723" s="2">
        <v>383.14</v>
      </c>
      <c r="F723" s="2">
        <v>427481.24</v>
      </c>
      <c r="G723" s="2"/>
      <c r="H723" s="4">
        <f t="shared" si="22"/>
        <v>427481.24</v>
      </c>
      <c r="I723" s="6">
        <f t="shared" si="23"/>
        <v>8.9627324932434465E-4</v>
      </c>
    </row>
    <row r="724" spans="1:9" ht="30" customHeight="1" x14ac:dyDescent="0.35">
      <c r="A724" t="s">
        <v>1499</v>
      </c>
      <c r="B724" t="s">
        <v>1500</v>
      </c>
      <c r="C724" t="s">
        <v>19</v>
      </c>
      <c r="D724" t="s">
        <v>18</v>
      </c>
      <c r="E724" s="2"/>
      <c r="F724" s="2">
        <v>193564.31</v>
      </c>
      <c r="G724" s="2"/>
      <c r="H724" s="4">
        <f t="shared" si="22"/>
        <v>193564.31</v>
      </c>
      <c r="I724" s="6">
        <f t="shared" si="23"/>
        <v>0</v>
      </c>
    </row>
    <row r="725" spans="1:9" ht="30" customHeight="1" x14ac:dyDescent="0.35">
      <c r="A725" t="s">
        <v>1501</v>
      </c>
      <c r="B725" t="s">
        <v>1502</v>
      </c>
      <c r="C725" t="s">
        <v>11</v>
      </c>
      <c r="D725" t="s">
        <v>10</v>
      </c>
      <c r="E725" s="2">
        <v>416778.43</v>
      </c>
      <c r="F725" s="2">
        <v>4425609.32</v>
      </c>
      <c r="G725" s="2">
        <v>402943.57</v>
      </c>
      <c r="H725" s="4">
        <f t="shared" si="22"/>
        <v>4828552.8900000006</v>
      </c>
      <c r="I725" s="6">
        <f t="shared" si="23"/>
        <v>8.6315390862374899E-2</v>
      </c>
    </row>
    <row r="726" spans="1:9" ht="30" customHeight="1" x14ac:dyDescent="0.35">
      <c r="A726" t="s">
        <v>1503</v>
      </c>
      <c r="B726" t="s">
        <v>1504</v>
      </c>
      <c r="C726" t="s">
        <v>19</v>
      </c>
      <c r="D726" t="s">
        <v>18</v>
      </c>
      <c r="E726" s="2">
        <v>112902.48</v>
      </c>
      <c r="F726" s="2">
        <v>440066.36</v>
      </c>
      <c r="G726" s="2"/>
      <c r="H726" s="4">
        <f t="shared" si="22"/>
        <v>440066.36</v>
      </c>
      <c r="I726" s="6">
        <f t="shared" si="23"/>
        <v>0.25655785186579588</v>
      </c>
    </row>
    <row r="727" spans="1:9" ht="30" customHeight="1" x14ac:dyDescent="0.35">
      <c r="A727" t="s">
        <v>1505</v>
      </c>
      <c r="B727" t="s">
        <v>1506</v>
      </c>
      <c r="C727" t="s">
        <v>57</v>
      </c>
      <c r="D727" t="s">
        <v>56</v>
      </c>
      <c r="E727" s="2">
        <v>6325.81</v>
      </c>
      <c r="F727" s="2"/>
      <c r="G727" s="2"/>
      <c r="H727" s="4" t="str">
        <f t="shared" si="22"/>
        <v/>
      </c>
      <c r="I727" s="6" t="str">
        <f t="shared" si="23"/>
        <v/>
      </c>
    </row>
    <row r="728" spans="1:9" ht="30" customHeight="1" x14ac:dyDescent="0.35">
      <c r="A728" t="s">
        <v>1507</v>
      </c>
      <c r="B728" t="s">
        <v>1508</v>
      </c>
      <c r="C728" t="s">
        <v>259</v>
      </c>
      <c r="D728" t="s">
        <v>258</v>
      </c>
      <c r="E728" s="2"/>
      <c r="F728" s="2">
        <v>142913.31</v>
      </c>
      <c r="G728" s="2"/>
      <c r="H728" s="4">
        <f t="shared" si="22"/>
        <v>142913.31</v>
      </c>
      <c r="I728" s="6">
        <f t="shared" si="23"/>
        <v>0</v>
      </c>
    </row>
    <row r="729" spans="1:9" ht="30" customHeight="1" x14ac:dyDescent="0.35">
      <c r="A729" t="s">
        <v>1509</v>
      </c>
      <c r="B729" t="s">
        <v>1510</v>
      </c>
      <c r="C729" t="s">
        <v>253</v>
      </c>
      <c r="D729" t="s">
        <v>252</v>
      </c>
      <c r="E729" s="2">
        <v>38578.199999999997</v>
      </c>
      <c r="F729" s="2">
        <v>5820205.2699999996</v>
      </c>
      <c r="G729" s="2"/>
      <c r="H729" s="4">
        <f t="shared" si="22"/>
        <v>5820205.2699999996</v>
      </c>
      <c r="I729" s="6">
        <f t="shared" si="23"/>
        <v>6.6283229216759221E-3</v>
      </c>
    </row>
    <row r="730" spans="1:9" ht="30" customHeight="1" x14ac:dyDescent="0.35">
      <c r="A730" t="s">
        <v>1511</v>
      </c>
      <c r="B730" t="s">
        <v>1512</v>
      </c>
      <c r="C730" t="s">
        <v>77</v>
      </c>
      <c r="D730" t="s">
        <v>76</v>
      </c>
      <c r="E730" s="2">
        <v>10246.6</v>
      </c>
      <c r="F730" s="2">
        <v>73847.03</v>
      </c>
      <c r="G730" s="2"/>
      <c r="H730" s="4">
        <f t="shared" si="22"/>
        <v>73847.03</v>
      </c>
      <c r="I730" s="6">
        <f t="shared" si="23"/>
        <v>0.13875439540357953</v>
      </c>
    </row>
    <row r="731" spans="1:9" ht="30" customHeight="1" x14ac:dyDescent="0.35">
      <c r="A731" t="s">
        <v>1513</v>
      </c>
      <c r="B731" t="s">
        <v>1514</v>
      </c>
      <c r="C731" t="s">
        <v>19</v>
      </c>
      <c r="D731" t="s">
        <v>18</v>
      </c>
      <c r="E731" s="2">
        <v>131154.21</v>
      </c>
      <c r="F731" s="2">
        <v>519482</v>
      </c>
      <c r="G731" s="2">
        <v>2510285.04</v>
      </c>
      <c r="H731" s="4">
        <f t="shared" si="22"/>
        <v>3029767.04</v>
      </c>
      <c r="I731" s="6">
        <f t="shared" si="23"/>
        <v>4.3288546039500116E-2</v>
      </c>
    </row>
    <row r="732" spans="1:9" ht="30" customHeight="1" x14ac:dyDescent="0.35">
      <c r="A732" t="s">
        <v>10</v>
      </c>
      <c r="B732" t="s">
        <v>1515</v>
      </c>
      <c r="C732" t="s">
        <v>33</v>
      </c>
      <c r="D732" t="s">
        <v>32</v>
      </c>
      <c r="E732" s="2">
        <v>234913.12</v>
      </c>
      <c r="F732" s="2"/>
      <c r="G732" s="2"/>
      <c r="H732" s="4" t="str">
        <f t="shared" si="22"/>
        <v/>
      </c>
      <c r="I732" s="6" t="str">
        <f t="shared" si="23"/>
        <v/>
      </c>
    </row>
    <row r="733" spans="1:9" ht="30" customHeight="1" x14ac:dyDescent="0.35">
      <c r="A733" t="s">
        <v>1516</v>
      </c>
      <c r="B733" t="s">
        <v>1517</v>
      </c>
      <c r="C733" t="s">
        <v>253</v>
      </c>
      <c r="D733" t="s">
        <v>252</v>
      </c>
      <c r="E733" s="2">
        <v>421011.12</v>
      </c>
      <c r="F733" s="2">
        <v>208262.73</v>
      </c>
      <c r="G733" s="2">
        <v>250000</v>
      </c>
      <c r="H733" s="4">
        <f t="shared" si="22"/>
        <v>458262.73</v>
      </c>
      <c r="I733" s="6">
        <f t="shared" si="23"/>
        <v>0.91871123798350351</v>
      </c>
    </row>
    <row r="734" spans="1:9" ht="30" customHeight="1" x14ac:dyDescent="0.35">
      <c r="A734" t="s">
        <v>1518</v>
      </c>
      <c r="B734" t="s">
        <v>1519</v>
      </c>
      <c r="C734" t="s">
        <v>33</v>
      </c>
      <c r="D734" t="s">
        <v>32</v>
      </c>
      <c r="E734" s="2">
        <v>351342.49</v>
      </c>
      <c r="F734" s="2"/>
      <c r="G734" s="2"/>
      <c r="H734" s="4" t="str">
        <f t="shared" si="22"/>
        <v/>
      </c>
      <c r="I734" s="6" t="str">
        <f t="shared" si="23"/>
        <v/>
      </c>
    </row>
    <row r="735" spans="1:9" ht="30" customHeight="1" x14ac:dyDescent="0.35">
      <c r="A735" t="s">
        <v>14</v>
      </c>
      <c r="B735" t="s">
        <v>1520</v>
      </c>
      <c r="C735" t="s">
        <v>253</v>
      </c>
      <c r="D735" t="s">
        <v>252</v>
      </c>
      <c r="E735" s="2">
        <v>410068.47999999998</v>
      </c>
      <c r="F735" s="2">
        <v>3588230.83</v>
      </c>
      <c r="G735" s="2">
        <v>200000</v>
      </c>
      <c r="H735" s="4">
        <f t="shared" si="22"/>
        <v>3788230.83</v>
      </c>
      <c r="I735" s="6">
        <f t="shared" si="23"/>
        <v>0.10824801824444261</v>
      </c>
    </row>
    <row r="736" spans="1:9" ht="30" customHeight="1" x14ac:dyDescent="0.35">
      <c r="A736" t="s">
        <v>1521</v>
      </c>
      <c r="B736" t="s">
        <v>1522</v>
      </c>
      <c r="C736" t="s">
        <v>33</v>
      </c>
      <c r="D736" t="s">
        <v>32</v>
      </c>
      <c r="E736" s="2">
        <v>85250.87</v>
      </c>
      <c r="F736" s="2"/>
      <c r="G736" s="2"/>
      <c r="H736" s="4" t="str">
        <f t="shared" si="22"/>
        <v/>
      </c>
      <c r="I736" s="6" t="str">
        <f t="shared" si="23"/>
        <v/>
      </c>
    </row>
    <row r="737" spans="1:9" ht="30" customHeight="1" x14ac:dyDescent="0.35">
      <c r="A737" t="s">
        <v>464</v>
      </c>
      <c r="B737" t="s">
        <v>1523</v>
      </c>
      <c r="C737" t="s">
        <v>15</v>
      </c>
      <c r="D737" t="s">
        <v>14</v>
      </c>
      <c r="E737" s="2">
        <v>133940.10999999999</v>
      </c>
      <c r="F737" s="2"/>
      <c r="G737" s="2"/>
      <c r="H737" s="4" t="str">
        <f t="shared" si="22"/>
        <v/>
      </c>
      <c r="I737" s="6" t="str">
        <f t="shared" si="23"/>
        <v/>
      </c>
    </row>
    <row r="738" spans="1:9" ht="30" customHeight="1" x14ac:dyDescent="0.35">
      <c r="A738" t="s">
        <v>258</v>
      </c>
      <c r="B738" t="s">
        <v>1524</v>
      </c>
      <c r="C738" t="s">
        <v>385</v>
      </c>
      <c r="D738" t="s">
        <v>384</v>
      </c>
      <c r="E738" s="2">
        <v>229681.75</v>
      </c>
      <c r="F738" s="2">
        <v>0</v>
      </c>
      <c r="G738" s="2">
        <v>250000</v>
      </c>
      <c r="H738" s="4">
        <f t="shared" si="22"/>
        <v>250000</v>
      </c>
      <c r="I738" s="6">
        <f t="shared" si="23"/>
        <v>0.91872699999999996</v>
      </c>
    </row>
    <row r="739" spans="1:9" ht="30" customHeight="1" x14ac:dyDescent="0.35">
      <c r="A739" t="s">
        <v>1525</v>
      </c>
      <c r="B739" t="s">
        <v>1526</v>
      </c>
      <c r="C739" t="s">
        <v>253</v>
      </c>
      <c r="D739" t="s">
        <v>252</v>
      </c>
      <c r="E739" s="2"/>
      <c r="F739" s="2">
        <v>382823.86</v>
      </c>
      <c r="G739" s="2"/>
      <c r="H739" s="4">
        <f t="shared" si="22"/>
        <v>382823.86</v>
      </c>
      <c r="I739" s="6">
        <f t="shared" si="23"/>
        <v>0</v>
      </c>
    </row>
    <row r="740" spans="1:9" ht="30" customHeight="1" x14ac:dyDescent="0.35">
      <c r="A740" t="s">
        <v>1527</v>
      </c>
      <c r="B740" t="s">
        <v>1528</v>
      </c>
      <c r="C740" t="s">
        <v>259</v>
      </c>
      <c r="D740" t="s">
        <v>258</v>
      </c>
      <c r="E740" s="2">
        <v>151417.89000000001</v>
      </c>
      <c r="F740" s="2">
        <v>903683.4</v>
      </c>
      <c r="G740" s="2"/>
      <c r="H740" s="4">
        <f t="shared" si="22"/>
        <v>903683.4</v>
      </c>
      <c r="I740" s="6">
        <f t="shared" si="23"/>
        <v>0.16755634772089431</v>
      </c>
    </row>
    <row r="741" spans="1:9" ht="30" customHeight="1" x14ac:dyDescent="0.35">
      <c r="A741" t="s">
        <v>1529</v>
      </c>
      <c r="B741" t="s">
        <v>1530</v>
      </c>
      <c r="C741" t="s">
        <v>185</v>
      </c>
      <c r="D741" t="s">
        <v>184</v>
      </c>
      <c r="E741" s="2"/>
      <c r="F741" s="2">
        <v>375189.17</v>
      </c>
      <c r="G741" s="2"/>
      <c r="H741" s="4">
        <f t="shared" si="22"/>
        <v>375189.17</v>
      </c>
      <c r="I741" s="6">
        <f t="shared" si="23"/>
        <v>0</v>
      </c>
    </row>
    <row r="742" spans="1:9" ht="30" customHeight="1" x14ac:dyDescent="0.35">
      <c r="A742" t="s">
        <v>1531</v>
      </c>
      <c r="B742" t="s">
        <v>1532</v>
      </c>
      <c r="C742" t="s">
        <v>457</v>
      </c>
      <c r="D742" t="s">
        <v>456</v>
      </c>
      <c r="E742" s="2">
        <v>213531.22</v>
      </c>
      <c r="F742" s="2">
        <v>1435241.2</v>
      </c>
      <c r="G742" s="2"/>
      <c r="H742" s="4">
        <f t="shared" si="22"/>
        <v>1435241.2</v>
      </c>
      <c r="I742" s="6">
        <f t="shared" si="23"/>
        <v>0.14877723688534025</v>
      </c>
    </row>
    <row r="743" spans="1:9" ht="30" customHeight="1" x14ac:dyDescent="0.35">
      <c r="A743" t="s">
        <v>1533</v>
      </c>
      <c r="B743" t="s">
        <v>1534</v>
      </c>
      <c r="C743" t="s">
        <v>33</v>
      </c>
      <c r="D743" t="s">
        <v>32</v>
      </c>
      <c r="E743" s="2">
        <v>41093.49</v>
      </c>
      <c r="F743" s="2">
        <v>23835.26</v>
      </c>
      <c r="G743" s="2"/>
      <c r="H743" s="4">
        <f t="shared" si="22"/>
        <v>23835.26</v>
      </c>
      <c r="I743" s="6">
        <f t="shared" si="23"/>
        <v>1.7240630058157536</v>
      </c>
    </row>
    <row r="744" spans="1:9" ht="30" customHeight="1" x14ac:dyDescent="0.35">
      <c r="A744" t="s">
        <v>1535</v>
      </c>
      <c r="B744" t="s">
        <v>1536</v>
      </c>
      <c r="C744" t="s">
        <v>101</v>
      </c>
      <c r="D744" t="s">
        <v>100</v>
      </c>
      <c r="E744" s="2">
        <v>192190.21</v>
      </c>
      <c r="F744" s="2">
        <v>1138551.98</v>
      </c>
      <c r="G744" s="2"/>
      <c r="H744" s="4">
        <f t="shared" si="22"/>
        <v>1138551.98</v>
      </c>
      <c r="I744" s="6">
        <f t="shared" si="23"/>
        <v>0.16880231502473869</v>
      </c>
    </row>
    <row r="745" spans="1:9" ht="30" customHeight="1" x14ac:dyDescent="0.35">
      <c r="A745" t="s">
        <v>1537</v>
      </c>
      <c r="B745" t="s">
        <v>1538</v>
      </c>
      <c r="C745" t="s">
        <v>259</v>
      </c>
      <c r="D745" t="s">
        <v>258</v>
      </c>
      <c r="E745" s="2">
        <v>165295.01</v>
      </c>
      <c r="F745" s="2">
        <v>1831735.69</v>
      </c>
      <c r="G745" s="2">
        <v>339948.94</v>
      </c>
      <c r="H745" s="4">
        <f t="shared" si="22"/>
        <v>2171684.63</v>
      </c>
      <c r="I745" s="6">
        <f t="shared" si="23"/>
        <v>7.6113726512859289E-2</v>
      </c>
    </row>
    <row r="746" spans="1:9" ht="30" customHeight="1" x14ac:dyDescent="0.35">
      <c r="A746" t="s">
        <v>1539</v>
      </c>
      <c r="B746" t="s">
        <v>1540</v>
      </c>
      <c r="C746" t="s">
        <v>213</v>
      </c>
      <c r="D746" t="s">
        <v>212</v>
      </c>
      <c r="E746" s="2"/>
      <c r="F746" s="2">
        <v>262099.15</v>
      </c>
      <c r="G746" s="2"/>
      <c r="H746" s="4">
        <f t="shared" si="22"/>
        <v>262099.15</v>
      </c>
      <c r="I746" s="6">
        <f t="shared" si="23"/>
        <v>0</v>
      </c>
    </row>
    <row r="747" spans="1:9" ht="30" customHeight="1" x14ac:dyDescent="0.35">
      <c r="A747" t="s">
        <v>1541</v>
      </c>
      <c r="B747" t="s">
        <v>1542</v>
      </c>
      <c r="C747" t="s">
        <v>51</v>
      </c>
      <c r="D747" t="s">
        <v>50</v>
      </c>
      <c r="E747" s="2">
        <v>122519.63</v>
      </c>
      <c r="F747" s="2"/>
      <c r="G747" s="2"/>
      <c r="H747" s="4" t="str">
        <f t="shared" si="22"/>
        <v/>
      </c>
      <c r="I747" s="6" t="str">
        <f t="shared" si="23"/>
        <v/>
      </c>
    </row>
    <row r="748" spans="1:9" ht="30" customHeight="1" x14ac:dyDescent="0.35">
      <c r="A748" t="s">
        <v>1543</v>
      </c>
      <c r="B748" t="s">
        <v>1544</v>
      </c>
      <c r="C748" t="s">
        <v>487</v>
      </c>
      <c r="D748" t="s">
        <v>486</v>
      </c>
      <c r="E748" s="2">
        <v>40</v>
      </c>
      <c r="F748" s="2"/>
      <c r="G748" s="2"/>
      <c r="H748" s="4" t="str">
        <f t="shared" si="22"/>
        <v/>
      </c>
      <c r="I748" s="6" t="str">
        <f t="shared" si="23"/>
        <v/>
      </c>
    </row>
    <row r="749" spans="1:9" ht="30" customHeight="1" x14ac:dyDescent="0.35">
      <c r="A749" t="s">
        <v>384</v>
      </c>
      <c r="B749" t="s">
        <v>1545</v>
      </c>
      <c r="C749" t="s">
        <v>51</v>
      </c>
      <c r="D749" t="s">
        <v>50</v>
      </c>
      <c r="E749" s="2">
        <v>1402272.75</v>
      </c>
      <c r="F749" s="2">
        <v>415116.15</v>
      </c>
      <c r="G749" s="2"/>
      <c r="H749" s="4">
        <f t="shared" si="22"/>
        <v>415116.15</v>
      </c>
      <c r="I749" s="6">
        <f t="shared" si="23"/>
        <v>3.3780250419069455</v>
      </c>
    </row>
    <row r="750" spans="1:9" ht="30" customHeight="1" x14ac:dyDescent="0.35">
      <c r="A750" t="s">
        <v>1546</v>
      </c>
      <c r="B750" t="s">
        <v>1547</v>
      </c>
      <c r="C750" t="s">
        <v>965</v>
      </c>
      <c r="D750" t="s">
        <v>964</v>
      </c>
      <c r="E750" s="2">
        <v>0</v>
      </c>
      <c r="F750" s="2">
        <v>0</v>
      </c>
      <c r="G750" s="2"/>
      <c r="H750" s="4">
        <f t="shared" si="22"/>
        <v>0</v>
      </c>
      <c r="I750" s="6" t="e">
        <f t="shared" si="23"/>
        <v>#DIV/0!</v>
      </c>
    </row>
    <row r="751" spans="1:9" ht="30" customHeight="1" x14ac:dyDescent="0.35">
      <c r="A751" t="s">
        <v>1548</v>
      </c>
      <c r="B751" t="s">
        <v>1549</v>
      </c>
      <c r="C751" t="s">
        <v>259</v>
      </c>
      <c r="D751" t="s">
        <v>258</v>
      </c>
      <c r="E751" s="2">
        <v>167154.37</v>
      </c>
      <c r="F751" s="2">
        <v>1936161.95</v>
      </c>
      <c r="G751" s="2"/>
      <c r="H751" s="4">
        <f t="shared" si="22"/>
        <v>1936161.95</v>
      </c>
      <c r="I751" s="6">
        <f t="shared" si="23"/>
        <v>8.6332845245719242E-2</v>
      </c>
    </row>
    <row r="752" spans="1:9" ht="30" customHeight="1" x14ac:dyDescent="0.35">
      <c r="A752" t="s">
        <v>1550</v>
      </c>
      <c r="B752" t="s">
        <v>1551</v>
      </c>
      <c r="C752" t="s">
        <v>19</v>
      </c>
      <c r="D752" t="s">
        <v>18</v>
      </c>
      <c r="E752" s="2">
        <v>32433.47</v>
      </c>
      <c r="F752" s="2">
        <v>648894.17000000004</v>
      </c>
      <c r="G752" s="2"/>
      <c r="H752" s="4">
        <f t="shared" si="22"/>
        <v>648894.17000000004</v>
      </c>
      <c r="I752" s="6">
        <f t="shared" si="23"/>
        <v>4.9982680534793524E-2</v>
      </c>
    </row>
    <row r="753" spans="1:9" ht="30" customHeight="1" x14ac:dyDescent="0.35">
      <c r="A753" t="s">
        <v>1552</v>
      </c>
      <c r="B753" t="s">
        <v>1553</v>
      </c>
      <c r="C753" t="s">
        <v>19</v>
      </c>
      <c r="D753" t="s">
        <v>18</v>
      </c>
      <c r="E753" s="2">
        <v>934721.26</v>
      </c>
      <c r="F753" s="2"/>
      <c r="G753" s="2"/>
      <c r="H753" s="4" t="str">
        <f t="shared" ref="H753:H816" si="24">IF(ISBLANK(F753),"",(F753+G753))</f>
        <v/>
      </c>
      <c r="I753" s="6" t="str">
        <f t="shared" ref="I753:I816" si="25">IF(ISBLANK(F753), "", E753/H753)</f>
        <v/>
      </c>
    </row>
    <row r="754" spans="1:9" ht="30" customHeight="1" x14ac:dyDescent="0.35">
      <c r="A754" t="s">
        <v>1554</v>
      </c>
      <c r="B754" t="s">
        <v>1555</v>
      </c>
      <c r="C754" t="s">
        <v>213</v>
      </c>
      <c r="D754" t="s">
        <v>212</v>
      </c>
      <c r="E754" s="2"/>
      <c r="F754" s="2">
        <v>11339.85</v>
      </c>
      <c r="G754" s="2"/>
      <c r="H754" s="4">
        <f t="shared" si="24"/>
        <v>11339.85</v>
      </c>
      <c r="I754" s="6">
        <f t="shared" si="25"/>
        <v>0</v>
      </c>
    </row>
    <row r="755" spans="1:9" ht="30" customHeight="1" x14ac:dyDescent="0.35">
      <c r="A755" t="s">
        <v>1556</v>
      </c>
      <c r="B755" t="s">
        <v>1557</v>
      </c>
      <c r="C755" t="s">
        <v>67</v>
      </c>
      <c r="D755" t="s">
        <v>66</v>
      </c>
      <c r="E755" s="2">
        <v>110095.11</v>
      </c>
      <c r="F755" s="2">
        <v>0</v>
      </c>
      <c r="G755" s="2">
        <v>500</v>
      </c>
      <c r="H755" s="4">
        <f t="shared" si="24"/>
        <v>500</v>
      </c>
      <c r="I755" s="6">
        <f t="shared" si="25"/>
        <v>220.19022000000001</v>
      </c>
    </row>
    <row r="756" spans="1:9" ht="30" customHeight="1" x14ac:dyDescent="0.35">
      <c r="A756" t="s">
        <v>1558</v>
      </c>
      <c r="B756" t="s">
        <v>1559</v>
      </c>
      <c r="C756" t="s">
        <v>19</v>
      </c>
      <c r="D756" t="s">
        <v>18</v>
      </c>
      <c r="E756" s="2">
        <v>0</v>
      </c>
      <c r="F756" s="2"/>
      <c r="G756" s="2"/>
      <c r="H756" s="4" t="str">
        <f t="shared" si="24"/>
        <v/>
      </c>
      <c r="I756" s="6" t="str">
        <f t="shared" si="25"/>
        <v/>
      </c>
    </row>
    <row r="757" spans="1:9" ht="30" customHeight="1" x14ac:dyDescent="0.35">
      <c r="A757" t="s">
        <v>1560</v>
      </c>
      <c r="B757" t="s">
        <v>1561</v>
      </c>
      <c r="C757" t="s">
        <v>19</v>
      </c>
      <c r="D757" t="s">
        <v>18</v>
      </c>
      <c r="E757" s="2">
        <v>16490.990000000002</v>
      </c>
      <c r="F757" s="2">
        <v>216141.83</v>
      </c>
      <c r="G757" s="2"/>
      <c r="H757" s="4">
        <f t="shared" si="24"/>
        <v>216141.83</v>
      </c>
      <c r="I757" s="6">
        <f t="shared" si="25"/>
        <v>7.6297077710501496E-2</v>
      </c>
    </row>
    <row r="758" spans="1:9" ht="30" customHeight="1" x14ac:dyDescent="0.35">
      <c r="A758" t="s">
        <v>1562</v>
      </c>
      <c r="B758" t="s">
        <v>1563</v>
      </c>
      <c r="C758" t="s">
        <v>457</v>
      </c>
      <c r="D758" t="s">
        <v>456</v>
      </c>
      <c r="E758" s="2"/>
      <c r="F758" s="2">
        <v>389876.24</v>
      </c>
      <c r="G758" s="2"/>
      <c r="H758" s="4">
        <f t="shared" si="24"/>
        <v>389876.24</v>
      </c>
      <c r="I758" s="6">
        <f t="shared" si="25"/>
        <v>0</v>
      </c>
    </row>
    <row r="759" spans="1:9" ht="30" customHeight="1" x14ac:dyDescent="0.35">
      <c r="A759" t="s">
        <v>1564</v>
      </c>
      <c r="B759" t="s">
        <v>1565</v>
      </c>
      <c r="C759" t="s">
        <v>253</v>
      </c>
      <c r="D759" t="s">
        <v>252</v>
      </c>
      <c r="E759" s="2"/>
      <c r="F759" s="2">
        <v>6362262.5800000001</v>
      </c>
      <c r="G759" s="2"/>
      <c r="H759" s="4">
        <f t="shared" si="24"/>
        <v>6362262.5800000001</v>
      </c>
      <c r="I759" s="6">
        <f t="shared" si="25"/>
        <v>0</v>
      </c>
    </row>
    <row r="760" spans="1:9" ht="30" customHeight="1" x14ac:dyDescent="0.35">
      <c r="A760" t="s">
        <v>1566</v>
      </c>
      <c r="B760" t="s">
        <v>1567</v>
      </c>
      <c r="C760" t="s">
        <v>29</v>
      </c>
      <c r="D760" t="s">
        <v>28</v>
      </c>
      <c r="E760" s="2">
        <v>35771.17</v>
      </c>
      <c r="F760" s="2">
        <v>2495.65</v>
      </c>
      <c r="G760" s="2">
        <v>79007.960000000006</v>
      </c>
      <c r="H760" s="4">
        <f t="shared" si="24"/>
        <v>81503.61</v>
      </c>
      <c r="I760" s="6">
        <f t="shared" si="25"/>
        <v>0.438890620918509</v>
      </c>
    </row>
    <row r="761" spans="1:9" ht="30" customHeight="1" x14ac:dyDescent="0.35">
      <c r="A761" t="s">
        <v>1568</v>
      </c>
      <c r="B761" t="s">
        <v>1569</v>
      </c>
      <c r="C761" t="s">
        <v>465</v>
      </c>
      <c r="D761" t="s">
        <v>464</v>
      </c>
      <c r="E761" s="2">
        <v>602030.94999999995</v>
      </c>
      <c r="F761" s="2">
        <v>68978.05</v>
      </c>
      <c r="G761" s="2">
        <v>150000</v>
      </c>
      <c r="H761" s="4">
        <f t="shared" si="24"/>
        <v>218978.05</v>
      </c>
      <c r="I761" s="6">
        <f t="shared" si="25"/>
        <v>2.7492753269106194</v>
      </c>
    </row>
    <row r="762" spans="1:9" ht="30" customHeight="1" x14ac:dyDescent="0.35">
      <c r="A762" t="s">
        <v>1570</v>
      </c>
      <c r="B762" t="s">
        <v>1571</v>
      </c>
      <c r="C762" t="s">
        <v>29</v>
      </c>
      <c r="D762" t="s">
        <v>28</v>
      </c>
      <c r="E762" s="2">
        <v>30193.360000000001</v>
      </c>
      <c r="F762" s="2">
        <v>44164.89</v>
      </c>
      <c r="G762" s="2">
        <v>8835.11</v>
      </c>
      <c r="H762" s="4">
        <f t="shared" si="24"/>
        <v>53000</v>
      </c>
      <c r="I762" s="6">
        <f t="shared" si="25"/>
        <v>0.56968603773584903</v>
      </c>
    </row>
    <row r="763" spans="1:9" ht="30" customHeight="1" x14ac:dyDescent="0.35">
      <c r="A763" t="s">
        <v>1572</v>
      </c>
      <c r="B763" t="s">
        <v>1573</v>
      </c>
      <c r="C763" t="s">
        <v>385</v>
      </c>
      <c r="D763" t="s">
        <v>384</v>
      </c>
      <c r="E763" s="2">
        <v>169594.65</v>
      </c>
      <c r="F763" s="2">
        <v>44777.91</v>
      </c>
      <c r="G763" s="2">
        <v>55222.09</v>
      </c>
      <c r="H763" s="4">
        <f t="shared" si="24"/>
        <v>100000</v>
      </c>
      <c r="I763" s="6">
        <f t="shared" si="25"/>
        <v>1.6959465</v>
      </c>
    </row>
    <row r="764" spans="1:9" ht="30" customHeight="1" x14ac:dyDescent="0.35">
      <c r="A764" t="s">
        <v>1574</v>
      </c>
      <c r="B764" t="s">
        <v>1575</v>
      </c>
      <c r="C764" t="s">
        <v>19</v>
      </c>
      <c r="D764" t="s">
        <v>18</v>
      </c>
      <c r="E764" s="2">
        <v>5671.2</v>
      </c>
      <c r="F764" s="2"/>
      <c r="G764" s="2"/>
      <c r="H764" s="4" t="str">
        <f t="shared" si="24"/>
        <v/>
      </c>
      <c r="I764" s="6" t="str">
        <f t="shared" si="25"/>
        <v/>
      </c>
    </row>
    <row r="765" spans="1:9" ht="30" customHeight="1" x14ac:dyDescent="0.35">
      <c r="A765" t="s">
        <v>1576</v>
      </c>
      <c r="B765" t="s">
        <v>1577</v>
      </c>
      <c r="C765" t="s">
        <v>15</v>
      </c>
      <c r="D765" t="s">
        <v>14</v>
      </c>
      <c r="E765" s="2">
        <v>47471.7</v>
      </c>
      <c r="F765" s="2">
        <v>1969949.15</v>
      </c>
      <c r="G765" s="2"/>
      <c r="H765" s="4">
        <f t="shared" si="24"/>
        <v>1969949.15</v>
      </c>
      <c r="I765" s="6">
        <f t="shared" si="25"/>
        <v>2.4097931664885868E-2</v>
      </c>
    </row>
    <row r="766" spans="1:9" ht="30" customHeight="1" x14ac:dyDescent="0.35">
      <c r="A766" t="s">
        <v>964</v>
      </c>
      <c r="B766" t="s">
        <v>1578</v>
      </c>
      <c r="C766" t="s">
        <v>465</v>
      </c>
      <c r="D766" t="s">
        <v>464</v>
      </c>
      <c r="E766" s="2">
        <v>7997348.8200000003</v>
      </c>
      <c r="F766" s="2">
        <v>2445847.44</v>
      </c>
      <c r="G766" s="2">
        <v>202644</v>
      </c>
      <c r="H766" s="4">
        <f t="shared" si="24"/>
        <v>2648491.44</v>
      </c>
      <c r="I766" s="6">
        <f t="shared" si="25"/>
        <v>3.0195864329469009</v>
      </c>
    </row>
    <row r="767" spans="1:9" ht="30" customHeight="1" x14ac:dyDescent="0.35">
      <c r="A767" t="s">
        <v>212</v>
      </c>
      <c r="B767" t="s">
        <v>1579</v>
      </c>
      <c r="C767" t="s">
        <v>19</v>
      </c>
      <c r="D767" t="s">
        <v>18</v>
      </c>
      <c r="E767" s="2">
        <v>619.23</v>
      </c>
      <c r="F767" s="2"/>
      <c r="G767" s="2"/>
      <c r="H767" s="4" t="str">
        <f t="shared" si="24"/>
        <v/>
      </c>
      <c r="I767" s="6" t="str">
        <f t="shared" si="25"/>
        <v/>
      </c>
    </row>
    <row r="768" spans="1:9" ht="30" customHeight="1" x14ac:dyDescent="0.35">
      <c r="A768" t="s">
        <v>1580</v>
      </c>
      <c r="B768" t="s">
        <v>1581</v>
      </c>
      <c r="C768" t="s">
        <v>19</v>
      </c>
      <c r="D768" t="s">
        <v>18</v>
      </c>
      <c r="E768" s="2">
        <v>76198.460000000006</v>
      </c>
      <c r="F768" s="2">
        <v>340650.87</v>
      </c>
      <c r="G768" s="2"/>
      <c r="H768" s="4">
        <f t="shared" si="24"/>
        <v>340650.87</v>
      </c>
      <c r="I768" s="6">
        <f t="shared" si="25"/>
        <v>0.22368491235616103</v>
      </c>
    </row>
    <row r="769" spans="1:9" ht="30" customHeight="1" x14ac:dyDescent="0.35">
      <c r="A769" t="s">
        <v>1582</v>
      </c>
      <c r="B769" t="s">
        <v>1583</v>
      </c>
      <c r="C769" t="s">
        <v>457</v>
      </c>
      <c r="D769" t="s">
        <v>456</v>
      </c>
      <c r="E769" s="2">
        <v>220280.49</v>
      </c>
      <c r="F769" s="2">
        <v>2130569.23</v>
      </c>
      <c r="G769" s="2"/>
      <c r="H769" s="4">
        <f t="shared" si="24"/>
        <v>2130569.23</v>
      </c>
      <c r="I769" s="6">
        <f t="shared" si="25"/>
        <v>0.10339043993421419</v>
      </c>
    </row>
    <row r="770" spans="1:9" ht="30" customHeight="1" x14ac:dyDescent="0.35">
      <c r="A770" t="s">
        <v>1584</v>
      </c>
      <c r="B770" t="s">
        <v>1585</v>
      </c>
      <c r="C770" t="s">
        <v>313</v>
      </c>
      <c r="D770" t="s">
        <v>312</v>
      </c>
      <c r="E770" s="2">
        <v>25097.39</v>
      </c>
      <c r="F770" s="2"/>
      <c r="G770" s="2"/>
      <c r="H770" s="4" t="str">
        <f t="shared" si="24"/>
        <v/>
      </c>
      <c r="I770" s="6" t="str">
        <f t="shared" si="25"/>
        <v/>
      </c>
    </row>
    <row r="771" spans="1:9" ht="30" customHeight="1" x14ac:dyDescent="0.35">
      <c r="A771" t="s">
        <v>1586</v>
      </c>
      <c r="B771" t="s">
        <v>1587</v>
      </c>
      <c r="C771" t="s">
        <v>457</v>
      </c>
      <c r="D771" t="s">
        <v>456</v>
      </c>
      <c r="E771" s="2">
        <v>810.53</v>
      </c>
      <c r="F771" s="2">
        <v>67800.91</v>
      </c>
      <c r="G771" s="2"/>
      <c r="H771" s="4">
        <f t="shared" si="24"/>
        <v>67800.91</v>
      </c>
      <c r="I771" s="6">
        <f t="shared" si="25"/>
        <v>1.1954559311962036E-2</v>
      </c>
    </row>
    <row r="772" spans="1:9" ht="30" customHeight="1" x14ac:dyDescent="0.35">
      <c r="A772" t="s">
        <v>1588</v>
      </c>
      <c r="B772" t="s">
        <v>1589</v>
      </c>
      <c r="C772" t="s">
        <v>57</v>
      </c>
      <c r="D772" t="s">
        <v>56</v>
      </c>
      <c r="E772" s="2">
        <v>63551.95</v>
      </c>
      <c r="F772" s="2">
        <v>90770.27</v>
      </c>
      <c r="G772" s="2">
        <v>12396.34</v>
      </c>
      <c r="H772" s="4">
        <f t="shared" si="24"/>
        <v>103166.61</v>
      </c>
      <c r="I772" s="6">
        <f t="shared" si="25"/>
        <v>0.61601277777761621</v>
      </c>
    </row>
    <row r="773" spans="1:9" ht="30" customHeight="1" x14ac:dyDescent="0.35">
      <c r="A773" t="s">
        <v>1590</v>
      </c>
      <c r="B773" t="s">
        <v>1591</v>
      </c>
      <c r="C773" t="s">
        <v>465</v>
      </c>
      <c r="D773" t="s">
        <v>464</v>
      </c>
      <c r="E773" s="2">
        <v>22615.99</v>
      </c>
      <c r="F773" s="2">
        <v>1504392.2</v>
      </c>
      <c r="G773" s="2">
        <v>250000</v>
      </c>
      <c r="H773" s="4">
        <f t="shared" si="24"/>
        <v>1754392.2</v>
      </c>
      <c r="I773" s="6">
        <f t="shared" si="25"/>
        <v>1.2891068485142605E-2</v>
      </c>
    </row>
    <row r="774" spans="1:9" ht="30" customHeight="1" x14ac:dyDescent="0.35">
      <c r="A774" t="s">
        <v>456</v>
      </c>
      <c r="B774" t="s">
        <v>1592</v>
      </c>
      <c r="C774" t="s">
        <v>185</v>
      </c>
      <c r="D774" t="s">
        <v>184</v>
      </c>
      <c r="E774" s="2">
        <v>897.61</v>
      </c>
      <c r="F774" s="2">
        <v>876306.95</v>
      </c>
      <c r="G774" s="2"/>
      <c r="H774" s="4">
        <f t="shared" si="24"/>
        <v>876306.95</v>
      </c>
      <c r="I774" s="6">
        <f t="shared" si="25"/>
        <v>1.0243100320041967E-3</v>
      </c>
    </row>
    <row r="775" spans="1:9" ht="30" customHeight="1" x14ac:dyDescent="0.35">
      <c r="A775" t="s">
        <v>1593</v>
      </c>
      <c r="B775" t="s">
        <v>1594</v>
      </c>
      <c r="C775" t="s">
        <v>253</v>
      </c>
      <c r="D775" t="s">
        <v>252</v>
      </c>
      <c r="E775" s="2">
        <v>950.69</v>
      </c>
      <c r="F775" s="2">
        <v>339819.37</v>
      </c>
      <c r="G775" s="2">
        <v>180.63</v>
      </c>
      <c r="H775" s="4">
        <f t="shared" si="24"/>
        <v>340000</v>
      </c>
      <c r="I775" s="6">
        <f t="shared" si="25"/>
        <v>2.7961470588235295E-3</v>
      </c>
    </row>
    <row r="776" spans="1:9" ht="30" customHeight="1" x14ac:dyDescent="0.35">
      <c r="A776" t="s">
        <v>1595</v>
      </c>
      <c r="B776" t="s">
        <v>1596</v>
      </c>
      <c r="C776" t="s">
        <v>15</v>
      </c>
      <c r="D776" t="s">
        <v>14</v>
      </c>
      <c r="E776" s="2">
        <v>52488.3</v>
      </c>
      <c r="F776" s="2">
        <v>1009794.79</v>
      </c>
      <c r="G776" s="2"/>
      <c r="H776" s="4">
        <f t="shared" si="24"/>
        <v>1009794.79</v>
      </c>
      <c r="I776" s="6">
        <f t="shared" si="25"/>
        <v>5.1979174897505663E-2</v>
      </c>
    </row>
    <row r="777" spans="1:9" ht="30" customHeight="1" x14ac:dyDescent="0.35">
      <c r="A777" t="s">
        <v>1597</v>
      </c>
      <c r="B777" t="s">
        <v>1598</v>
      </c>
      <c r="C777" t="s">
        <v>19</v>
      </c>
      <c r="D777" t="s">
        <v>18</v>
      </c>
      <c r="E777" s="2">
        <v>22099.01</v>
      </c>
      <c r="F777" s="2">
        <v>232953.64</v>
      </c>
      <c r="G777" s="2">
        <v>46.36</v>
      </c>
      <c r="H777" s="4">
        <f t="shared" si="24"/>
        <v>233000</v>
      </c>
      <c r="I777" s="6">
        <f t="shared" si="25"/>
        <v>9.4845536480686693E-2</v>
      </c>
    </row>
    <row r="778" spans="1:9" ht="30" customHeight="1" x14ac:dyDescent="0.35">
      <c r="A778" t="s">
        <v>1599</v>
      </c>
      <c r="B778" t="s">
        <v>1600</v>
      </c>
      <c r="C778" t="s">
        <v>385</v>
      </c>
      <c r="D778" t="s">
        <v>384</v>
      </c>
      <c r="E778" s="2">
        <v>9065.35</v>
      </c>
      <c r="F778" s="2">
        <v>110000</v>
      </c>
      <c r="G778" s="2">
        <v>0</v>
      </c>
      <c r="H778" s="4">
        <f t="shared" si="24"/>
        <v>110000</v>
      </c>
      <c r="I778" s="6">
        <f t="shared" si="25"/>
        <v>8.2412272727272737E-2</v>
      </c>
    </row>
    <row r="779" spans="1:9" ht="30" customHeight="1" x14ac:dyDescent="0.35">
      <c r="A779" t="s">
        <v>1601</v>
      </c>
      <c r="B779" t="s">
        <v>1602</v>
      </c>
      <c r="C779" t="s">
        <v>33</v>
      </c>
      <c r="D779" t="s">
        <v>32</v>
      </c>
      <c r="E779" s="2">
        <v>50167.05</v>
      </c>
      <c r="F779" s="2">
        <v>173151.25</v>
      </c>
      <c r="G779" s="2"/>
      <c r="H779" s="4">
        <f t="shared" si="24"/>
        <v>173151.25</v>
      </c>
      <c r="I779" s="6">
        <f t="shared" si="25"/>
        <v>0.28972964388071126</v>
      </c>
    </row>
    <row r="780" spans="1:9" ht="30" customHeight="1" x14ac:dyDescent="0.35">
      <c r="A780" t="s">
        <v>1603</v>
      </c>
      <c r="B780" t="s">
        <v>1604</v>
      </c>
      <c r="C780" t="s">
        <v>41</v>
      </c>
      <c r="D780" t="s">
        <v>40</v>
      </c>
      <c r="E780" s="2"/>
      <c r="F780" s="2">
        <v>557894.43000000005</v>
      </c>
      <c r="G780" s="2"/>
      <c r="H780" s="4">
        <f t="shared" si="24"/>
        <v>557894.43000000005</v>
      </c>
      <c r="I780" s="6">
        <f t="shared" si="25"/>
        <v>0</v>
      </c>
    </row>
    <row r="781" spans="1:9" ht="30" customHeight="1" x14ac:dyDescent="0.35">
      <c r="A781" t="s">
        <v>1605</v>
      </c>
      <c r="B781" t="s">
        <v>1606</v>
      </c>
      <c r="C781" t="s">
        <v>51</v>
      </c>
      <c r="D781" t="s">
        <v>50</v>
      </c>
      <c r="E781" s="2">
        <v>16869</v>
      </c>
      <c r="F781" s="2">
        <v>20742.490000000002</v>
      </c>
      <c r="G781" s="2">
        <v>21000</v>
      </c>
      <c r="H781" s="4">
        <f t="shared" si="24"/>
        <v>41742.490000000005</v>
      </c>
      <c r="I781" s="6">
        <f t="shared" si="25"/>
        <v>0.40412059750149065</v>
      </c>
    </row>
    <row r="782" spans="1:9" ht="30" customHeight="1" x14ac:dyDescent="0.35">
      <c r="A782" t="s">
        <v>1607</v>
      </c>
      <c r="B782" t="s">
        <v>1608</v>
      </c>
      <c r="C782" t="s">
        <v>213</v>
      </c>
      <c r="D782" t="s">
        <v>212</v>
      </c>
      <c r="E782" s="2">
        <v>14006.39</v>
      </c>
      <c r="F782" s="2">
        <v>344677.74</v>
      </c>
      <c r="G782" s="2">
        <v>6.19</v>
      </c>
      <c r="H782" s="4">
        <f t="shared" si="24"/>
        <v>344683.93</v>
      </c>
      <c r="I782" s="6">
        <f t="shared" si="25"/>
        <v>4.0635459854481755E-2</v>
      </c>
    </row>
    <row r="783" spans="1:9" ht="30" customHeight="1" x14ac:dyDescent="0.35">
      <c r="A783" t="s">
        <v>1609</v>
      </c>
      <c r="B783" t="s">
        <v>1610</v>
      </c>
      <c r="C783" t="s">
        <v>51</v>
      </c>
      <c r="D783" t="s">
        <v>50</v>
      </c>
      <c r="E783" s="2">
        <v>25825.16</v>
      </c>
      <c r="F783" s="2">
        <v>6838.98</v>
      </c>
      <c r="G783" s="2"/>
      <c r="H783" s="4">
        <f t="shared" si="24"/>
        <v>6838.98</v>
      </c>
      <c r="I783" s="6">
        <f t="shared" si="25"/>
        <v>3.7761713003985977</v>
      </c>
    </row>
    <row r="784" spans="1:9" ht="30" customHeight="1" x14ac:dyDescent="0.35">
      <c r="A784" t="s">
        <v>1611</v>
      </c>
      <c r="B784" t="s">
        <v>1612</v>
      </c>
      <c r="C784" t="s">
        <v>109</v>
      </c>
      <c r="D784" t="s">
        <v>108</v>
      </c>
      <c r="E784" s="2">
        <v>10863.98</v>
      </c>
      <c r="F784" s="2"/>
      <c r="G784" s="2"/>
      <c r="H784" s="4" t="str">
        <f t="shared" si="24"/>
        <v/>
      </c>
      <c r="I784" s="6" t="str">
        <f t="shared" si="25"/>
        <v/>
      </c>
    </row>
    <row r="785" spans="1:9" ht="30" customHeight="1" x14ac:dyDescent="0.35">
      <c r="A785" t="s">
        <v>1613</v>
      </c>
      <c r="B785" t="s">
        <v>1614</v>
      </c>
      <c r="C785" t="s">
        <v>385</v>
      </c>
      <c r="D785" t="s">
        <v>384</v>
      </c>
      <c r="E785" s="2">
        <v>875646.72</v>
      </c>
      <c r="F785" s="2">
        <v>44254.76</v>
      </c>
      <c r="G785" s="2">
        <v>44645.24</v>
      </c>
      <c r="H785" s="4">
        <f t="shared" si="24"/>
        <v>88900</v>
      </c>
      <c r="I785" s="6">
        <f t="shared" si="25"/>
        <v>9.849794375703036</v>
      </c>
    </row>
    <row r="786" spans="1:9" ht="30" customHeight="1" x14ac:dyDescent="0.35">
      <c r="A786" t="s">
        <v>1615</v>
      </c>
      <c r="B786" t="s">
        <v>1616</v>
      </c>
      <c r="C786" t="s">
        <v>33</v>
      </c>
      <c r="D786" t="s">
        <v>32</v>
      </c>
      <c r="E786" s="2">
        <v>284963.46999999997</v>
      </c>
      <c r="F786" s="2">
        <v>0</v>
      </c>
      <c r="G786" s="2">
        <v>222735</v>
      </c>
      <c r="H786" s="4">
        <f t="shared" si="24"/>
        <v>222735</v>
      </c>
      <c r="I786" s="6">
        <f t="shared" si="25"/>
        <v>1.2793834377174669</v>
      </c>
    </row>
    <row r="787" spans="1:9" ht="30" customHeight="1" x14ac:dyDescent="0.35">
      <c r="A787" t="s">
        <v>1617</v>
      </c>
      <c r="B787" t="s">
        <v>1618</v>
      </c>
      <c r="C787" t="s">
        <v>457</v>
      </c>
      <c r="D787" t="s">
        <v>456</v>
      </c>
      <c r="E787" s="2"/>
      <c r="F787" s="2">
        <v>214863.21</v>
      </c>
      <c r="G787" s="2"/>
      <c r="H787" s="4">
        <f t="shared" si="24"/>
        <v>214863.21</v>
      </c>
      <c r="I787" s="6">
        <f t="shared" si="25"/>
        <v>0</v>
      </c>
    </row>
    <row r="788" spans="1:9" ht="30" customHeight="1" x14ac:dyDescent="0.35">
      <c r="A788" t="s">
        <v>22</v>
      </c>
      <c r="B788" t="s">
        <v>1619</v>
      </c>
      <c r="C788" t="s">
        <v>259</v>
      </c>
      <c r="D788" t="s">
        <v>258</v>
      </c>
      <c r="E788" s="2">
        <v>268226.06</v>
      </c>
      <c r="F788" s="2">
        <v>154135.99</v>
      </c>
      <c r="G788" s="2"/>
      <c r="H788" s="4">
        <f t="shared" si="24"/>
        <v>154135.99</v>
      </c>
      <c r="I788" s="6">
        <f t="shared" si="25"/>
        <v>1.740190983299877</v>
      </c>
    </row>
    <row r="789" spans="1:9" ht="30" customHeight="1" x14ac:dyDescent="0.35">
      <c r="A789" t="s">
        <v>470</v>
      </c>
      <c r="B789" t="s">
        <v>1620</v>
      </c>
      <c r="C789" t="s">
        <v>101</v>
      </c>
      <c r="D789" t="s">
        <v>100</v>
      </c>
      <c r="E789" s="2">
        <v>72591.72</v>
      </c>
      <c r="F789" s="2">
        <v>537042.91</v>
      </c>
      <c r="G789" s="2"/>
      <c r="H789" s="4">
        <f t="shared" si="24"/>
        <v>537042.91</v>
      </c>
      <c r="I789" s="6">
        <f t="shared" si="25"/>
        <v>0.13516931077257868</v>
      </c>
    </row>
    <row r="790" spans="1:9" ht="30" customHeight="1" x14ac:dyDescent="0.35">
      <c r="A790" t="s">
        <v>1621</v>
      </c>
      <c r="B790" t="s">
        <v>1622</v>
      </c>
      <c r="C790" t="s">
        <v>213</v>
      </c>
      <c r="D790" t="s">
        <v>212</v>
      </c>
      <c r="E790" s="2">
        <v>47373.61</v>
      </c>
      <c r="F790" s="2">
        <v>2408799.7200000002</v>
      </c>
      <c r="G790" s="2"/>
      <c r="H790" s="4">
        <f t="shared" si="24"/>
        <v>2408799.7200000002</v>
      </c>
      <c r="I790" s="6">
        <f t="shared" si="25"/>
        <v>1.9666894514584216E-2</v>
      </c>
    </row>
    <row r="791" spans="1:9" ht="30" customHeight="1" x14ac:dyDescent="0.35">
      <c r="A791" t="s">
        <v>1623</v>
      </c>
      <c r="B791" t="s">
        <v>1624</v>
      </c>
      <c r="C791" t="s">
        <v>259</v>
      </c>
      <c r="D791" t="s">
        <v>258</v>
      </c>
      <c r="E791" s="2"/>
      <c r="F791" s="2">
        <v>4592027.13</v>
      </c>
      <c r="G791" s="2"/>
      <c r="H791" s="4">
        <f t="shared" si="24"/>
        <v>4592027.13</v>
      </c>
      <c r="I791" s="6">
        <f t="shared" si="25"/>
        <v>0</v>
      </c>
    </row>
    <row r="792" spans="1:9" ht="30" customHeight="1" x14ac:dyDescent="0.35">
      <c r="A792" t="s">
        <v>1625</v>
      </c>
      <c r="B792" t="s">
        <v>1626</v>
      </c>
      <c r="C792" t="s">
        <v>457</v>
      </c>
      <c r="D792" t="s">
        <v>456</v>
      </c>
      <c r="E792" s="2">
        <v>75</v>
      </c>
      <c r="F792" s="2">
        <v>206973.18</v>
      </c>
      <c r="G792" s="2"/>
      <c r="H792" s="4">
        <f t="shared" si="24"/>
        <v>206973.18</v>
      </c>
      <c r="I792" s="6">
        <f t="shared" si="25"/>
        <v>3.6236579058214209E-4</v>
      </c>
    </row>
    <row r="793" spans="1:9" ht="30" customHeight="1" x14ac:dyDescent="0.35">
      <c r="A793" t="s">
        <v>404</v>
      </c>
      <c r="B793" t="s">
        <v>1627</v>
      </c>
      <c r="C793" t="s">
        <v>465</v>
      </c>
      <c r="D793" t="s">
        <v>464</v>
      </c>
      <c r="E793" s="2">
        <v>96013.32</v>
      </c>
      <c r="F793" s="2">
        <v>1163284.05</v>
      </c>
      <c r="G793" s="2"/>
      <c r="H793" s="4">
        <f t="shared" si="24"/>
        <v>1163284.05</v>
      </c>
      <c r="I793" s="6">
        <f t="shared" si="25"/>
        <v>8.2536436393157803E-2</v>
      </c>
    </row>
    <row r="794" spans="1:9" ht="30" customHeight="1" x14ac:dyDescent="0.35">
      <c r="A794" t="s">
        <v>599</v>
      </c>
      <c r="B794" t="s">
        <v>1628</v>
      </c>
      <c r="C794" t="s">
        <v>29</v>
      </c>
      <c r="D794" t="s">
        <v>28</v>
      </c>
      <c r="E794" s="2">
        <v>1860</v>
      </c>
      <c r="F794" s="2">
        <v>138166.76</v>
      </c>
      <c r="G794" s="2"/>
      <c r="H794" s="4">
        <f t="shared" si="24"/>
        <v>138166.76</v>
      </c>
      <c r="I794" s="6">
        <f t="shared" si="25"/>
        <v>1.346199331879824E-2</v>
      </c>
    </row>
    <row r="795" spans="1:9" ht="30" customHeight="1" x14ac:dyDescent="0.35">
      <c r="A795" t="s">
        <v>1629</v>
      </c>
      <c r="B795" t="s">
        <v>1630</v>
      </c>
      <c r="C795" t="s">
        <v>259</v>
      </c>
      <c r="D795" t="s">
        <v>258</v>
      </c>
      <c r="E795" s="2">
        <v>527451.31999999995</v>
      </c>
      <c r="F795" s="2">
        <v>78884.61</v>
      </c>
      <c r="G795" s="2">
        <v>1500000</v>
      </c>
      <c r="H795" s="4">
        <f t="shared" si="24"/>
        <v>1578884.61</v>
      </c>
      <c r="I795" s="6">
        <f t="shared" si="25"/>
        <v>0.33406578077925525</v>
      </c>
    </row>
    <row r="796" spans="1:9" ht="30" customHeight="1" x14ac:dyDescent="0.35">
      <c r="A796" t="s">
        <v>1631</v>
      </c>
      <c r="B796" t="s">
        <v>1632</v>
      </c>
      <c r="C796" t="s">
        <v>41</v>
      </c>
      <c r="D796" t="s">
        <v>40</v>
      </c>
      <c r="E796" s="2">
        <v>378848.2</v>
      </c>
      <c r="F796" s="2">
        <v>0</v>
      </c>
      <c r="G796" s="2">
        <v>350000</v>
      </c>
      <c r="H796" s="4">
        <f t="shared" si="24"/>
        <v>350000</v>
      </c>
      <c r="I796" s="6">
        <f t="shared" si="25"/>
        <v>1.0824234285714287</v>
      </c>
    </row>
    <row r="797" spans="1:9" ht="30" customHeight="1" x14ac:dyDescent="0.35">
      <c r="A797" t="s">
        <v>1633</v>
      </c>
      <c r="B797" t="s">
        <v>1634</v>
      </c>
      <c r="C797" t="s">
        <v>457</v>
      </c>
      <c r="D797" t="s">
        <v>456</v>
      </c>
      <c r="E797" s="2">
        <v>301134.78000000003</v>
      </c>
      <c r="F797" s="2">
        <v>1058324.71</v>
      </c>
      <c r="G797" s="2">
        <v>1000000</v>
      </c>
      <c r="H797" s="4">
        <f t="shared" si="24"/>
        <v>2058324.71</v>
      </c>
      <c r="I797" s="6">
        <f t="shared" si="25"/>
        <v>0.14630091089952471</v>
      </c>
    </row>
    <row r="798" spans="1:9" ht="30" customHeight="1" x14ac:dyDescent="0.35">
      <c r="A798" t="s">
        <v>1635</v>
      </c>
      <c r="B798" t="s">
        <v>1636</v>
      </c>
      <c r="C798" t="s">
        <v>213</v>
      </c>
      <c r="D798" t="s">
        <v>212</v>
      </c>
      <c r="E798" s="2">
        <v>1850.3</v>
      </c>
      <c r="F798" s="2">
        <v>178958.1</v>
      </c>
      <c r="G798" s="2"/>
      <c r="H798" s="4">
        <f t="shared" si="24"/>
        <v>178958.1</v>
      </c>
      <c r="I798" s="6">
        <f t="shared" si="25"/>
        <v>1.0339291711300019E-2</v>
      </c>
    </row>
    <row r="799" spans="1:9" ht="30" customHeight="1" x14ac:dyDescent="0.35">
      <c r="A799" t="s">
        <v>1637</v>
      </c>
      <c r="B799" t="s">
        <v>1638</v>
      </c>
      <c r="C799" t="s">
        <v>67</v>
      </c>
      <c r="D799" t="s">
        <v>66</v>
      </c>
      <c r="E799" s="2">
        <v>186850.95</v>
      </c>
      <c r="F799" s="2">
        <v>0</v>
      </c>
      <c r="G799" s="2">
        <v>525000</v>
      </c>
      <c r="H799" s="4">
        <f t="shared" si="24"/>
        <v>525000</v>
      </c>
      <c r="I799" s="6">
        <f t="shared" si="25"/>
        <v>0.35590657142857146</v>
      </c>
    </row>
    <row r="800" spans="1:9" ht="30" customHeight="1" x14ac:dyDescent="0.35">
      <c r="A800" t="s">
        <v>1639</v>
      </c>
      <c r="B800" t="s">
        <v>1640</v>
      </c>
      <c r="C800" t="s">
        <v>101</v>
      </c>
      <c r="D800" t="s">
        <v>100</v>
      </c>
      <c r="E800" s="2">
        <v>91301.97</v>
      </c>
      <c r="F800" s="2">
        <v>1470925.89</v>
      </c>
      <c r="G800" s="2">
        <v>50000</v>
      </c>
      <c r="H800" s="4">
        <f t="shared" si="24"/>
        <v>1520925.89</v>
      </c>
      <c r="I800" s="6">
        <f t="shared" si="25"/>
        <v>6.0030518646769837E-2</v>
      </c>
    </row>
    <row r="801" spans="1:9" ht="30" customHeight="1" x14ac:dyDescent="0.35">
      <c r="A801" t="s">
        <v>1641</v>
      </c>
      <c r="B801" t="s">
        <v>1642</v>
      </c>
      <c r="C801" t="s">
        <v>487</v>
      </c>
      <c r="D801" t="s">
        <v>486</v>
      </c>
      <c r="E801" s="2">
        <v>1070379.23</v>
      </c>
      <c r="F801" s="2">
        <v>6966966.8700000001</v>
      </c>
      <c r="G801" s="2">
        <v>531130.04</v>
      </c>
      <c r="H801" s="4">
        <f t="shared" si="24"/>
        <v>7498096.9100000001</v>
      </c>
      <c r="I801" s="6">
        <f t="shared" si="25"/>
        <v>0.14275345368935755</v>
      </c>
    </row>
    <row r="802" spans="1:9" ht="30" customHeight="1" x14ac:dyDescent="0.35">
      <c r="A802" t="s">
        <v>1643</v>
      </c>
      <c r="B802" t="s">
        <v>1644</v>
      </c>
      <c r="C802" t="s">
        <v>15</v>
      </c>
      <c r="D802" t="s">
        <v>14</v>
      </c>
      <c r="E802" s="2">
        <v>67373.740000000005</v>
      </c>
      <c r="F802" s="2">
        <v>3593066.36</v>
      </c>
      <c r="G802" s="2"/>
      <c r="H802" s="4">
        <f t="shared" si="24"/>
        <v>3593066.36</v>
      </c>
      <c r="I802" s="6">
        <f t="shared" si="25"/>
        <v>1.8751042493966075E-2</v>
      </c>
    </row>
    <row r="803" spans="1:9" ht="30" customHeight="1" x14ac:dyDescent="0.35">
      <c r="A803" t="s">
        <v>1645</v>
      </c>
      <c r="B803" t="s">
        <v>1646</v>
      </c>
      <c r="C803" t="s">
        <v>253</v>
      </c>
      <c r="D803" t="s">
        <v>252</v>
      </c>
      <c r="E803" s="2">
        <v>19173.009999999998</v>
      </c>
      <c r="F803" s="2">
        <v>1342272.44</v>
      </c>
      <c r="G803" s="2"/>
      <c r="H803" s="4">
        <f t="shared" si="24"/>
        <v>1342272.44</v>
      </c>
      <c r="I803" s="6">
        <f t="shared" si="25"/>
        <v>1.4283992897894856E-2</v>
      </c>
    </row>
    <row r="804" spans="1:9" ht="30" customHeight="1" x14ac:dyDescent="0.35">
      <c r="A804" t="s">
        <v>1647</v>
      </c>
      <c r="B804" t="s">
        <v>1648</v>
      </c>
      <c r="C804" t="s">
        <v>259</v>
      </c>
      <c r="D804" t="s">
        <v>258</v>
      </c>
      <c r="E804" s="2">
        <v>282736.92</v>
      </c>
      <c r="F804" s="2">
        <v>542694.89</v>
      </c>
      <c r="G804" s="2">
        <v>586.41</v>
      </c>
      <c r="H804" s="4">
        <f t="shared" si="24"/>
        <v>543281.30000000005</v>
      </c>
      <c r="I804" s="6">
        <f t="shared" si="25"/>
        <v>0.52042453881626327</v>
      </c>
    </row>
    <row r="805" spans="1:9" ht="30" customHeight="1" x14ac:dyDescent="0.35">
      <c r="A805" t="s">
        <v>1649</v>
      </c>
      <c r="B805" t="s">
        <v>1650</v>
      </c>
      <c r="C805" t="s">
        <v>457</v>
      </c>
      <c r="D805" t="s">
        <v>456</v>
      </c>
      <c r="E805" s="2">
        <v>702.23</v>
      </c>
      <c r="F805" s="2">
        <v>128463.63</v>
      </c>
      <c r="G805" s="2"/>
      <c r="H805" s="4">
        <f t="shared" si="24"/>
        <v>128463.63</v>
      </c>
      <c r="I805" s="6">
        <f t="shared" si="25"/>
        <v>5.4663720774510262E-3</v>
      </c>
    </row>
    <row r="806" spans="1:9" ht="30" customHeight="1" x14ac:dyDescent="0.35">
      <c r="A806" t="s">
        <v>1651</v>
      </c>
      <c r="B806" t="s">
        <v>1652</v>
      </c>
      <c r="C806" t="s">
        <v>73</v>
      </c>
      <c r="D806" t="s">
        <v>72</v>
      </c>
      <c r="E806" s="2">
        <v>3424.53</v>
      </c>
      <c r="F806" s="2"/>
      <c r="G806" s="2"/>
      <c r="H806" s="4" t="str">
        <f t="shared" si="24"/>
        <v/>
      </c>
      <c r="I806" s="6" t="str">
        <f t="shared" si="25"/>
        <v/>
      </c>
    </row>
    <row r="807" spans="1:9" ht="30" customHeight="1" x14ac:dyDescent="0.35">
      <c r="A807" t="s">
        <v>1653</v>
      </c>
      <c r="B807" t="s">
        <v>1654</v>
      </c>
      <c r="C807" t="s">
        <v>487</v>
      </c>
      <c r="D807" t="s">
        <v>486</v>
      </c>
      <c r="E807" s="2">
        <v>35656.07</v>
      </c>
      <c r="F807" s="2">
        <v>729285.1</v>
      </c>
      <c r="G807" s="2"/>
      <c r="H807" s="4">
        <f t="shared" si="24"/>
        <v>729285.1</v>
      </c>
      <c r="I807" s="6">
        <f t="shared" si="25"/>
        <v>4.8891811995062012E-2</v>
      </c>
    </row>
    <row r="808" spans="1:9" ht="30" customHeight="1" x14ac:dyDescent="0.35">
      <c r="A808" t="s">
        <v>1655</v>
      </c>
      <c r="B808" t="s">
        <v>1656</v>
      </c>
      <c r="C808" t="s">
        <v>259</v>
      </c>
      <c r="D808" t="s">
        <v>258</v>
      </c>
      <c r="E808" s="2">
        <v>92846.52</v>
      </c>
      <c r="F808" s="2">
        <v>608884.23</v>
      </c>
      <c r="G808" s="2"/>
      <c r="H808" s="4">
        <f t="shared" si="24"/>
        <v>608884.23</v>
      </c>
      <c r="I808" s="6">
        <f t="shared" si="25"/>
        <v>0.15248632732695344</v>
      </c>
    </row>
    <row r="809" spans="1:9" ht="30" customHeight="1" x14ac:dyDescent="0.35">
      <c r="A809" t="s">
        <v>1657</v>
      </c>
      <c r="B809" t="s">
        <v>1658</v>
      </c>
      <c r="C809" t="s">
        <v>213</v>
      </c>
      <c r="D809" t="s">
        <v>212</v>
      </c>
      <c r="E809" s="2">
        <v>265.83</v>
      </c>
      <c r="F809" s="2">
        <v>91811.7</v>
      </c>
      <c r="G809" s="2">
        <v>8188.3</v>
      </c>
      <c r="H809" s="4">
        <f t="shared" si="24"/>
        <v>100000</v>
      </c>
      <c r="I809" s="6">
        <f t="shared" si="25"/>
        <v>2.6582999999999997E-3</v>
      </c>
    </row>
    <row r="810" spans="1:9" ht="30" customHeight="1" x14ac:dyDescent="0.35">
      <c r="A810" t="s">
        <v>1659</v>
      </c>
      <c r="B810" t="s">
        <v>1660</v>
      </c>
      <c r="C810" t="s">
        <v>29</v>
      </c>
      <c r="D810" t="s">
        <v>28</v>
      </c>
      <c r="E810" s="2">
        <v>1004.24</v>
      </c>
      <c r="F810" s="2">
        <v>89409.15</v>
      </c>
      <c r="G810" s="2">
        <v>10590.85</v>
      </c>
      <c r="H810" s="4">
        <f t="shared" si="24"/>
        <v>100000</v>
      </c>
      <c r="I810" s="6">
        <f t="shared" si="25"/>
        <v>1.00424E-2</v>
      </c>
    </row>
    <row r="811" spans="1:9" ht="30" customHeight="1" x14ac:dyDescent="0.35">
      <c r="A811" t="s">
        <v>1661</v>
      </c>
      <c r="B811" t="s">
        <v>1662</v>
      </c>
      <c r="C811" t="s">
        <v>19</v>
      </c>
      <c r="D811" t="s">
        <v>18</v>
      </c>
      <c r="E811" s="2">
        <v>8272.9</v>
      </c>
      <c r="F811" s="2"/>
      <c r="G811" s="2"/>
      <c r="H811" s="4" t="str">
        <f t="shared" si="24"/>
        <v/>
      </c>
      <c r="I811" s="6" t="str">
        <f t="shared" si="25"/>
        <v/>
      </c>
    </row>
    <row r="812" spans="1:9" ht="30" customHeight="1" x14ac:dyDescent="0.35">
      <c r="A812" t="s">
        <v>1663</v>
      </c>
      <c r="B812" t="s">
        <v>1664</v>
      </c>
      <c r="C812" t="s">
        <v>253</v>
      </c>
      <c r="D812" t="s">
        <v>252</v>
      </c>
      <c r="E812" s="2"/>
      <c r="F812" s="2">
        <v>6669.19</v>
      </c>
      <c r="G812" s="2"/>
      <c r="H812" s="4">
        <f t="shared" si="24"/>
        <v>6669.19</v>
      </c>
      <c r="I812" s="6">
        <f t="shared" si="25"/>
        <v>0</v>
      </c>
    </row>
    <row r="813" spans="1:9" ht="30" customHeight="1" x14ac:dyDescent="0.35">
      <c r="A813" t="s">
        <v>1665</v>
      </c>
      <c r="B813" t="s">
        <v>1666</v>
      </c>
      <c r="C813" t="s">
        <v>385</v>
      </c>
      <c r="D813" t="s">
        <v>384</v>
      </c>
      <c r="E813" s="2">
        <v>2026.37</v>
      </c>
      <c r="F813" s="2">
        <v>102131.64</v>
      </c>
      <c r="G813" s="2">
        <v>147868.35999999999</v>
      </c>
      <c r="H813" s="4">
        <f t="shared" si="24"/>
        <v>250000</v>
      </c>
      <c r="I813" s="6">
        <f t="shared" si="25"/>
        <v>8.10548E-3</v>
      </c>
    </row>
    <row r="814" spans="1:9" ht="30" customHeight="1" x14ac:dyDescent="0.35">
      <c r="A814" t="s">
        <v>1667</v>
      </c>
      <c r="B814" t="s">
        <v>1668</v>
      </c>
      <c r="C814" t="s">
        <v>33</v>
      </c>
      <c r="D814" t="s">
        <v>32</v>
      </c>
      <c r="E814" s="2">
        <v>600279.11</v>
      </c>
      <c r="F814" s="2">
        <v>113987.65</v>
      </c>
      <c r="G814" s="2">
        <v>136012.35</v>
      </c>
      <c r="H814" s="4">
        <f t="shared" si="24"/>
        <v>250000</v>
      </c>
      <c r="I814" s="6">
        <f t="shared" si="25"/>
        <v>2.40111644</v>
      </c>
    </row>
    <row r="815" spans="1:9" ht="30" customHeight="1" x14ac:dyDescent="0.35">
      <c r="A815" t="s">
        <v>1669</v>
      </c>
      <c r="B815" t="s">
        <v>1670</v>
      </c>
      <c r="C815" t="s">
        <v>487</v>
      </c>
      <c r="D815" t="s">
        <v>486</v>
      </c>
      <c r="E815" s="2">
        <v>660862.18000000005</v>
      </c>
      <c r="F815" s="2">
        <v>1401373.73</v>
      </c>
      <c r="G815" s="2">
        <v>30000</v>
      </c>
      <c r="H815" s="4">
        <f t="shared" si="24"/>
        <v>1431373.73</v>
      </c>
      <c r="I815" s="6">
        <f t="shared" si="25"/>
        <v>0.46169785441011274</v>
      </c>
    </row>
    <row r="816" spans="1:9" ht="30" customHeight="1" x14ac:dyDescent="0.35">
      <c r="A816" t="s">
        <v>1671</v>
      </c>
      <c r="B816" t="s">
        <v>1672</v>
      </c>
      <c r="C816" t="s">
        <v>259</v>
      </c>
      <c r="D816" t="s">
        <v>258</v>
      </c>
      <c r="E816" s="2">
        <v>108836.33</v>
      </c>
      <c r="F816" s="2">
        <v>673095.21</v>
      </c>
      <c r="G816" s="2"/>
      <c r="H816" s="4">
        <f t="shared" si="24"/>
        <v>673095.21</v>
      </c>
      <c r="I816" s="6">
        <f t="shared" si="25"/>
        <v>0.16169529716308634</v>
      </c>
    </row>
    <row r="817" spans="1:9" ht="30" customHeight="1" x14ac:dyDescent="0.35">
      <c r="A817" t="s">
        <v>1673</v>
      </c>
      <c r="B817" t="s">
        <v>1674</v>
      </c>
      <c r="C817" t="s">
        <v>19</v>
      </c>
      <c r="D817" t="s">
        <v>18</v>
      </c>
      <c r="E817" s="2">
        <v>176272.34</v>
      </c>
      <c r="F817" s="2">
        <v>463912.33</v>
      </c>
      <c r="G817" s="2"/>
      <c r="H817" s="4">
        <f t="shared" ref="H817:H880" si="26">IF(ISBLANK(F817),"",(F817+G817))</f>
        <v>463912.33</v>
      </c>
      <c r="I817" s="6">
        <f t="shared" ref="I817:I880" si="27">IF(ISBLANK(F817), "", E817/H817)</f>
        <v>0.37996907734700647</v>
      </c>
    </row>
    <row r="818" spans="1:9" ht="30" customHeight="1" x14ac:dyDescent="0.35">
      <c r="A818" t="s">
        <v>1675</v>
      </c>
      <c r="B818" t="s">
        <v>1676</v>
      </c>
      <c r="C818" t="s">
        <v>77</v>
      </c>
      <c r="D818" t="s">
        <v>76</v>
      </c>
      <c r="E818" s="2">
        <v>24937.84</v>
      </c>
      <c r="F818" s="2">
        <v>393645.14</v>
      </c>
      <c r="G818" s="2"/>
      <c r="H818" s="4">
        <f t="shared" si="26"/>
        <v>393645.14</v>
      </c>
      <c r="I818" s="6">
        <f t="shared" si="27"/>
        <v>6.335106791868432E-2</v>
      </c>
    </row>
    <row r="819" spans="1:9" ht="30" customHeight="1" x14ac:dyDescent="0.35">
      <c r="A819" t="s">
        <v>1677</v>
      </c>
      <c r="B819" t="s">
        <v>1678</v>
      </c>
      <c r="C819" t="s">
        <v>1679</v>
      </c>
      <c r="D819" t="s">
        <v>1621</v>
      </c>
      <c r="E819" s="2"/>
      <c r="F819" s="2">
        <v>0</v>
      </c>
      <c r="G819" s="2">
        <v>67000</v>
      </c>
      <c r="H819" s="4">
        <f t="shared" si="26"/>
        <v>67000</v>
      </c>
      <c r="I819" s="6">
        <f t="shared" si="27"/>
        <v>0</v>
      </c>
    </row>
    <row r="820" spans="1:9" ht="30" customHeight="1" x14ac:dyDescent="0.35">
      <c r="A820" t="s">
        <v>120</v>
      </c>
      <c r="B820" t="s">
        <v>1680</v>
      </c>
      <c r="C820" t="s">
        <v>51</v>
      </c>
      <c r="D820" t="s">
        <v>50</v>
      </c>
      <c r="E820" s="2">
        <v>65123.51</v>
      </c>
      <c r="F820" s="2"/>
      <c r="G820" s="2"/>
      <c r="H820" s="4" t="str">
        <f t="shared" si="26"/>
        <v/>
      </c>
      <c r="I820" s="6" t="str">
        <f t="shared" si="27"/>
        <v/>
      </c>
    </row>
    <row r="821" spans="1:9" ht="30" customHeight="1" x14ac:dyDescent="0.35">
      <c r="A821" t="s">
        <v>1681</v>
      </c>
      <c r="B821" t="s">
        <v>1682</v>
      </c>
      <c r="C821" t="s">
        <v>41</v>
      </c>
      <c r="D821" t="s">
        <v>40</v>
      </c>
      <c r="E821" s="2">
        <v>11696.75</v>
      </c>
      <c r="F821" s="2">
        <v>26014.69</v>
      </c>
      <c r="G821" s="2">
        <v>250000</v>
      </c>
      <c r="H821" s="4">
        <f t="shared" si="26"/>
        <v>276014.69</v>
      </c>
      <c r="I821" s="6">
        <f t="shared" si="27"/>
        <v>4.2377273470480863E-2</v>
      </c>
    </row>
    <row r="822" spans="1:9" ht="30" customHeight="1" x14ac:dyDescent="0.35">
      <c r="A822" t="s">
        <v>1683</v>
      </c>
      <c r="B822" t="s">
        <v>1684</v>
      </c>
      <c r="C822" t="s">
        <v>19</v>
      </c>
      <c r="D822" t="s">
        <v>18</v>
      </c>
      <c r="E822" s="2">
        <v>93755.14</v>
      </c>
      <c r="F822" s="2"/>
      <c r="G822" s="2"/>
      <c r="H822" s="4" t="str">
        <f t="shared" si="26"/>
        <v/>
      </c>
      <c r="I822" s="6" t="str">
        <f t="shared" si="27"/>
        <v/>
      </c>
    </row>
    <row r="823" spans="1:9" ht="30" customHeight="1" x14ac:dyDescent="0.35">
      <c r="A823" t="s">
        <v>1685</v>
      </c>
      <c r="B823" t="s">
        <v>1686</v>
      </c>
      <c r="C823" t="s">
        <v>29</v>
      </c>
      <c r="D823" t="s">
        <v>28</v>
      </c>
      <c r="E823" s="2">
        <v>78497.279999999999</v>
      </c>
      <c r="F823" s="2">
        <v>208758.33</v>
      </c>
      <c r="G823" s="2">
        <v>1241.67</v>
      </c>
      <c r="H823" s="4">
        <f t="shared" si="26"/>
        <v>210000</v>
      </c>
      <c r="I823" s="6">
        <f t="shared" si="27"/>
        <v>0.37379657142857142</v>
      </c>
    </row>
    <row r="824" spans="1:9" ht="30" customHeight="1" x14ac:dyDescent="0.35">
      <c r="A824" t="s">
        <v>1687</v>
      </c>
      <c r="B824" t="s">
        <v>1688</v>
      </c>
      <c r="C824" t="s">
        <v>109</v>
      </c>
      <c r="D824" t="s">
        <v>108</v>
      </c>
      <c r="E824" s="2">
        <v>4929.78</v>
      </c>
      <c r="F824" s="2">
        <v>43905.34</v>
      </c>
      <c r="G824" s="2">
        <v>6094.66</v>
      </c>
      <c r="H824" s="4">
        <f t="shared" si="26"/>
        <v>50000</v>
      </c>
      <c r="I824" s="6">
        <f t="shared" si="27"/>
        <v>9.8595599999999992E-2</v>
      </c>
    </row>
    <row r="825" spans="1:9" ht="30" customHeight="1" x14ac:dyDescent="0.35">
      <c r="A825" t="s">
        <v>1689</v>
      </c>
      <c r="B825" t="s">
        <v>1690</v>
      </c>
      <c r="C825" t="s">
        <v>19</v>
      </c>
      <c r="D825" t="s">
        <v>18</v>
      </c>
      <c r="E825" s="2">
        <v>19948.87</v>
      </c>
      <c r="F825" s="2"/>
      <c r="G825" s="2"/>
      <c r="H825" s="4" t="str">
        <f t="shared" si="26"/>
        <v/>
      </c>
      <c r="I825" s="6" t="str">
        <f t="shared" si="27"/>
        <v/>
      </c>
    </row>
    <row r="826" spans="1:9" ht="30" customHeight="1" x14ac:dyDescent="0.35">
      <c r="A826" t="s">
        <v>1691</v>
      </c>
      <c r="B826" t="s">
        <v>1692</v>
      </c>
      <c r="C826" t="s">
        <v>457</v>
      </c>
      <c r="D826" t="s">
        <v>456</v>
      </c>
      <c r="E826" s="2">
        <v>460146.47</v>
      </c>
      <c r="F826" s="2">
        <v>988424.35</v>
      </c>
      <c r="G826" s="2">
        <v>7486.5</v>
      </c>
      <c r="H826" s="4">
        <f t="shared" si="26"/>
        <v>995910.85</v>
      </c>
      <c r="I826" s="6">
        <f t="shared" si="27"/>
        <v>0.46203580370672737</v>
      </c>
    </row>
    <row r="827" spans="1:9" ht="30" customHeight="1" x14ac:dyDescent="0.35">
      <c r="A827" t="s">
        <v>1693</v>
      </c>
      <c r="B827" t="s">
        <v>1694</v>
      </c>
      <c r="C827" t="s">
        <v>109</v>
      </c>
      <c r="D827" t="s">
        <v>108</v>
      </c>
      <c r="E827" s="2">
        <v>150449.26999999999</v>
      </c>
      <c r="F827" s="2"/>
      <c r="G827" s="2"/>
      <c r="H827" s="4" t="str">
        <f t="shared" si="26"/>
        <v/>
      </c>
      <c r="I827" s="6" t="str">
        <f t="shared" si="27"/>
        <v/>
      </c>
    </row>
    <row r="828" spans="1:9" ht="30" customHeight="1" x14ac:dyDescent="0.35">
      <c r="A828" t="s">
        <v>1695</v>
      </c>
      <c r="B828" t="s">
        <v>1696</v>
      </c>
      <c r="C828" t="s">
        <v>67</v>
      </c>
      <c r="D828" t="s">
        <v>66</v>
      </c>
      <c r="E828" s="2">
        <v>256651.59</v>
      </c>
      <c r="F828" s="2"/>
      <c r="G828" s="2"/>
      <c r="H828" s="4" t="str">
        <f t="shared" si="26"/>
        <v/>
      </c>
      <c r="I828" s="6" t="str">
        <f t="shared" si="27"/>
        <v/>
      </c>
    </row>
    <row r="829" spans="1:9" ht="30" customHeight="1" x14ac:dyDescent="0.35">
      <c r="A829" t="s">
        <v>1697</v>
      </c>
      <c r="B829" t="s">
        <v>1698</v>
      </c>
      <c r="C829" t="s">
        <v>213</v>
      </c>
      <c r="D829" t="s">
        <v>212</v>
      </c>
      <c r="E829" s="2"/>
      <c r="F829" s="2">
        <v>0</v>
      </c>
      <c r="G829" s="2">
        <v>57.96</v>
      </c>
      <c r="H829" s="4">
        <f t="shared" si="26"/>
        <v>57.96</v>
      </c>
      <c r="I829" s="6">
        <f t="shared" si="27"/>
        <v>0</v>
      </c>
    </row>
    <row r="830" spans="1:9" ht="30" customHeight="1" x14ac:dyDescent="0.35">
      <c r="A830" t="s">
        <v>1699</v>
      </c>
      <c r="B830" t="s">
        <v>1700</v>
      </c>
      <c r="C830" t="s">
        <v>259</v>
      </c>
      <c r="D830" t="s">
        <v>258</v>
      </c>
      <c r="E830" s="2">
        <v>1307047.28</v>
      </c>
      <c r="F830" s="2">
        <v>1495402.37</v>
      </c>
      <c r="G830" s="2">
        <v>500000</v>
      </c>
      <c r="H830" s="4">
        <f t="shared" si="26"/>
        <v>1995402.37</v>
      </c>
      <c r="I830" s="6">
        <f t="shared" si="27"/>
        <v>0.65502943148253345</v>
      </c>
    </row>
    <row r="831" spans="1:9" ht="30" customHeight="1" x14ac:dyDescent="0.35">
      <c r="A831" t="s">
        <v>1701</v>
      </c>
      <c r="B831" t="s">
        <v>1702</v>
      </c>
      <c r="C831" t="s">
        <v>101</v>
      </c>
      <c r="D831" t="s">
        <v>100</v>
      </c>
      <c r="E831" s="2">
        <v>8826248.0899999999</v>
      </c>
      <c r="F831" s="2">
        <v>2525130.2599999998</v>
      </c>
      <c r="G831" s="2">
        <v>2500000</v>
      </c>
      <c r="H831" s="4">
        <f t="shared" si="26"/>
        <v>5025130.26</v>
      </c>
      <c r="I831" s="6">
        <f t="shared" si="27"/>
        <v>1.7564217509458153</v>
      </c>
    </row>
    <row r="832" spans="1:9" ht="30" customHeight="1" x14ac:dyDescent="0.35">
      <c r="A832" t="s">
        <v>1703</v>
      </c>
      <c r="B832" t="s">
        <v>1704</v>
      </c>
      <c r="C832" t="s">
        <v>11</v>
      </c>
      <c r="D832" t="s">
        <v>10</v>
      </c>
      <c r="E832" s="2">
        <v>2039.03</v>
      </c>
      <c r="F832" s="2">
        <v>0</v>
      </c>
      <c r="G832" s="2">
        <v>600000</v>
      </c>
      <c r="H832" s="4">
        <f t="shared" si="26"/>
        <v>600000</v>
      </c>
      <c r="I832" s="6">
        <f t="shared" si="27"/>
        <v>3.3983833333333332E-3</v>
      </c>
    </row>
    <row r="833" spans="1:9" ht="30" customHeight="1" x14ac:dyDescent="0.35">
      <c r="A833" t="s">
        <v>1705</v>
      </c>
      <c r="B833" t="s">
        <v>1706</v>
      </c>
      <c r="C833" t="s">
        <v>15</v>
      </c>
      <c r="D833" t="s">
        <v>14</v>
      </c>
      <c r="E833" s="2">
        <v>601779.67000000004</v>
      </c>
      <c r="F833" s="2">
        <v>3515144.7</v>
      </c>
      <c r="G833" s="2"/>
      <c r="H833" s="4">
        <f t="shared" si="26"/>
        <v>3515144.7</v>
      </c>
      <c r="I833" s="6">
        <f t="shared" si="27"/>
        <v>0.17119627251760078</v>
      </c>
    </row>
    <row r="834" spans="1:9" ht="30" customHeight="1" x14ac:dyDescent="0.35">
      <c r="A834" t="s">
        <v>1707</v>
      </c>
      <c r="B834" t="s">
        <v>1708</v>
      </c>
      <c r="C834" t="s">
        <v>77</v>
      </c>
      <c r="D834" t="s">
        <v>76</v>
      </c>
      <c r="E834" s="2">
        <v>22865.1</v>
      </c>
      <c r="F834" s="2">
        <v>99879.06</v>
      </c>
      <c r="G834" s="2">
        <v>120.94</v>
      </c>
      <c r="H834" s="4">
        <f t="shared" si="26"/>
        <v>100000</v>
      </c>
      <c r="I834" s="6">
        <f t="shared" si="27"/>
        <v>0.22865099999999999</v>
      </c>
    </row>
    <row r="835" spans="1:9" ht="30" customHeight="1" x14ac:dyDescent="0.35">
      <c r="A835" t="s">
        <v>1709</v>
      </c>
      <c r="B835" t="s">
        <v>1710</v>
      </c>
      <c r="C835" t="s">
        <v>101</v>
      </c>
      <c r="D835" t="s">
        <v>100</v>
      </c>
      <c r="E835" s="2">
        <v>810.12</v>
      </c>
      <c r="F835" s="2">
        <v>539774.57999999996</v>
      </c>
      <c r="G835" s="2"/>
      <c r="H835" s="4">
        <f t="shared" si="26"/>
        <v>539774.57999999996</v>
      </c>
      <c r="I835" s="6">
        <f t="shared" si="27"/>
        <v>1.5008487431920194E-3</v>
      </c>
    </row>
    <row r="836" spans="1:9" ht="30" customHeight="1" x14ac:dyDescent="0.35">
      <c r="A836" t="s">
        <v>1711</v>
      </c>
      <c r="B836" t="s">
        <v>1712</v>
      </c>
      <c r="C836" t="s">
        <v>385</v>
      </c>
      <c r="D836" t="s">
        <v>384</v>
      </c>
      <c r="E836" s="2">
        <v>70134.789999999994</v>
      </c>
      <c r="F836" s="2">
        <v>74327.25</v>
      </c>
      <c r="G836" s="2">
        <v>22600</v>
      </c>
      <c r="H836" s="4">
        <f t="shared" si="26"/>
        <v>96927.25</v>
      </c>
      <c r="I836" s="6">
        <f t="shared" si="27"/>
        <v>0.72358175848381123</v>
      </c>
    </row>
    <row r="837" spans="1:9" ht="30" customHeight="1" x14ac:dyDescent="0.35">
      <c r="A837" t="s">
        <v>1713</v>
      </c>
      <c r="B837" t="s">
        <v>1714</v>
      </c>
      <c r="C837" t="s">
        <v>29</v>
      </c>
      <c r="D837" t="s">
        <v>28</v>
      </c>
      <c r="E837" s="2">
        <v>263712.63</v>
      </c>
      <c r="F837" s="2">
        <v>545.87</v>
      </c>
      <c r="G837" s="2">
        <v>2000</v>
      </c>
      <c r="H837" s="4">
        <f t="shared" si="26"/>
        <v>2545.87</v>
      </c>
      <c r="I837" s="6">
        <f t="shared" si="27"/>
        <v>103.58448388959374</v>
      </c>
    </row>
    <row r="838" spans="1:9" ht="30" customHeight="1" x14ac:dyDescent="0.35">
      <c r="A838" t="s">
        <v>1715</v>
      </c>
      <c r="B838" t="s">
        <v>1716</v>
      </c>
      <c r="C838" t="s">
        <v>33</v>
      </c>
      <c r="D838" t="s">
        <v>32</v>
      </c>
      <c r="E838" s="2">
        <v>105.72</v>
      </c>
      <c r="F838" s="2"/>
      <c r="G838" s="2"/>
      <c r="H838" s="4" t="str">
        <f t="shared" si="26"/>
        <v/>
      </c>
      <c r="I838" s="6" t="str">
        <f t="shared" si="27"/>
        <v/>
      </c>
    </row>
    <row r="839" spans="1:9" ht="30" customHeight="1" x14ac:dyDescent="0.35">
      <c r="A839" t="s">
        <v>1717</v>
      </c>
      <c r="B839" t="s">
        <v>1718</v>
      </c>
      <c r="C839" t="s">
        <v>385</v>
      </c>
      <c r="D839" t="s">
        <v>384</v>
      </c>
      <c r="E839" s="2">
        <v>59977.22</v>
      </c>
      <c r="F839" s="2">
        <v>250007.06</v>
      </c>
      <c r="G839" s="2">
        <v>111992.94</v>
      </c>
      <c r="H839" s="4">
        <f t="shared" si="26"/>
        <v>362000</v>
      </c>
      <c r="I839" s="6">
        <f t="shared" si="27"/>
        <v>0.16568292817679559</v>
      </c>
    </row>
    <row r="840" spans="1:9" ht="30" customHeight="1" x14ac:dyDescent="0.35">
      <c r="A840" t="s">
        <v>1719</v>
      </c>
      <c r="B840" t="s">
        <v>1720</v>
      </c>
      <c r="C840" t="s">
        <v>471</v>
      </c>
      <c r="D840" t="s">
        <v>470</v>
      </c>
      <c r="E840" s="2">
        <v>44976.18</v>
      </c>
      <c r="F840" s="2"/>
      <c r="G840" s="2"/>
      <c r="H840" s="4" t="str">
        <f t="shared" si="26"/>
        <v/>
      </c>
      <c r="I840" s="6" t="str">
        <f t="shared" si="27"/>
        <v/>
      </c>
    </row>
    <row r="841" spans="1:9" ht="30" customHeight="1" x14ac:dyDescent="0.35">
      <c r="A841" t="s">
        <v>1721</v>
      </c>
      <c r="B841" t="s">
        <v>1722</v>
      </c>
      <c r="C841" t="s">
        <v>19</v>
      </c>
      <c r="D841" t="s">
        <v>18</v>
      </c>
      <c r="E841" s="2">
        <v>13122.73</v>
      </c>
      <c r="F841" s="2">
        <v>49447.19</v>
      </c>
      <c r="G841" s="2">
        <v>552.80999999999995</v>
      </c>
      <c r="H841" s="4">
        <f t="shared" si="26"/>
        <v>50000</v>
      </c>
      <c r="I841" s="6">
        <f t="shared" si="27"/>
        <v>0.26245459999999998</v>
      </c>
    </row>
    <row r="842" spans="1:9" ht="30" customHeight="1" x14ac:dyDescent="0.35">
      <c r="A842" t="s">
        <v>1723</v>
      </c>
      <c r="B842" t="s">
        <v>1724</v>
      </c>
      <c r="C842" t="s">
        <v>213</v>
      </c>
      <c r="D842" t="s">
        <v>212</v>
      </c>
      <c r="E842" s="2">
        <v>1467.27</v>
      </c>
      <c r="F842" s="2">
        <v>364439.09</v>
      </c>
      <c r="G842" s="2">
        <v>19844.72</v>
      </c>
      <c r="H842" s="4">
        <f t="shared" si="26"/>
        <v>384283.81000000006</v>
      </c>
      <c r="I842" s="6">
        <f t="shared" si="27"/>
        <v>3.8181936418294586E-3</v>
      </c>
    </row>
    <row r="843" spans="1:9" ht="30" customHeight="1" x14ac:dyDescent="0.35">
      <c r="A843" t="s">
        <v>1725</v>
      </c>
      <c r="B843" t="s">
        <v>1726</v>
      </c>
      <c r="C843" t="s">
        <v>33</v>
      </c>
      <c r="D843" t="s">
        <v>32</v>
      </c>
      <c r="E843" s="2">
        <v>902.36</v>
      </c>
      <c r="F843" s="2">
        <v>68439.95</v>
      </c>
      <c r="G843" s="2">
        <v>1560.05</v>
      </c>
      <c r="H843" s="4">
        <f t="shared" si="26"/>
        <v>70000</v>
      </c>
      <c r="I843" s="6">
        <f t="shared" si="27"/>
        <v>1.2890857142857143E-2</v>
      </c>
    </row>
    <row r="844" spans="1:9" ht="30" customHeight="1" x14ac:dyDescent="0.35">
      <c r="A844" t="s">
        <v>1727</v>
      </c>
      <c r="B844" t="s">
        <v>1728</v>
      </c>
      <c r="C844" t="s">
        <v>29</v>
      </c>
      <c r="D844" t="s">
        <v>28</v>
      </c>
      <c r="E844" s="2">
        <v>180856.24</v>
      </c>
      <c r="F844" s="2">
        <v>226474.39</v>
      </c>
      <c r="G844" s="2">
        <v>16694.169999999998</v>
      </c>
      <c r="H844" s="4">
        <f t="shared" si="26"/>
        <v>243168.56</v>
      </c>
      <c r="I844" s="6">
        <f t="shared" si="27"/>
        <v>0.74374845169128767</v>
      </c>
    </row>
    <row r="845" spans="1:9" ht="30" customHeight="1" x14ac:dyDescent="0.35">
      <c r="A845" t="s">
        <v>1729</v>
      </c>
      <c r="B845" t="s">
        <v>1730</v>
      </c>
      <c r="C845" t="s">
        <v>213</v>
      </c>
      <c r="D845" t="s">
        <v>212</v>
      </c>
      <c r="E845" s="2">
        <v>4649.47</v>
      </c>
      <c r="F845" s="2">
        <v>280715.58</v>
      </c>
      <c r="G845" s="2"/>
      <c r="H845" s="4">
        <f t="shared" si="26"/>
        <v>280715.58</v>
      </c>
      <c r="I845" s="6">
        <f t="shared" si="27"/>
        <v>1.656292108902541E-2</v>
      </c>
    </row>
    <row r="846" spans="1:9" ht="30" customHeight="1" x14ac:dyDescent="0.35">
      <c r="A846" t="s">
        <v>1731</v>
      </c>
      <c r="B846" t="s">
        <v>1732</v>
      </c>
      <c r="C846" t="s">
        <v>57</v>
      </c>
      <c r="D846" t="s">
        <v>56</v>
      </c>
      <c r="E846" s="2">
        <v>2583.1999999999998</v>
      </c>
      <c r="F846" s="2">
        <v>15000</v>
      </c>
      <c r="G846" s="2">
        <v>0</v>
      </c>
      <c r="H846" s="4">
        <f t="shared" si="26"/>
        <v>15000</v>
      </c>
      <c r="I846" s="6">
        <f t="shared" si="27"/>
        <v>0.17221333333333333</v>
      </c>
    </row>
    <row r="847" spans="1:9" ht="30" customHeight="1" x14ac:dyDescent="0.35">
      <c r="A847" t="s">
        <v>1733</v>
      </c>
      <c r="B847" t="s">
        <v>1734</v>
      </c>
      <c r="C847" t="s">
        <v>385</v>
      </c>
      <c r="D847" t="s">
        <v>384</v>
      </c>
      <c r="E847" s="2">
        <v>25912.84</v>
      </c>
      <c r="F847" s="2">
        <v>114993.38</v>
      </c>
      <c r="G847" s="2">
        <v>6.62</v>
      </c>
      <c r="H847" s="4">
        <f t="shared" si="26"/>
        <v>115000</v>
      </c>
      <c r="I847" s="6">
        <f t="shared" si="27"/>
        <v>0.22532904347826088</v>
      </c>
    </row>
    <row r="848" spans="1:9" ht="30" customHeight="1" x14ac:dyDescent="0.35">
      <c r="A848" t="s">
        <v>1735</v>
      </c>
      <c r="B848" t="s">
        <v>1736</v>
      </c>
      <c r="C848" t="s">
        <v>57</v>
      </c>
      <c r="D848" t="s">
        <v>56</v>
      </c>
      <c r="E848" s="2">
        <v>21586.45</v>
      </c>
      <c r="F848" s="2">
        <v>25000</v>
      </c>
      <c r="G848" s="2">
        <v>43200</v>
      </c>
      <c r="H848" s="4">
        <f t="shared" si="26"/>
        <v>68200</v>
      </c>
      <c r="I848" s="6">
        <f t="shared" si="27"/>
        <v>0.31651686217008801</v>
      </c>
    </row>
    <row r="849" spans="1:9" ht="30" customHeight="1" x14ac:dyDescent="0.35">
      <c r="A849" t="s">
        <v>1737</v>
      </c>
      <c r="B849" t="s">
        <v>1738</v>
      </c>
      <c r="C849" t="s">
        <v>33</v>
      </c>
      <c r="D849" t="s">
        <v>32</v>
      </c>
      <c r="E849" s="2">
        <v>180990.9</v>
      </c>
      <c r="F849" s="2">
        <v>38300</v>
      </c>
      <c r="G849" s="2">
        <v>150000</v>
      </c>
      <c r="H849" s="4">
        <f t="shared" si="26"/>
        <v>188300</v>
      </c>
      <c r="I849" s="6">
        <f t="shared" si="27"/>
        <v>0.96118374933616568</v>
      </c>
    </row>
    <row r="850" spans="1:9" ht="30" customHeight="1" x14ac:dyDescent="0.35">
      <c r="A850" t="s">
        <v>1739</v>
      </c>
      <c r="B850" t="s">
        <v>1740</v>
      </c>
      <c r="C850" t="s">
        <v>457</v>
      </c>
      <c r="D850" t="s">
        <v>456</v>
      </c>
      <c r="E850" s="2">
        <v>32080.97</v>
      </c>
      <c r="F850" s="2">
        <v>1329718.44</v>
      </c>
      <c r="G850" s="2"/>
      <c r="H850" s="4">
        <f t="shared" si="26"/>
        <v>1329718.44</v>
      </c>
      <c r="I850" s="6">
        <f t="shared" si="27"/>
        <v>2.4126137560369548E-2</v>
      </c>
    </row>
    <row r="851" spans="1:9" ht="30" customHeight="1" x14ac:dyDescent="0.35">
      <c r="A851" t="s">
        <v>1741</v>
      </c>
      <c r="B851" t="s">
        <v>1742</v>
      </c>
      <c r="C851" t="s">
        <v>57</v>
      </c>
      <c r="D851" t="s">
        <v>56</v>
      </c>
      <c r="E851" s="2">
        <v>14665.7</v>
      </c>
      <c r="F851" s="2">
        <v>123832.83</v>
      </c>
      <c r="G851" s="2"/>
      <c r="H851" s="4">
        <f t="shared" si="26"/>
        <v>123832.83</v>
      </c>
      <c r="I851" s="6">
        <f t="shared" si="27"/>
        <v>0.11843143696223368</v>
      </c>
    </row>
    <row r="852" spans="1:9" ht="30" customHeight="1" x14ac:dyDescent="0.35">
      <c r="A852" t="s">
        <v>1743</v>
      </c>
      <c r="B852" t="s">
        <v>1744</v>
      </c>
      <c r="C852" t="s">
        <v>259</v>
      </c>
      <c r="D852" t="s">
        <v>258</v>
      </c>
      <c r="E852" s="2">
        <v>4042.04</v>
      </c>
      <c r="F852" s="2">
        <v>220303.76</v>
      </c>
      <c r="G852" s="2"/>
      <c r="H852" s="4">
        <f t="shared" si="26"/>
        <v>220303.76</v>
      </c>
      <c r="I852" s="6">
        <f t="shared" si="27"/>
        <v>1.8347576092210136E-2</v>
      </c>
    </row>
    <row r="853" spans="1:9" ht="30" customHeight="1" x14ac:dyDescent="0.35">
      <c r="A853" t="s">
        <v>1745</v>
      </c>
      <c r="B853" t="s">
        <v>1746</v>
      </c>
      <c r="C853" t="s">
        <v>213</v>
      </c>
      <c r="D853" t="s">
        <v>212</v>
      </c>
      <c r="E853" s="2"/>
      <c r="F853" s="2">
        <v>222502.82</v>
      </c>
      <c r="G853" s="2"/>
      <c r="H853" s="4">
        <f t="shared" si="26"/>
        <v>222502.82</v>
      </c>
      <c r="I853" s="6">
        <f t="shared" si="27"/>
        <v>0</v>
      </c>
    </row>
    <row r="854" spans="1:9" ht="30" customHeight="1" x14ac:dyDescent="0.35">
      <c r="A854" t="s">
        <v>1747</v>
      </c>
      <c r="B854" t="s">
        <v>1748</v>
      </c>
      <c r="C854" t="s">
        <v>19</v>
      </c>
      <c r="D854" t="s">
        <v>18</v>
      </c>
      <c r="E854" s="2">
        <v>48534.95</v>
      </c>
      <c r="F854" s="2">
        <v>158496.29</v>
      </c>
      <c r="G854" s="2">
        <v>33000</v>
      </c>
      <c r="H854" s="4">
        <f t="shared" si="26"/>
        <v>191496.29</v>
      </c>
      <c r="I854" s="6">
        <f t="shared" si="27"/>
        <v>0.25345112430115485</v>
      </c>
    </row>
    <row r="855" spans="1:9" ht="30" customHeight="1" x14ac:dyDescent="0.35">
      <c r="A855" t="s">
        <v>1749</v>
      </c>
      <c r="B855" t="s">
        <v>1750</v>
      </c>
      <c r="C855" t="s">
        <v>57</v>
      </c>
      <c r="D855" t="s">
        <v>56</v>
      </c>
      <c r="E855" s="2">
        <v>462873.49</v>
      </c>
      <c r="F855" s="2">
        <v>129177.84</v>
      </c>
      <c r="G855" s="2">
        <v>36051.660000000003</v>
      </c>
      <c r="H855" s="4">
        <f t="shared" si="26"/>
        <v>165229.5</v>
      </c>
      <c r="I855" s="6">
        <f t="shared" si="27"/>
        <v>2.8013973896913082</v>
      </c>
    </row>
    <row r="856" spans="1:9" ht="30" customHeight="1" x14ac:dyDescent="0.35">
      <c r="A856" t="s">
        <v>1751</v>
      </c>
      <c r="B856" t="s">
        <v>1752</v>
      </c>
      <c r="C856" t="s">
        <v>57</v>
      </c>
      <c r="D856" t="s">
        <v>56</v>
      </c>
      <c r="E856" s="2">
        <v>21412.959999999999</v>
      </c>
      <c r="F856" s="2">
        <v>0</v>
      </c>
      <c r="G856" s="2">
        <v>1000</v>
      </c>
      <c r="H856" s="4">
        <f t="shared" si="26"/>
        <v>1000</v>
      </c>
      <c r="I856" s="6">
        <f t="shared" si="27"/>
        <v>21.412959999999998</v>
      </c>
    </row>
    <row r="857" spans="1:9" ht="30" customHeight="1" x14ac:dyDescent="0.35">
      <c r="A857" t="s">
        <v>1753</v>
      </c>
      <c r="B857" t="s">
        <v>1754</v>
      </c>
      <c r="C857" t="s">
        <v>19</v>
      </c>
      <c r="D857" t="s">
        <v>18</v>
      </c>
      <c r="E857" s="2">
        <v>11493.02</v>
      </c>
      <c r="F857" s="2">
        <v>377905.33</v>
      </c>
      <c r="G857" s="2"/>
      <c r="H857" s="4">
        <f t="shared" si="26"/>
        <v>377905.33</v>
      </c>
      <c r="I857" s="6">
        <f t="shared" si="27"/>
        <v>3.0412431600263485E-2</v>
      </c>
    </row>
    <row r="858" spans="1:9" ht="30" customHeight="1" x14ac:dyDescent="0.35">
      <c r="A858" t="s">
        <v>1755</v>
      </c>
      <c r="B858" t="s">
        <v>1756</v>
      </c>
      <c r="C858" t="s">
        <v>67</v>
      </c>
      <c r="D858" t="s">
        <v>66</v>
      </c>
      <c r="E858" s="2">
        <v>24185.64</v>
      </c>
      <c r="F858" s="2">
        <v>559667.19999999995</v>
      </c>
      <c r="G858" s="2">
        <v>150000</v>
      </c>
      <c r="H858" s="4">
        <f t="shared" si="26"/>
        <v>709667.2</v>
      </c>
      <c r="I858" s="6">
        <f t="shared" si="27"/>
        <v>3.4080256210234881E-2</v>
      </c>
    </row>
    <row r="859" spans="1:9" ht="30" customHeight="1" x14ac:dyDescent="0.35">
      <c r="A859" t="s">
        <v>1757</v>
      </c>
      <c r="B859" t="s">
        <v>1758</v>
      </c>
      <c r="C859" t="s">
        <v>19</v>
      </c>
      <c r="D859" t="s">
        <v>18</v>
      </c>
      <c r="E859" s="2">
        <v>84258.43</v>
      </c>
      <c r="F859" s="2"/>
      <c r="G859" s="2"/>
      <c r="H859" s="4" t="str">
        <f t="shared" si="26"/>
        <v/>
      </c>
      <c r="I859" s="6" t="str">
        <f t="shared" si="27"/>
        <v/>
      </c>
    </row>
    <row r="860" spans="1:9" ht="30" customHeight="1" x14ac:dyDescent="0.35">
      <c r="A860" t="s">
        <v>460</v>
      </c>
      <c r="B860" t="s">
        <v>1759</v>
      </c>
      <c r="C860" t="s">
        <v>29</v>
      </c>
      <c r="D860" t="s">
        <v>28</v>
      </c>
      <c r="E860" s="2"/>
      <c r="F860" s="2">
        <v>0</v>
      </c>
      <c r="G860" s="2">
        <v>200000</v>
      </c>
      <c r="H860" s="4">
        <f t="shared" si="26"/>
        <v>200000</v>
      </c>
      <c r="I860" s="6">
        <f t="shared" si="27"/>
        <v>0</v>
      </c>
    </row>
    <row r="861" spans="1:9" ht="30" customHeight="1" x14ac:dyDescent="0.35">
      <c r="A861" t="s">
        <v>1760</v>
      </c>
      <c r="B861" t="s">
        <v>1761</v>
      </c>
      <c r="C861" t="s">
        <v>606</v>
      </c>
      <c r="D861" t="s">
        <v>605</v>
      </c>
      <c r="E861" s="2">
        <v>2782.92</v>
      </c>
      <c r="F861" s="2">
        <v>41447.08</v>
      </c>
      <c r="G861" s="2"/>
      <c r="H861" s="4">
        <f t="shared" si="26"/>
        <v>41447.08</v>
      </c>
      <c r="I861" s="6">
        <f t="shared" si="27"/>
        <v>6.7143933903184488E-2</v>
      </c>
    </row>
    <row r="862" spans="1:9" ht="30" customHeight="1" x14ac:dyDescent="0.35">
      <c r="A862" t="s">
        <v>1762</v>
      </c>
      <c r="B862" t="s">
        <v>1763</v>
      </c>
      <c r="C862" t="s">
        <v>457</v>
      </c>
      <c r="D862" t="s">
        <v>456</v>
      </c>
      <c r="E862" s="2">
        <v>12157.76</v>
      </c>
      <c r="F862" s="2">
        <v>1131816.17</v>
      </c>
      <c r="G862" s="2"/>
      <c r="H862" s="4">
        <f t="shared" si="26"/>
        <v>1131816.17</v>
      </c>
      <c r="I862" s="6">
        <f t="shared" si="27"/>
        <v>1.0741815077619893E-2</v>
      </c>
    </row>
    <row r="863" spans="1:9" ht="30" customHeight="1" x14ac:dyDescent="0.35">
      <c r="A863" t="s">
        <v>1764</v>
      </c>
      <c r="B863" t="s">
        <v>1765</v>
      </c>
      <c r="C863" t="s">
        <v>259</v>
      </c>
      <c r="D863" t="s">
        <v>258</v>
      </c>
      <c r="E863" s="2"/>
      <c r="F863" s="2">
        <v>3432404.59</v>
      </c>
      <c r="G863" s="2">
        <v>67595.41</v>
      </c>
      <c r="H863" s="4">
        <f t="shared" si="26"/>
        <v>3500000</v>
      </c>
      <c r="I863" s="6">
        <f t="shared" si="27"/>
        <v>0</v>
      </c>
    </row>
    <row r="864" spans="1:9" ht="30" customHeight="1" x14ac:dyDescent="0.35">
      <c r="A864" t="s">
        <v>1766</v>
      </c>
      <c r="B864" t="s">
        <v>1767</v>
      </c>
      <c r="C864" t="s">
        <v>19</v>
      </c>
      <c r="D864" t="s">
        <v>18</v>
      </c>
      <c r="E864" s="2">
        <v>46301.02</v>
      </c>
      <c r="F864" s="2"/>
      <c r="G864" s="2"/>
      <c r="H864" s="4" t="str">
        <f t="shared" si="26"/>
        <v/>
      </c>
      <c r="I864" s="6" t="str">
        <f t="shared" si="27"/>
        <v/>
      </c>
    </row>
    <row r="865" spans="1:9" ht="30" customHeight="1" x14ac:dyDescent="0.35">
      <c r="A865" t="s">
        <v>1768</v>
      </c>
      <c r="B865" t="s">
        <v>1769</v>
      </c>
      <c r="C865" t="s">
        <v>457</v>
      </c>
      <c r="D865" t="s">
        <v>456</v>
      </c>
      <c r="E865" s="2">
        <v>34531.69</v>
      </c>
      <c r="F865" s="2">
        <v>155763.32</v>
      </c>
      <c r="G865" s="2"/>
      <c r="H865" s="4">
        <f t="shared" si="26"/>
        <v>155763.32</v>
      </c>
      <c r="I865" s="6">
        <f t="shared" si="27"/>
        <v>0.2216933357609481</v>
      </c>
    </row>
    <row r="866" spans="1:9" ht="30" customHeight="1" x14ac:dyDescent="0.35">
      <c r="A866" t="s">
        <v>1770</v>
      </c>
      <c r="B866" t="s">
        <v>1771</v>
      </c>
      <c r="C866" t="s">
        <v>259</v>
      </c>
      <c r="D866" t="s">
        <v>258</v>
      </c>
      <c r="E866" s="2">
        <v>38333.199999999997</v>
      </c>
      <c r="F866" s="2">
        <v>481296.51</v>
      </c>
      <c r="G866" s="2">
        <v>47256.72</v>
      </c>
      <c r="H866" s="4">
        <f t="shared" si="26"/>
        <v>528553.23</v>
      </c>
      <c r="I866" s="6">
        <f t="shared" si="27"/>
        <v>7.2524767278406371E-2</v>
      </c>
    </row>
    <row r="867" spans="1:9" ht="30" customHeight="1" x14ac:dyDescent="0.35">
      <c r="A867" t="s">
        <v>1772</v>
      </c>
      <c r="B867" t="s">
        <v>1773</v>
      </c>
      <c r="C867" t="s">
        <v>67</v>
      </c>
      <c r="D867" t="s">
        <v>66</v>
      </c>
      <c r="E867" s="2">
        <v>5739.25</v>
      </c>
      <c r="F867" s="2"/>
      <c r="G867" s="2"/>
      <c r="H867" s="4" t="str">
        <f t="shared" si="26"/>
        <v/>
      </c>
      <c r="I867" s="6" t="str">
        <f t="shared" si="27"/>
        <v/>
      </c>
    </row>
    <row r="868" spans="1:9" ht="30" customHeight="1" x14ac:dyDescent="0.35">
      <c r="A868" t="s">
        <v>1774</v>
      </c>
      <c r="B868" t="s">
        <v>1775</v>
      </c>
      <c r="C868" t="s">
        <v>465</v>
      </c>
      <c r="D868" t="s">
        <v>464</v>
      </c>
      <c r="E868" s="2">
        <v>890698.2</v>
      </c>
      <c r="F868" s="2">
        <v>1684730.98</v>
      </c>
      <c r="G868" s="2"/>
      <c r="H868" s="4">
        <f t="shared" si="26"/>
        <v>1684730.98</v>
      </c>
      <c r="I868" s="6">
        <f t="shared" si="27"/>
        <v>0.52868868120416468</v>
      </c>
    </row>
    <row r="869" spans="1:9" ht="30" customHeight="1" x14ac:dyDescent="0.35">
      <c r="A869" t="s">
        <v>1776</v>
      </c>
      <c r="B869" t="s">
        <v>1777</v>
      </c>
      <c r="C869" t="s">
        <v>213</v>
      </c>
      <c r="D869" t="s">
        <v>212</v>
      </c>
      <c r="E869" s="2">
        <v>441.63</v>
      </c>
      <c r="F869" s="2"/>
      <c r="G869" s="2"/>
      <c r="H869" s="4" t="str">
        <f t="shared" si="26"/>
        <v/>
      </c>
      <c r="I869" s="6" t="str">
        <f t="shared" si="27"/>
        <v/>
      </c>
    </row>
    <row r="870" spans="1:9" ht="30" customHeight="1" x14ac:dyDescent="0.35">
      <c r="A870" t="s">
        <v>1778</v>
      </c>
      <c r="B870" t="s">
        <v>1779</v>
      </c>
      <c r="C870" t="s">
        <v>101</v>
      </c>
      <c r="D870" t="s">
        <v>100</v>
      </c>
      <c r="E870" s="2">
        <v>39457.22</v>
      </c>
      <c r="F870" s="2">
        <v>1054384.97</v>
      </c>
      <c r="G870" s="2">
        <v>5184.41</v>
      </c>
      <c r="H870" s="4">
        <f t="shared" si="26"/>
        <v>1059569.3799999999</v>
      </c>
      <c r="I870" s="6">
        <f t="shared" si="27"/>
        <v>3.723892058866405E-2</v>
      </c>
    </row>
    <row r="871" spans="1:9" ht="30" customHeight="1" x14ac:dyDescent="0.35">
      <c r="A871" t="s">
        <v>1780</v>
      </c>
      <c r="B871" t="s">
        <v>1781</v>
      </c>
      <c r="C871" t="s">
        <v>457</v>
      </c>
      <c r="D871" t="s">
        <v>456</v>
      </c>
      <c r="E871" s="2">
        <v>82748.3</v>
      </c>
      <c r="F871" s="2">
        <v>571775.03</v>
      </c>
      <c r="G871" s="2"/>
      <c r="H871" s="4">
        <f t="shared" si="26"/>
        <v>571775.03</v>
      </c>
      <c r="I871" s="6">
        <f t="shared" si="27"/>
        <v>0.14472177982308881</v>
      </c>
    </row>
    <row r="872" spans="1:9" ht="30" customHeight="1" x14ac:dyDescent="0.35">
      <c r="A872" t="s">
        <v>1782</v>
      </c>
      <c r="B872" t="s">
        <v>1783</v>
      </c>
      <c r="C872" t="s">
        <v>11</v>
      </c>
      <c r="D872" t="s">
        <v>10</v>
      </c>
      <c r="E872" s="2">
        <v>4144955.89</v>
      </c>
      <c r="F872" s="2">
        <v>9793753.8900000006</v>
      </c>
      <c r="G872" s="2"/>
      <c r="H872" s="4">
        <f t="shared" si="26"/>
        <v>9793753.8900000006</v>
      </c>
      <c r="I872" s="6">
        <f t="shared" si="27"/>
        <v>0.42322442819726602</v>
      </c>
    </row>
    <row r="873" spans="1:9" ht="30" customHeight="1" x14ac:dyDescent="0.35">
      <c r="A873" t="s">
        <v>1784</v>
      </c>
      <c r="B873" t="s">
        <v>1785</v>
      </c>
      <c r="C873" t="s">
        <v>253</v>
      </c>
      <c r="D873" t="s">
        <v>252</v>
      </c>
      <c r="E873" s="2">
        <v>3251.56</v>
      </c>
      <c r="F873" s="2">
        <v>1130972.72</v>
      </c>
      <c r="G873" s="2"/>
      <c r="H873" s="4">
        <f t="shared" si="26"/>
        <v>1130972.72</v>
      </c>
      <c r="I873" s="6">
        <f t="shared" si="27"/>
        <v>2.8750118747338134E-3</v>
      </c>
    </row>
    <row r="874" spans="1:9" ht="30" customHeight="1" x14ac:dyDescent="0.35">
      <c r="A874" t="s">
        <v>1786</v>
      </c>
      <c r="B874" t="s">
        <v>1787</v>
      </c>
      <c r="C874" t="s">
        <v>19</v>
      </c>
      <c r="D874" t="s">
        <v>18</v>
      </c>
      <c r="E874" s="2">
        <v>1868.95</v>
      </c>
      <c r="F874" s="2">
        <v>70636.03</v>
      </c>
      <c r="G874" s="2"/>
      <c r="H874" s="4">
        <f t="shared" si="26"/>
        <v>70636.03</v>
      </c>
      <c r="I874" s="6">
        <f t="shared" si="27"/>
        <v>2.6458876581823752E-2</v>
      </c>
    </row>
    <row r="875" spans="1:9" ht="30" customHeight="1" x14ac:dyDescent="0.35">
      <c r="A875" t="s">
        <v>1788</v>
      </c>
      <c r="B875" t="s">
        <v>1789</v>
      </c>
      <c r="C875" t="s">
        <v>259</v>
      </c>
      <c r="D875" t="s">
        <v>258</v>
      </c>
      <c r="E875" s="2">
        <v>3081.27</v>
      </c>
      <c r="F875" s="2"/>
      <c r="G875" s="2"/>
      <c r="H875" s="4" t="str">
        <f t="shared" si="26"/>
        <v/>
      </c>
      <c r="I875" s="6" t="str">
        <f t="shared" si="27"/>
        <v/>
      </c>
    </row>
    <row r="876" spans="1:9" ht="30" customHeight="1" x14ac:dyDescent="0.35">
      <c r="A876" t="s">
        <v>1790</v>
      </c>
      <c r="B876" t="s">
        <v>1791</v>
      </c>
      <c r="C876" t="s">
        <v>213</v>
      </c>
      <c r="D876" t="s">
        <v>212</v>
      </c>
      <c r="E876" s="2">
        <v>3636</v>
      </c>
      <c r="F876" s="2">
        <v>68805</v>
      </c>
      <c r="G876" s="2"/>
      <c r="H876" s="4">
        <f t="shared" si="26"/>
        <v>68805</v>
      </c>
      <c r="I876" s="6">
        <f t="shared" si="27"/>
        <v>5.2844996729888814E-2</v>
      </c>
    </row>
    <row r="877" spans="1:9" ht="30" customHeight="1" x14ac:dyDescent="0.35">
      <c r="A877" t="s">
        <v>1792</v>
      </c>
      <c r="B877" t="s">
        <v>1793</v>
      </c>
      <c r="C877" t="s">
        <v>73</v>
      </c>
      <c r="D877" t="s">
        <v>72</v>
      </c>
      <c r="E877" s="2">
        <v>14328.75</v>
      </c>
      <c r="F877" s="2">
        <v>89471.35</v>
      </c>
      <c r="G877" s="2">
        <v>701.72</v>
      </c>
      <c r="H877" s="4">
        <f t="shared" si="26"/>
        <v>90173.07</v>
      </c>
      <c r="I877" s="6">
        <f t="shared" si="27"/>
        <v>0.15890276331946998</v>
      </c>
    </row>
    <row r="878" spans="1:9" ht="30" customHeight="1" x14ac:dyDescent="0.35">
      <c r="A878" t="s">
        <v>1794</v>
      </c>
      <c r="B878" t="s">
        <v>1795</v>
      </c>
      <c r="C878" t="s">
        <v>487</v>
      </c>
      <c r="D878" t="s">
        <v>486</v>
      </c>
      <c r="E878" s="2">
        <v>1388354.98</v>
      </c>
      <c r="F878" s="2">
        <v>4343001.05</v>
      </c>
      <c r="G878" s="2">
        <v>50000</v>
      </c>
      <c r="H878" s="4">
        <f t="shared" si="26"/>
        <v>4393001.05</v>
      </c>
      <c r="I878" s="6">
        <f t="shared" si="27"/>
        <v>0.31603793493288601</v>
      </c>
    </row>
    <row r="879" spans="1:9" ht="30" customHeight="1" x14ac:dyDescent="0.35">
      <c r="A879" t="s">
        <v>1796</v>
      </c>
      <c r="B879" t="s">
        <v>1797</v>
      </c>
      <c r="C879" t="s">
        <v>29</v>
      </c>
      <c r="D879" t="s">
        <v>28</v>
      </c>
      <c r="E879" s="2">
        <v>3167.61</v>
      </c>
      <c r="F879" s="2">
        <v>2834.44</v>
      </c>
      <c r="G879" s="2">
        <v>29665.56</v>
      </c>
      <c r="H879" s="4">
        <f t="shared" si="26"/>
        <v>32500</v>
      </c>
      <c r="I879" s="6">
        <f t="shared" si="27"/>
        <v>9.7464923076923074E-2</v>
      </c>
    </row>
    <row r="880" spans="1:9" ht="30" customHeight="1" x14ac:dyDescent="0.35">
      <c r="A880" t="s">
        <v>1798</v>
      </c>
      <c r="B880" t="s">
        <v>1799</v>
      </c>
      <c r="C880" t="s">
        <v>259</v>
      </c>
      <c r="D880" t="s">
        <v>258</v>
      </c>
      <c r="E880" s="2">
        <v>183358.96</v>
      </c>
      <c r="F880" s="2">
        <v>754774.53</v>
      </c>
      <c r="G880" s="2"/>
      <c r="H880" s="4">
        <f t="shared" si="26"/>
        <v>754774.53</v>
      </c>
      <c r="I880" s="6">
        <f t="shared" si="27"/>
        <v>0.24293209788093933</v>
      </c>
    </row>
    <row r="881" spans="1:9" ht="30" customHeight="1" x14ac:dyDescent="0.35">
      <c r="A881" t="s">
        <v>1800</v>
      </c>
      <c r="B881" t="s">
        <v>1801</v>
      </c>
      <c r="C881" t="s">
        <v>385</v>
      </c>
      <c r="D881" t="s">
        <v>384</v>
      </c>
      <c r="E881" s="2"/>
      <c r="F881" s="2">
        <v>472420.13</v>
      </c>
      <c r="G881" s="2"/>
      <c r="H881" s="4">
        <f t="shared" ref="H881:H944" si="28">IF(ISBLANK(F881),"",(F881+G881))</f>
        <v>472420.13</v>
      </c>
      <c r="I881" s="6">
        <f t="shared" ref="I881:I944" si="29">IF(ISBLANK(F881), "", E881/H881)</f>
        <v>0</v>
      </c>
    </row>
    <row r="882" spans="1:9" ht="30" customHeight="1" x14ac:dyDescent="0.35">
      <c r="A882" t="s">
        <v>1802</v>
      </c>
      <c r="B882" t="s">
        <v>1803</v>
      </c>
      <c r="C882" t="s">
        <v>259</v>
      </c>
      <c r="D882" t="s">
        <v>258</v>
      </c>
      <c r="E882" s="2"/>
      <c r="F882" s="2">
        <v>1286412.23</v>
      </c>
      <c r="G882" s="2"/>
      <c r="H882" s="4">
        <f t="shared" si="28"/>
        <v>1286412.23</v>
      </c>
      <c r="I882" s="6">
        <f t="shared" si="29"/>
        <v>0</v>
      </c>
    </row>
    <row r="883" spans="1:9" ht="30" customHeight="1" x14ac:dyDescent="0.35">
      <c r="A883" t="s">
        <v>1804</v>
      </c>
      <c r="B883" t="s">
        <v>1805</v>
      </c>
      <c r="C883" t="s">
        <v>253</v>
      </c>
      <c r="D883" t="s">
        <v>252</v>
      </c>
      <c r="E883" s="2">
        <v>34274.21</v>
      </c>
      <c r="F883" s="2">
        <v>1153741.6000000001</v>
      </c>
      <c r="G883" s="2"/>
      <c r="H883" s="4">
        <f t="shared" si="28"/>
        <v>1153741.6000000001</v>
      </c>
      <c r="I883" s="6">
        <f t="shared" si="29"/>
        <v>2.9707007184277656E-2</v>
      </c>
    </row>
    <row r="884" spans="1:9" ht="30" customHeight="1" x14ac:dyDescent="0.35">
      <c r="A884" t="s">
        <v>1806</v>
      </c>
      <c r="B884" t="s">
        <v>1807</v>
      </c>
      <c r="C884" t="s">
        <v>77</v>
      </c>
      <c r="D884" t="s">
        <v>76</v>
      </c>
      <c r="E884" s="2">
        <v>155951.42000000001</v>
      </c>
      <c r="F884" s="2"/>
      <c r="G884" s="2"/>
      <c r="H884" s="4" t="str">
        <f t="shared" si="28"/>
        <v/>
      </c>
      <c r="I884" s="6" t="str">
        <f t="shared" si="29"/>
        <v/>
      </c>
    </row>
    <row r="885" spans="1:9" ht="30" customHeight="1" x14ac:dyDescent="0.35">
      <c r="A885" t="s">
        <v>1808</v>
      </c>
      <c r="B885" t="s">
        <v>1809</v>
      </c>
      <c r="C885" t="s">
        <v>213</v>
      </c>
      <c r="D885" t="s">
        <v>212</v>
      </c>
      <c r="E885" s="2">
        <v>105</v>
      </c>
      <c r="F885" s="2">
        <v>791936.45</v>
      </c>
      <c r="G885" s="2"/>
      <c r="H885" s="4">
        <f t="shared" si="28"/>
        <v>791936.45</v>
      </c>
      <c r="I885" s="6">
        <f t="shared" si="29"/>
        <v>1.3258639629480372E-4</v>
      </c>
    </row>
    <row r="886" spans="1:9" ht="30" customHeight="1" x14ac:dyDescent="0.35">
      <c r="A886" t="s">
        <v>1810</v>
      </c>
      <c r="B886" t="s">
        <v>1811</v>
      </c>
      <c r="C886" t="s">
        <v>33</v>
      </c>
      <c r="D886" t="s">
        <v>32</v>
      </c>
      <c r="E886" s="2">
        <v>18.04</v>
      </c>
      <c r="F886" s="2">
        <v>14968.68</v>
      </c>
      <c r="G886" s="2">
        <v>31.32</v>
      </c>
      <c r="H886" s="4">
        <f t="shared" si="28"/>
        <v>15000</v>
      </c>
      <c r="I886" s="6">
        <f t="shared" si="29"/>
        <v>1.2026666666666666E-3</v>
      </c>
    </row>
    <row r="887" spans="1:9" ht="30" customHeight="1" x14ac:dyDescent="0.35">
      <c r="A887" t="s">
        <v>1812</v>
      </c>
      <c r="B887" t="s">
        <v>1813</v>
      </c>
      <c r="C887" t="s">
        <v>77</v>
      </c>
      <c r="D887" t="s">
        <v>76</v>
      </c>
      <c r="E887" s="2">
        <v>57434.75</v>
      </c>
      <c r="F887" s="2"/>
      <c r="G887" s="2"/>
      <c r="H887" s="4" t="str">
        <f t="shared" si="28"/>
        <v/>
      </c>
      <c r="I887" s="6" t="str">
        <f t="shared" si="29"/>
        <v/>
      </c>
    </row>
    <row r="888" spans="1:9" ht="30" customHeight="1" x14ac:dyDescent="0.35">
      <c r="A888" t="s">
        <v>1814</v>
      </c>
      <c r="B888" t="s">
        <v>1815</v>
      </c>
      <c r="C888" t="s">
        <v>259</v>
      </c>
      <c r="D888" t="s">
        <v>258</v>
      </c>
      <c r="E888" s="2">
        <v>636.55999999999995</v>
      </c>
      <c r="F888" s="2">
        <v>546543.4</v>
      </c>
      <c r="G888" s="2"/>
      <c r="H888" s="4">
        <f t="shared" si="28"/>
        <v>546543.4</v>
      </c>
      <c r="I888" s="6">
        <f t="shared" si="29"/>
        <v>1.1647016504087323E-3</v>
      </c>
    </row>
    <row r="889" spans="1:9" ht="30" customHeight="1" x14ac:dyDescent="0.35">
      <c r="A889" t="s">
        <v>1816</v>
      </c>
      <c r="B889" t="s">
        <v>1817</v>
      </c>
      <c r="C889" t="s">
        <v>73</v>
      </c>
      <c r="D889" t="s">
        <v>72</v>
      </c>
      <c r="E889" s="2">
        <v>586954.99</v>
      </c>
      <c r="F889" s="2"/>
      <c r="G889" s="2"/>
      <c r="H889" s="4" t="str">
        <f t="shared" si="28"/>
        <v/>
      </c>
      <c r="I889" s="6" t="str">
        <f t="shared" si="29"/>
        <v/>
      </c>
    </row>
    <row r="890" spans="1:9" ht="30" customHeight="1" x14ac:dyDescent="0.35">
      <c r="A890" t="s">
        <v>1818</v>
      </c>
      <c r="B890" t="s">
        <v>1819</v>
      </c>
      <c r="C890" t="s">
        <v>57</v>
      </c>
      <c r="D890" t="s">
        <v>56</v>
      </c>
      <c r="E890" s="2">
        <v>1489.06</v>
      </c>
      <c r="F890" s="2">
        <v>70668</v>
      </c>
      <c r="G890" s="2">
        <v>532</v>
      </c>
      <c r="H890" s="4">
        <f t="shared" si="28"/>
        <v>71200</v>
      </c>
      <c r="I890" s="6">
        <f t="shared" si="29"/>
        <v>2.0913764044943821E-2</v>
      </c>
    </row>
    <row r="891" spans="1:9" ht="30" customHeight="1" x14ac:dyDescent="0.35">
      <c r="A891" t="s">
        <v>1820</v>
      </c>
      <c r="B891" t="s">
        <v>1821</v>
      </c>
      <c r="C891" t="s">
        <v>487</v>
      </c>
      <c r="D891" t="s">
        <v>486</v>
      </c>
      <c r="E891" s="2">
        <v>70745.95</v>
      </c>
      <c r="F891" s="2">
        <v>3398692.84</v>
      </c>
      <c r="G891" s="2"/>
      <c r="H891" s="4">
        <f t="shared" si="28"/>
        <v>3398692.84</v>
      </c>
      <c r="I891" s="6">
        <f t="shared" si="29"/>
        <v>2.0815635107525633E-2</v>
      </c>
    </row>
    <row r="892" spans="1:9" ht="30" customHeight="1" x14ac:dyDescent="0.35">
      <c r="A892" t="s">
        <v>1822</v>
      </c>
      <c r="B892" t="s">
        <v>1823</v>
      </c>
      <c r="C892" t="s">
        <v>259</v>
      </c>
      <c r="D892" t="s">
        <v>258</v>
      </c>
      <c r="E892" s="2">
        <v>21425.85</v>
      </c>
      <c r="F892" s="2">
        <v>850731.49</v>
      </c>
      <c r="G892" s="2"/>
      <c r="H892" s="4">
        <f t="shared" si="28"/>
        <v>850731.49</v>
      </c>
      <c r="I892" s="6">
        <f t="shared" si="29"/>
        <v>2.5185208555051838E-2</v>
      </c>
    </row>
    <row r="893" spans="1:9" ht="30" customHeight="1" x14ac:dyDescent="0.35">
      <c r="A893" t="s">
        <v>1824</v>
      </c>
      <c r="B893" t="s">
        <v>1825</v>
      </c>
      <c r="C893" t="s">
        <v>33</v>
      </c>
      <c r="D893" t="s">
        <v>32</v>
      </c>
      <c r="E893" s="2">
        <v>20502.34</v>
      </c>
      <c r="F893" s="2">
        <v>306314.13</v>
      </c>
      <c r="G893" s="2">
        <v>194855.07</v>
      </c>
      <c r="H893" s="4">
        <f t="shared" si="28"/>
        <v>501169.2</v>
      </c>
      <c r="I893" s="6">
        <f t="shared" si="29"/>
        <v>4.090901835148688E-2</v>
      </c>
    </row>
    <row r="894" spans="1:9" ht="30" customHeight="1" x14ac:dyDescent="0.35">
      <c r="A894" t="s">
        <v>1826</v>
      </c>
      <c r="B894" t="s">
        <v>1827</v>
      </c>
      <c r="C894" t="s">
        <v>259</v>
      </c>
      <c r="D894" t="s">
        <v>258</v>
      </c>
      <c r="E894" s="2"/>
      <c r="F894" s="2">
        <v>3564461.85</v>
      </c>
      <c r="G894" s="2"/>
      <c r="H894" s="4">
        <f t="shared" si="28"/>
        <v>3564461.85</v>
      </c>
      <c r="I894" s="6">
        <f t="shared" si="29"/>
        <v>0</v>
      </c>
    </row>
    <row r="895" spans="1:9" ht="30" customHeight="1" x14ac:dyDescent="0.35">
      <c r="A895" t="s">
        <v>1828</v>
      </c>
      <c r="B895" t="s">
        <v>1829</v>
      </c>
      <c r="C895" t="s">
        <v>213</v>
      </c>
      <c r="D895" t="s">
        <v>212</v>
      </c>
      <c r="E895" s="2">
        <v>675346.76</v>
      </c>
      <c r="F895" s="2">
        <v>475000</v>
      </c>
      <c r="G895" s="2">
        <v>25000</v>
      </c>
      <c r="H895" s="4">
        <f t="shared" si="28"/>
        <v>500000</v>
      </c>
      <c r="I895" s="6">
        <f t="shared" si="29"/>
        <v>1.3506935200000001</v>
      </c>
    </row>
    <row r="896" spans="1:9" ht="30" customHeight="1" x14ac:dyDescent="0.35">
      <c r="A896" t="s">
        <v>1830</v>
      </c>
      <c r="B896" t="s">
        <v>1831</v>
      </c>
      <c r="C896" t="s">
        <v>259</v>
      </c>
      <c r="D896" t="s">
        <v>258</v>
      </c>
      <c r="E896" s="2">
        <v>486.91</v>
      </c>
      <c r="F896" s="2">
        <v>59482.59</v>
      </c>
      <c r="G896" s="2">
        <v>517.41</v>
      </c>
      <c r="H896" s="4">
        <f t="shared" si="28"/>
        <v>60000</v>
      </c>
      <c r="I896" s="6">
        <f t="shared" si="29"/>
        <v>8.1151666666666664E-3</v>
      </c>
    </row>
    <row r="897" spans="1:9" ht="30" customHeight="1" x14ac:dyDescent="0.35">
      <c r="A897" t="s">
        <v>1832</v>
      </c>
      <c r="B897" t="s">
        <v>1833</v>
      </c>
      <c r="C897" t="s">
        <v>73</v>
      </c>
      <c r="D897" t="s">
        <v>72</v>
      </c>
      <c r="E897" s="2">
        <v>4459.0200000000004</v>
      </c>
      <c r="F897" s="2">
        <v>46724.45</v>
      </c>
      <c r="G897" s="2"/>
      <c r="H897" s="4">
        <f t="shared" si="28"/>
        <v>46724.45</v>
      </c>
      <c r="I897" s="6">
        <f t="shared" si="29"/>
        <v>9.5432262980088597E-2</v>
      </c>
    </row>
    <row r="898" spans="1:9" ht="30" customHeight="1" x14ac:dyDescent="0.35">
      <c r="A898" t="s">
        <v>1834</v>
      </c>
      <c r="B898" t="s">
        <v>1835</v>
      </c>
      <c r="C898" t="s">
        <v>67</v>
      </c>
      <c r="D898" t="s">
        <v>66</v>
      </c>
      <c r="E898" s="2">
        <v>425.25</v>
      </c>
      <c r="F898" s="2">
        <v>225152.82</v>
      </c>
      <c r="G898" s="2"/>
      <c r="H898" s="4">
        <f t="shared" si="28"/>
        <v>225152.82</v>
      </c>
      <c r="I898" s="6">
        <f t="shared" si="29"/>
        <v>1.8887171832891101E-3</v>
      </c>
    </row>
    <row r="899" spans="1:9" ht="30" customHeight="1" x14ac:dyDescent="0.35">
      <c r="A899" t="s">
        <v>1836</v>
      </c>
      <c r="B899" t="s">
        <v>1837</v>
      </c>
      <c r="C899" t="s">
        <v>15</v>
      </c>
      <c r="D899" t="s">
        <v>14</v>
      </c>
      <c r="E899" s="2">
        <v>354195.83</v>
      </c>
      <c r="F899" s="2">
        <v>2387727.86</v>
      </c>
      <c r="G899" s="2"/>
      <c r="H899" s="4">
        <f t="shared" si="28"/>
        <v>2387727.86</v>
      </c>
      <c r="I899" s="6">
        <f t="shared" si="29"/>
        <v>0.1483401169511839</v>
      </c>
    </row>
    <row r="900" spans="1:9" ht="30" customHeight="1" x14ac:dyDescent="0.35">
      <c r="A900" t="s">
        <v>1838</v>
      </c>
      <c r="B900" t="s">
        <v>1839</v>
      </c>
      <c r="C900" t="s">
        <v>259</v>
      </c>
      <c r="D900" t="s">
        <v>258</v>
      </c>
      <c r="E900" s="2">
        <v>37.97</v>
      </c>
      <c r="F900" s="2">
        <v>208477.57</v>
      </c>
      <c r="G900" s="2">
        <v>141522.43</v>
      </c>
      <c r="H900" s="4">
        <f t="shared" si="28"/>
        <v>350000</v>
      </c>
      <c r="I900" s="6">
        <f t="shared" si="29"/>
        <v>1.0848571428571428E-4</v>
      </c>
    </row>
    <row r="901" spans="1:9" ht="30" customHeight="1" x14ac:dyDescent="0.35">
      <c r="A901" t="s">
        <v>1840</v>
      </c>
      <c r="B901" t="s">
        <v>1841</v>
      </c>
      <c r="C901" t="s">
        <v>57</v>
      </c>
      <c r="D901" t="s">
        <v>56</v>
      </c>
      <c r="E901" s="2">
        <v>265</v>
      </c>
      <c r="F901" s="2">
        <v>89127.26</v>
      </c>
      <c r="G901" s="2">
        <v>772.74</v>
      </c>
      <c r="H901" s="4">
        <f t="shared" si="28"/>
        <v>89900</v>
      </c>
      <c r="I901" s="6">
        <f t="shared" si="29"/>
        <v>2.9477196885428253E-3</v>
      </c>
    </row>
    <row r="902" spans="1:9" ht="30" customHeight="1" x14ac:dyDescent="0.35">
      <c r="A902" t="s">
        <v>1842</v>
      </c>
      <c r="B902" t="s">
        <v>1843</v>
      </c>
      <c r="C902" t="s">
        <v>259</v>
      </c>
      <c r="D902" t="s">
        <v>258</v>
      </c>
      <c r="E902" s="2">
        <v>1029462.88</v>
      </c>
      <c r="F902" s="2">
        <v>1207231.27</v>
      </c>
      <c r="G902" s="2"/>
      <c r="H902" s="4">
        <f t="shared" si="28"/>
        <v>1207231.27</v>
      </c>
      <c r="I902" s="6">
        <f t="shared" si="29"/>
        <v>0.85274702998705454</v>
      </c>
    </row>
    <row r="903" spans="1:9" ht="30" customHeight="1" x14ac:dyDescent="0.35">
      <c r="A903" t="s">
        <v>1844</v>
      </c>
      <c r="B903" t="s">
        <v>1845</v>
      </c>
      <c r="C903" t="s">
        <v>51</v>
      </c>
      <c r="D903" t="s">
        <v>50</v>
      </c>
      <c r="E903" s="2">
        <v>355616.96</v>
      </c>
      <c r="F903" s="2">
        <v>230578.83</v>
      </c>
      <c r="G903" s="2">
        <v>19421.169999999998</v>
      </c>
      <c r="H903" s="4">
        <f t="shared" si="28"/>
        <v>250000</v>
      </c>
      <c r="I903" s="6">
        <f t="shared" si="29"/>
        <v>1.4224678400000001</v>
      </c>
    </row>
    <row r="904" spans="1:9" ht="30" customHeight="1" x14ac:dyDescent="0.35">
      <c r="A904" t="s">
        <v>1846</v>
      </c>
      <c r="B904" t="s">
        <v>1847</v>
      </c>
      <c r="C904" t="s">
        <v>185</v>
      </c>
      <c r="D904" t="s">
        <v>184</v>
      </c>
      <c r="E904" s="2">
        <v>27103.88</v>
      </c>
      <c r="F904" s="2"/>
      <c r="G904" s="2"/>
      <c r="H904" s="4" t="str">
        <f t="shared" si="28"/>
        <v/>
      </c>
      <c r="I904" s="6" t="str">
        <f t="shared" si="29"/>
        <v/>
      </c>
    </row>
    <row r="905" spans="1:9" ht="30" customHeight="1" x14ac:dyDescent="0.35">
      <c r="A905" t="s">
        <v>1848</v>
      </c>
      <c r="B905" t="s">
        <v>1849</v>
      </c>
      <c r="C905" t="s">
        <v>457</v>
      </c>
      <c r="D905" t="s">
        <v>456</v>
      </c>
      <c r="E905" s="2">
        <v>46200.85</v>
      </c>
      <c r="F905" s="2">
        <v>696481.18</v>
      </c>
      <c r="G905" s="2"/>
      <c r="H905" s="4">
        <f t="shared" si="28"/>
        <v>696481.18</v>
      </c>
      <c r="I905" s="6">
        <f t="shared" si="29"/>
        <v>6.6334671096209663E-2</v>
      </c>
    </row>
    <row r="906" spans="1:9" ht="30" customHeight="1" x14ac:dyDescent="0.35">
      <c r="A906" t="s">
        <v>1850</v>
      </c>
      <c r="B906" t="s">
        <v>1851</v>
      </c>
      <c r="C906" t="s">
        <v>57</v>
      </c>
      <c r="D906" t="s">
        <v>56</v>
      </c>
      <c r="E906" s="2">
        <v>39760.51</v>
      </c>
      <c r="F906" s="2"/>
      <c r="G906" s="2"/>
      <c r="H906" s="4" t="str">
        <f t="shared" si="28"/>
        <v/>
      </c>
      <c r="I906" s="6" t="str">
        <f t="shared" si="29"/>
        <v/>
      </c>
    </row>
    <row r="907" spans="1:9" ht="30" customHeight="1" x14ac:dyDescent="0.35">
      <c r="A907" t="s">
        <v>1852</v>
      </c>
      <c r="B907" t="s">
        <v>1853</v>
      </c>
      <c r="C907" t="s">
        <v>41</v>
      </c>
      <c r="D907" t="s">
        <v>40</v>
      </c>
      <c r="E907" s="2">
        <v>89836.13</v>
      </c>
      <c r="F907" s="2">
        <v>88955.09</v>
      </c>
      <c r="G907" s="2">
        <v>11044.91</v>
      </c>
      <c r="H907" s="4">
        <f t="shared" si="28"/>
        <v>100000</v>
      </c>
      <c r="I907" s="6">
        <f t="shared" si="29"/>
        <v>0.89836130000000003</v>
      </c>
    </row>
    <row r="908" spans="1:9" ht="30" customHeight="1" x14ac:dyDescent="0.35">
      <c r="A908" t="s">
        <v>1854</v>
      </c>
      <c r="B908" t="s">
        <v>1855</v>
      </c>
      <c r="C908" t="s">
        <v>15</v>
      </c>
      <c r="D908" t="s">
        <v>14</v>
      </c>
      <c r="E908" s="2">
        <v>629058.06000000006</v>
      </c>
      <c r="F908" s="2">
        <v>6315642.8300000001</v>
      </c>
      <c r="G908" s="2">
        <v>1350000</v>
      </c>
      <c r="H908" s="4">
        <f t="shared" si="28"/>
        <v>7665642.8300000001</v>
      </c>
      <c r="I908" s="6">
        <f t="shared" si="29"/>
        <v>8.2062010186300327E-2</v>
      </c>
    </row>
    <row r="909" spans="1:9" ht="30" customHeight="1" x14ac:dyDescent="0.35">
      <c r="A909" t="s">
        <v>1856</v>
      </c>
      <c r="B909" t="s">
        <v>1857</v>
      </c>
      <c r="C909" t="s">
        <v>19</v>
      </c>
      <c r="D909" t="s">
        <v>18</v>
      </c>
      <c r="E909" s="2">
        <v>33133.51</v>
      </c>
      <c r="F909" s="2"/>
      <c r="G909" s="2"/>
      <c r="H909" s="4" t="str">
        <f t="shared" si="28"/>
        <v/>
      </c>
      <c r="I909" s="6" t="str">
        <f t="shared" si="29"/>
        <v/>
      </c>
    </row>
    <row r="910" spans="1:9" ht="30" customHeight="1" x14ac:dyDescent="0.35">
      <c r="A910" t="s">
        <v>1858</v>
      </c>
      <c r="B910" t="s">
        <v>1859</v>
      </c>
      <c r="C910" t="s">
        <v>109</v>
      </c>
      <c r="D910" t="s">
        <v>108</v>
      </c>
      <c r="E910" s="2">
        <v>29473.83</v>
      </c>
      <c r="F910" s="2">
        <v>37338.76</v>
      </c>
      <c r="G910" s="2"/>
      <c r="H910" s="4">
        <f t="shared" si="28"/>
        <v>37338.76</v>
      </c>
      <c r="I910" s="6">
        <f t="shared" si="29"/>
        <v>0.78936284975719606</v>
      </c>
    </row>
    <row r="911" spans="1:9" ht="30" customHeight="1" x14ac:dyDescent="0.35">
      <c r="A911" t="s">
        <v>1860</v>
      </c>
      <c r="B911" t="s">
        <v>1861</v>
      </c>
      <c r="C911" t="s">
        <v>67</v>
      </c>
      <c r="D911" t="s">
        <v>66</v>
      </c>
      <c r="E911" s="2"/>
      <c r="F911" s="2">
        <v>45411.72</v>
      </c>
      <c r="G911" s="2"/>
      <c r="H911" s="4">
        <f t="shared" si="28"/>
        <v>45411.72</v>
      </c>
      <c r="I911" s="6">
        <f t="shared" si="29"/>
        <v>0</v>
      </c>
    </row>
    <row r="912" spans="1:9" ht="30" customHeight="1" x14ac:dyDescent="0.35">
      <c r="A912" t="s">
        <v>1862</v>
      </c>
      <c r="B912" t="s">
        <v>1863</v>
      </c>
      <c r="C912" t="s">
        <v>77</v>
      </c>
      <c r="D912" t="s">
        <v>76</v>
      </c>
      <c r="E912" s="2">
        <v>1069.8499999999999</v>
      </c>
      <c r="F912" s="2"/>
      <c r="G912" s="2"/>
      <c r="H912" s="4" t="str">
        <f t="shared" si="28"/>
        <v/>
      </c>
      <c r="I912" s="6" t="str">
        <f t="shared" si="29"/>
        <v/>
      </c>
    </row>
    <row r="913" spans="1:9" ht="30" customHeight="1" x14ac:dyDescent="0.35">
      <c r="A913" t="s">
        <v>1864</v>
      </c>
      <c r="B913" t="s">
        <v>1865</v>
      </c>
      <c r="C913" t="s">
        <v>19</v>
      </c>
      <c r="D913" t="s">
        <v>18</v>
      </c>
      <c r="E913" s="2">
        <v>603308.27</v>
      </c>
      <c r="F913" s="2"/>
      <c r="G913" s="2"/>
      <c r="H913" s="4" t="str">
        <f t="shared" si="28"/>
        <v/>
      </c>
      <c r="I913" s="6" t="str">
        <f t="shared" si="29"/>
        <v/>
      </c>
    </row>
    <row r="914" spans="1:9" ht="30" customHeight="1" x14ac:dyDescent="0.35">
      <c r="A914" t="s">
        <v>1866</v>
      </c>
      <c r="B914" t="s">
        <v>1867</v>
      </c>
      <c r="C914" t="s">
        <v>77</v>
      </c>
      <c r="D914" t="s">
        <v>76</v>
      </c>
      <c r="E914" s="2">
        <v>81.14</v>
      </c>
      <c r="F914" s="2"/>
      <c r="G914" s="2"/>
      <c r="H914" s="4" t="str">
        <f t="shared" si="28"/>
        <v/>
      </c>
      <c r="I914" s="6" t="str">
        <f t="shared" si="29"/>
        <v/>
      </c>
    </row>
    <row r="915" spans="1:9" ht="30" customHeight="1" x14ac:dyDescent="0.35">
      <c r="A915" t="s">
        <v>1868</v>
      </c>
      <c r="B915" t="s">
        <v>1869</v>
      </c>
      <c r="C915" t="s">
        <v>67</v>
      </c>
      <c r="D915" t="s">
        <v>66</v>
      </c>
      <c r="E915" s="2">
        <v>782.89</v>
      </c>
      <c r="F915" s="2"/>
      <c r="G915" s="2"/>
      <c r="H915" s="4" t="str">
        <f t="shared" si="28"/>
        <v/>
      </c>
      <c r="I915" s="6" t="str">
        <f t="shared" si="29"/>
        <v/>
      </c>
    </row>
    <row r="916" spans="1:9" ht="30" customHeight="1" x14ac:dyDescent="0.35">
      <c r="A916" t="s">
        <v>1870</v>
      </c>
      <c r="B916" t="s">
        <v>1871</v>
      </c>
      <c r="C916" t="s">
        <v>19</v>
      </c>
      <c r="D916" t="s">
        <v>18</v>
      </c>
      <c r="E916" s="2">
        <v>13290.46</v>
      </c>
      <c r="F916" s="2"/>
      <c r="G916" s="2"/>
      <c r="H916" s="4" t="str">
        <f t="shared" si="28"/>
        <v/>
      </c>
      <c r="I916" s="6" t="str">
        <f t="shared" si="29"/>
        <v/>
      </c>
    </row>
    <row r="917" spans="1:9" ht="30" customHeight="1" x14ac:dyDescent="0.35">
      <c r="A917" t="s">
        <v>1872</v>
      </c>
      <c r="B917" t="s">
        <v>1873</v>
      </c>
      <c r="C917" t="s">
        <v>51</v>
      </c>
      <c r="D917" t="s">
        <v>50</v>
      </c>
      <c r="E917" s="2">
        <v>180160.22</v>
      </c>
      <c r="F917" s="2"/>
      <c r="G917" s="2"/>
      <c r="H917" s="4" t="str">
        <f t="shared" si="28"/>
        <v/>
      </c>
      <c r="I917" s="6" t="str">
        <f t="shared" si="29"/>
        <v/>
      </c>
    </row>
    <row r="918" spans="1:9" ht="30" customHeight="1" x14ac:dyDescent="0.35">
      <c r="A918" t="s">
        <v>1874</v>
      </c>
      <c r="B918" t="s">
        <v>1875</v>
      </c>
      <c r="C918" t="s">
        <v>19</v>
      </c>
      <c r="D918" t="s">
        <v>18</v>
      </c>
      <c r="E918" s="2">
        <v>7721.84</v>
      </c>
      <c r="F918" s="2"/>
      <c r="G918" s="2"/>
      <c r="H918" s="4" t="str">
        <f t="shared" si="28"/>
        <v/>
      </c>
      <c r="I918" s="6" t="str">
        <f t="shared" si="29"/>
        <v/>
      </c>
    </row>
    <row r="919" spans="1:9" ht="30" customHeight="1" x14ac:dyDescent="0.35">
      <c r="A919" t="s">
        <v>1876</v>
      </c>
      <c r="B919" t="s">
        <v>1877</v>
      </c>
      <c r="C919" t="s">
        <v>19</v>
      </c>
      <c r="D919" t="s">
        <v>18</v>
      </c>
      <c r="E919" s="2">
        <v>28719.5</v>
      </c>
      <c r="F919" s="2"/>
      <c r="G919" s="2"/>
      <c r="H919" s="4" t="str">
        <f t="shared" si="28"/>
        <v/>
      </c>
      <c r="I919" s="6" t="str">
        <f t="shared" si="29"/>
        <v/>
      </c>
    </row>
    <row r="920" spans="1:9" ht="30" customHeight="1" x14ac:dyDescent="0.35">
      <c r="A920" t="s">
        <v>1878</v>
      </c>
      <c r="B920" t="s">
        <v>1879</v>
      </c>
      <c r="C920" t="s">
        <v>57</v>
      </c>
      <c r="D920" t="s">
        <v>56</v>
      </c>
      <c r="E920" s="2">
        <v>193071.79</v>
      </c>
      <c r="F920" s="2"/>
      <c r="G920" s="2"/>
      <c r="H920" s="4" t="str">
        <f t="shared" si="28"/>
        <v/>
      </c>
      <c r="I920" s="6" t="str">
        <f t="shared" si="29"/>
        <v/>
      </c>
    </row>
    <row r="921" spans="1:9" ht="30" customHeight="1" x14ac:dyDescent="0.35">
      <c r="A921" t="s">
        <v>1880</v>
      </c>
      <c r="B921" t="s">
        <v>1881</v>
      </c>
      <c r="C921" t="s">
        <v>51</v>
      </c>
      <c r="D921" t="s">
        <v>50</v>
      </c>
      <c r="E921" s="2">
        <v>20716</v>
      </c>
      <c r="F921" s="2"/>
      <c r="G921" s="2"/>
      <c r="H921" s="4" t="str">
        <f t="shared" si="28"/>
        <v/>
      </c>
      <c r="I921" s="6" t="str">
        <f t="shared" si="29"/>
        <v/>
      </c>
    </row>
    <row r="922" spans="1:9" ht="30" customHeight="1" x14ac:dyDescent="0.35">
      <c r="A922" t="s">
        <v>1882</v>
      </c>
      <c r="B922" t="s">
        <v>1883</v>
      </c>
      <c r="C922" t="s">
        <v>51</v>
      </c>
      <c r="D922" t="s">
        <v>50</v>
      </c>
      <c r="E922" s="2">
        <v>3713.7</v>
      </c>
      <c r="F922" s="2"/>
      <c r="G922" s="2"/>
      <c r="H922" s="4" t="str">
        <f t="shared" si="28"/>
        <v/>
      </c>
      <c r="I922" s="6" t="str">
        <f t="shared" si="29"/>
        <v/>
      </c>
    </row>
    <row r="923" spans="1:9" ht="30" customHeight="1" x14ac:dyDescent="0.35">
      <c r="A923" t="s">
        <v>1884</v>
      </c>
      <c r="B923" t="s">
        <v>1885</v>
      </c>
      <c r="C923" t="s">
        <v>51</v>
      </c>
      <c r="D923" t="s">
        <v>50</v>
      </c>
      <c r="E923" s="2">
        <v>643686.73</v>
      </c>
      <c r="F923" s="2"/>
      <c r="G923" s="2"/>
      <c r="H923" s="4" t="str">
        <f t="shared" si="28"/>
        <v/>
      </c>
      <c r="I923" s="6" t="str">
        <f t="shared" si="29"/>
        <v/>
      </c>
    </row>
    <row r="924" spans="1:9" ht="30" customHeight="1" x14ac:dyDescent="0.35">
      <c r="A924" t="s">
        <v>1886</v>
      </c>
      <c r="B924" t="s">
        <v>1887</v>
      </c>
      <c r="C924" t="s">
        <v>51</v>
      </c>
      <c r="D924" t="s">
        <v>50</v>
      </c>
      <c r="E924" s="2">
        <v>46970.73</v>
      </c>
      <c r="F924" s="2"/>
      <c r="G924" s="2"/>
      <c r="H924" s="4" t="str">
        <f t="shared" si="28"/>
        <v/>
      </c>
      <c r="I924" s="6" t="str">
        <f t="shared" si="29"/>
        <v/>
      </c>
    </row>
    <row r="925" spans="1:9" ht="30" customHeight="1" x14ac:dyDescent="0.35">
      <c r="A925" t="s">
        <v>1888</v>
      </c>
      <c r="B925" t="s">
        <v>1889</v>
      </c>
      <c r="C925" t="s">
        <v>385</v>
      </c>
      <c r="D925" t="s">
        <v>384</v>
      </c>
      <c r="E925" s="2">
        <v>862.74</v>
      </c>
      <c r="F925" s="2"/>
      <c r="G925" s="2"/>
      <c r="H925" s="4" t="str">
        <f t="shared" si="28"/>
        <v/>
      </c>
      <c r="I925" s="6" t="str">
        <f t="shared" si="29"/>
        <v/>
      </c>
    </row>
    <row r="926" spans="1:9" ht="30" customHeight="1" x14ac:dyDescent="0.35">
      <c r="A926" t="s">
        <v>1890</v>
      </c>
      <c r="B926" t="s">
        <v>1891</v>
      </c>
      <c r="C926" t="s">
        <v>41</v>
      </c>
      <c r="D926" t="s">
        <v>40</v>
      </c>
      <c r="E926" s="2">
        <v>647936.6</v>
      </c>
      <c r="F926" s="2">
        <v>0</v>
      </c>
      <c r="G926" s="2">
        <v>50000</v>
      </c>
      <c r="H926" s="4">
        <f t="shared" si="28"/>
        <v>50000</v>
      </c>
      <c r="I926" s="6">
        <f t="shared" si="29"/>
        <v>12.958731999999999</v>
      </c>
    </row>
    <row r="927" spans="1:9" ht="30" customHeight="1" x14ac:dyDescent="0.35">
      <c r="A927" t="s">
        <v>1892</v>
      </c>
      <c r="B927" t="s">
        <v>1893</v>
      </c>
      <c r="C927" t="s">
        <v>57</v>
      </c>
      <c r="D927" t="s">
        <v>56</v>
      </c>
      <c r="E927" s="2">
        <v>76426.039999999994</v>
      </c>
      <c r="F927" s="2"/>
      <c r="G927" s="2"/>
      <c r="H927" s="4" t="str">
        <f t="shared" si="28"/>
        <v/>
      </c>
      <c r="I927" s="6" t="str">
        <f t="shared" si="29"/>
        <v/>
      </c>
    </row>
    <row r="928" spans="1:9" ht="30" customHeight="1" x14ac:dyDescent="0.35">
      <c r="A928" t="s">
        <v>1894</v>
      </c>
      <c r="B928" t="s">
        <v>1895</v>
      </c>
      <c r="C928" t="s">
        <v>29</v>
      </c>
      <c r="D928" t="s">
        <v>28</v>
      </c>
      <c r="E928" s="2">
        <v>67957.16</v>
      </c>
      <c r="F928" s="2"/>
      <c r="G928" s="2"/>
      <c r="H928" s="4" t="str">
        <f t="shared" si="28"/>
        <v/>
      </c>
      <c r="I928" s="6" t="str">
        <f t="shared" si="29"/>
        <v/>
      </c>
    </row>
    <row r="929" spans="1:9" ht="30" customHeight="1" x14ac:dyDescent="0.35">
      <c r="A929" t="s">
        <v>1896</v>
      </c>
      <c r="B929" t="s">
        <v>1897</v>
      </c>
      <c r="C929" t="s">
        <v>29</v>
      </c>
      <c r="D929" t="s">
        <v>28</v>
      </c>
      <c r="E929" s="2">
        <v>37297.980000000003</v>
      </c>
      <c r="F929" s="2">
        <v>8912.82</v>
      </c>
      <c r="G929" s="2"/>
      <c r="H929" s="4">
        <f t="shared" si="28"/>
        <v>8912.82</v>
      </c>
      <c r="I929" s="6">
        <f t="shared" si="29"/>
        <v>4.1847563397443235</v>
      </c>
    </row>
    <row r="930" spans="1:9" ht="30" customHeight="1" x14ac:dyDescent="0.35">
      <c r="A930" t="s">
        <v>1898</v>
      </c>
      <c r="B930" t="s">
        <v>1899</v>
      </c>
      <c r="C930" t="s">
        <v>67</v>
      </c>
      <c r="D930" t="s">
        <v>66</v>
      </c>
      <c r="E930" s="2">
        <v>646325.46</v>
      </c>
      <c r="F930" s="2">
        <v>0</v>
      </c>
      <c r="G930" s="2">
        <v>250000</v>
      </c>
      <c r="H930" s="4">
        <f t="shared" si="28"/>
        <v>250000</v>
      </c>
      <c r="I930" s="6">
        <f t="shared" si="29"/>
        <v>2.5853018399999996</v>
      </c>
    </row>
    <row r="931" spans="1:9" ht="30" customHeight="1" x14ac:dyDescent="0.35">
      <c r="A931" t="s">
        <v>1900</v>
      </c>
      <c r="B931" t="s">
        <v>1901</v>
      </c>
      <c r="C931" t="s">
        <v>77</v>
      </c>
      <c r="D931" t="s">
        <v>76</v>
      </c>
      <c r="E931" s="2">
        <v>34716.239999999998</v>
      </c>
      <c r="F931" s="2"/>
      <c r="G931" s="2"/>
      <c r="H931" s="4" t="str">
        <f t="shared" si="28"/>
        <v/>
      </c>
      <c r="I931" s="6" t="str">
        <f t="shared" si="29"/>
        <v/>
      </c>
    </row>
    <row r="932" spans="1:9" ht="30" customHeight="1" x14ac:dyDescent="0.35">
      <c r="A932" t="s">
        <v>1902</v>
      </c>
      <c r="B932" t="s">
        <v>1903</v>
      </c>
      <c r="C932" t="s">
        <v>51</v>
      </c>
      <c r="D932" t="s">
        <v>50</v>
      </c>
      <c r="E932" s="2">
        <v>112.4</v>
      </c>
      <c r="F932" s="2">
        <v>9154.6200000000008</v>
      </c>
      <c r="G932" s="2"/>
      <c r="H932" s="4">
        <f t="shared" si="28"/>
        <v>9154.6200000000008</v>
      </c>
      <c r="I932" s="6">
        <f t="shared" si="29"/>
        <v>1.2277953645263266E-2</v>
      </c>
    </row>
    <row r="933" spans="1:9" ht="30" customHeight="1" x14ac:dyDescent="0.35">
      <c r="A933" t="s">
        <v>1904</v>
      </c>
      <c r="B933" t="s">
        <v>1905</v>
      </c>
      <c r="C933" t="s">
        <v>259</v>
      </c>
      <c r="D933" t="s">
        <v>258</v>
      </c>
      <c r="E933" s="2">
        <v>960431.73</v>
      </c>
      <c r="F933" s="2">
        <v>200000</v>
      </c>
      <c r="G933" s="2">
        <v>50000</v>
      </c>
      <c r="H933" s="4">
        <f t="shared" si="28"/>
        <v>250000</v>
      </c>
      <c r="I933" s="6">
        <f t="shared" si="29"/>
        <v>3.8417269199999997</v>
      </c>
    </row>
    <row r="934" spans="1:9" ht="30" customHeight="1" x14ac:dyDescent="0.35">
      <c r="A934" t="s">
        <v>1906</v>
      </c>
      <c r="B934" t="s">
        <v>1907</v>
      </c>
      <c r="C934" t="s">
        <v>19</v>
      </c>
      <c r="D934" t="s">
        <v>18</v>
      </c>
      <c r="E934" s="2">
        <v>659066.86</v>
      </c>
      <c r="F934" s="2">
        <v>0</v>
      </c>
      <c r="G934" s="2">
        <v>285000</v>
      </c>
      <c r="H934" s="4">
        <f t="shared" si="28"/>
        <v>285000</v>
      </c>
      <c r="I934" s="6">
        <f t="shared" si="29"/>
        <v>2.3125152982456139</v>
      </c>
    </row>
    <row r="935" spans="1:9" ht="30" customHeight="1" x14ac:dyDescent="0.35">
      <c r="A935" t="s">
        <v>1908</v>
      </c>
      <c r="B935" t="s">
        <v>1909</v>
      </c>
      <c r="C935" t="s">
        <v>33</v>
      </c>
      <c r="D935" t="s">
        <v>32</v>
      </c>
      <c r="E935" s="2">
        <v>7040.84</v>
      </c>
      <c r="F935" s="2">
        <v>217195.26</v>
      </c>
      <c r="G935" s="2"/>
      <c r="H935" s="4">
        <f t="shared" si="28"/>
        <v>217195.26</v>
      </c>
      <c r="I935" s="6">
        <f t="shared" si="29"/>
        <v>3.2417097868526229E-2</v>
      </c>
    </row>
    <row r="936" spans="1:9" ht="30" customHeight="1" x14ac:dyDescent="0.35">
      <c r="A936" t="s">
        <v>1910</v>
      </c>
      <c r="B936" t="s">
        <v>1911</v>
      </c>
      <c r="C936" t="s">
        <v>19</v>
      </c>
      <c r="D936" t="s">
        <v>18</v>
      </c>
      <c r="E936" s="2">
        <v>202078.89</v>
      </c>
      <c r="F936" s="2">
        <v>0</v>
      </c>
      <c r="G936" s="2">
        <v>300</v>
      </c>
      <c r="H936" s="4">
        <f t="shared" si="28"/>
        <v>300</v>
      </c>
      <c r="I936" s="6">
        <f t="shared" si="29"/>
        <v>673.59630000000004</v>
      </c>
    </row>
    <row r="937" spans="1:9" ht="30" customHeight="1" x14ac:dyDescent="0.35">
      <c r="A937" t="s">
        <v>1912</v>
      </c>
      <c r="B937" t="s">
        <v>1913</v>
      </c>
      <c r="C937" t="s">
        <v>487</v>
      </c>
      <c r="D937" t="s">
        <v>486</v>
      </c>
      <c r="E937" s="2">
        <v>90858.81</v>
      </c>
      <c r="F937" s="2">
        <v>2983747.25</v>
      </c>
      <c r="G937" s="2"/>
      <c r="H937" s="4">
        <f t="shared" si="28"/>
        <v>2983747.25</v>
      </c>
      <c r="I937" s="6">
        <f t="shared" si="29"/>
        <v>3.0451242141907295E-2</v>
      </c>
    </row>
    <row r="938" spans="1:9" ht="30" customHeight="1" x14ac:dyDescent="0.35">
      <c r="A938" t="s">
        <v>1914</v>
      </c>
      <c r="B938" t="s">
        <v>1915</v>
      </c>
      <c r="C938" t="s">
        <v>213</v>
      </c>
      <c r="D938" t="s">
        <v>212</v>
      </c>
      <c r="E938" s="2"/>
      <c r="F938" s="2">
        <v>0</v>
      </c>
      <c r="G938" s="2"/>
      <c r="H938" s="4">
        <f t="shared" si="28"/>
        <v>0</v>
      </c>
      <c r="I938" s="6" t="e">
        <f t="shared" si="29"/>
        <v>#DIV/0!</v>
      </c>
    </row>
    <row r="939" spans="1:9" ht="30" customHeight="1" x14ac:dyDescent="0.35">
      <c r="A939" t="s">
        <v>1916</v>
      </c>
      <c r="B939" t="s">
        <v>1917</v>
      </c>
      <c r="C939" t="s">
        <v>642</v>
      </c>
      <c r="D939" t="s">
        <v>641</v>
      </c>
      <c r="E939" s="2">
        <v>55012.4</v>
      </c>
      <c r="F939" s="2">
        <v>221982.76</v>
      </c>
      <c r="G939" s="2"/>
      <c r="H939" s="4">
        <f t="shared" si="28"/>
        <v>221982.76</v>
      </c>
      <c r="I939" s="6">
        <f t="shared" si="29"/>
        <v>0.24782284894556675</v>
      </c>
    </row>
    <row r="940" spans="1:9" ht="30" customHeight="1" x14ac:dyDescent="0.35">
      <c r="A940" t="s">
        <v>1918</v>
      </c>
      <c r="B940" t="s">
        <v>1919</v>
      </c>
      <c r="C940" t="s">
        <v>465</v>
      </c>
      <c r="D940" t="s">
        <v>464</v>
      </c>
      <c r="E940" s="2">
        <v>614094.61</v>
      </c>
      <c r="F940" s="2">
        <v>3414519.18</v>
      </c>
      <c r="G940" s="2">
        <v>300000</v>
      </c>
      <c r="H940" s="4">
        <f t="shared" si="28"/>
        <v>3714519.18</v>
      </c>
      <c r="I940" s="6">
        <f t="shared" si="29"/>
        <v>0.16532277267713555</v>
      </c>
    </row>
    <row r="941" spans="1:9" ht="30" customHeight="1" x14ac:dyDescent="0.35">
      <c r="A941" t="s">
        <v>1920</v>
      </c>
      <c r="B941" t="s">
        <v>1921</v>
      </c>
      <c r="C941" t="s">
        <v>33</v>
      </c>
      <c r="D941" t="s">
        <v>32</v>
      </c>
      <c r="E941" s="2">
        <v>52017.85</v>
      </c>
      <c r="F941" s="2">
        <v>572761.73</v>
      </c>
      <c r="G941" s="2">
        <v>11238.27</v>
      </c>
      <c r="H941" s="4">
        <f t="shared" si="28"/>
        <v>584000</v>
      </c>
      <c r="I941" s="6">
        <f t="shared" si="29"/>
        <v>8.9071660958904106E-2</v>
      </c>
    </row>
    <row r="942" spans="1:9" ht="30" customHeight="1" x14ac:dyDescent="0.35">
      <c r="A942" t="s">
        <v>1922</v>
      </c>
      <c r="B942" t="s">
        <v>1923</v>
      </c>
      <c r="C942" t="s">
        <v>51</v>
      </c>
      <c r="D942" t="s">
        <v>50</v>
      </c>
      <c r="E942" s="2">
        <v>87053.82</v>
      </c>
      <c r="F942" s="2"/>
      <c r="G942" s="2"/>
      <c r="H942" s="4" t="str">
        <f t="shared" si="28"/>
        <v/>
      </c>
      <c r="I942" s="6" t="str">
        <f t="shared" si="29"/>
        <v/>
      </c>
    </row>
    <row r="943" spans="1:9" ht="30" customHeight="1" x14ac:dyDescent="0.35">
      <c r="A943" t="s">
        <v>1924</v>
      </c>
      <c r="B943" t="s">
        <v>1925</v>
      </c>
      <c r="C943" t="s">
        <v>77</v>
      </c>
      <c r="D943" t="s">
        <v>76</v>
      </c>
      <c r="E943" s="2">
        <v>15344.43</v>
      </c>
      <c r="F943" s="2"/>
      <c r="G943" s="2"/>
      <c r="H943" s="4" t="str">
        <f t="shared" si="28"/>
        <v/>
      </c>
      <c r="I943" s="6" t="str">
        <f t="shared" si="29"/>
        <v/>
      </c>
    </row>
    <row r="944" spans="1:9" ht="30" customHeight="1" x14ac:dyDescent="0.35">
      <c r="A944" t="s">
        <v>1926</v>
      </c>
      <c r="B944" t="s">
        <v>1927</v>
      </c>
      <c r="C944" t="s">
        <v>51</v>
      </c>
      <c r="D944" t="s">
        <v>50</v>
      </c>
      <c r="E944" s="2">
        <v>40389.69</v>
      </c>
      <c r="F944" s="2"/>
      <c r="G944" s="2"/>
      <c r="H944" s="4" t="str">
        <f t="shared" si="28"/>
        <v/>
      </c>
      <c r="I944" s="6" t="str">
        <f t="shared" si="29"/>
        <v/>
      </c>
    </row>
    <row r="945" spans="1:9" ht="30" customHeight="1" x14ac:dyDescent="0.35">
      <c r="A945" t="s">
        <v>1928</v>
      </c>
      <c r="B945" t="s">
        <v>1929</v>
      </c>
      <c r="C945" t="s">
        <v>57</v>
      </c>
      <c r="D945" t="s">
        <v>56</v>
      </c>
      <c r="E945" s="2">
        <v>165.29</v>
      </c>
      <c r="F945" s="2"/>
      <c r="G945" s="2"/>
      <c r="H945" s="4" t="str">
        <f t="shared" ref="H945:H1008" si="30">IF(ISBLANK(F945),"",(F945+G945))</f>
        <v/>
      </c>
      <c r="I945" s="6" t="str">
        <f t="shared" ref="I945:I1008" si="31">IF(ISBLANK(F945), "", E945/H945)</f>
        <v/>
      </c>
    </row>
    <row r="946" spans="1:9" ht="30" customHeight="1" x14ac:dyDescent="0.35">
      <c r="A946" t="s">
        <v>1930</v>
      </c>
      <c r="B946" t="s">
        <v>1931</v>
      </c>
      <c r="C946" t="s">
        <v>19</v>
      </c>
      <c r="D946" t="s">
        <v>18</v>
      </c>
      <c r="E946" s="2">
        <v>441296.3</v>
      </c>
      <c r="F946" s="2"/>
      <c r="G946" s="2"/>
      <c r="H946" s="4" t="str">
        <f t="shared" si="30"/>
        <v/>
      </c>
      <c r="I946" s="6" t="str">
        <f t="shared" si="31"/>
        <v/>
      </c>
    </row>
    <row r="947" spans="1:9" ht="30" customHeight="1" x14ac:dyDescent="0.35">
      <c r="A947" t="s">
        <v>1932</v>
      </c>
      <c r="B947" t="s">
        <v>1933</v>
      </c>
      <c r="C947" t="s">
        <v>19</v>
      </c>
      <c r="D947" t="s">
        <v>18</v>
      </c>
      <c r="E947" s="2">
        <v>359.07</v>
      </c>
      <c r="F947" s="2"/>
      <c r="G947" s="2"/>
      <c r="H947" s="4" t="str">
        <f t="shared" si="30"/>
        <v/>
      </c>
      <c r="I947" s="6" t="str">
        <f t="shared" si="31"/>
        <v/>
      </c>
    </row>
    <row r="948" spans="1:9" ht="30" customHeight="1" x14ac:dyDescent="0.35">
      <c r="A948" t="s">
        <v>1934</v>
      </c>
      <c r="B948" t="s">
        <v>1935</v>
      </c>
      <c r="C948" t="s">
        <v>67</v>
      </c>
      <c r="D948" t="s">
        <v>66</v>
      </c>
      <c r="E948" s="2"/>
      <c r="F948" s="2">
        <v>35364.07</v>
      </c>
      <c r="G948" s="2"/>
      <c r="H948" s="4">
        <f t="shared" si="30"/>
        <v>35364.07</v>
      </c>
      <c r="I948" s="6">
        <f t="shared" si="31"/>
        <v>0</v>
      </c>
    </row>
    <row r="949" spans="1:9" ht="30" customHeight="1" x14ac:dyDescent="0.35">
      <c r="A949" t="s">
        <v>1936</v>
      </c>
      <c r="B949" t="s">
        <v>1937</v>
      </c>
      <c r="C949" t="s">
        <v>77</v>
      </c>
      <c r="D949" t="s">
        <v>76</v>
      </c>
      <c r="E949" s="2">
        <v>44206.77</v>
      </c>
      <c r="F949" s="2">
        <v>0</v>
      </c>
      <c r="G949" s="2">
        <v>2500</v>
      </c>
      <c r="H949" s="4">
        <f t="shared" si="30"/>
        <v>2500</v>
      </c>
      <c r="I949" s="6">
        <f t="shared" si="31"/>
        <v>17.682707999999998</v>
      </c>
    </row>
    <row r="950" spans="1:9" ht="30" customHeight="1" x14ac:dyDescent="0.35">
      <c r="A950" t="s">
        <v>1938</v>
      </c>
      <c r="B950" t="s">
        <v>1939</v>
      </c>
      <c r="C950" t="s">
        <v>67</v>
      </c>
      <c r="D950" t="s">
        <v>66</v>
      </c>
      <c r="E950" s="2">
        <v>236584.81</v>
      </c>
      <c r="F950" s="2"/>
      <c r="G950" s="2"/>
      <c r="H950" s="4" t="str">
        <f t="shared" si="30"/>
        <v/>
      </c>
      <c r="I950" s="6" t="str">
        <f t="shared" si="31"/>
        <v/>
      </c>
    </row>
    <row r="951" spans="1:9" ht="30" customHeight="1" x14ac:dyDescent="0.35">
      <c r="A951" t="s">
        <v>1940</v>
      </c>
      <c r="B951" t="s">
        <v>1941</v>
      </c>
      <c r="C951" t="s">
        <v>51</v>
      </c>
      <c r="D951" t="s">
        <v>50</v>
      </c>
      <c r="E951" s="2">
        <v>47412.959999999999</v>
      </c>
      <c r="F951" s="2"/>
      <c r="G951" s="2"/>
      <c r="H951" s="4" t="str">
        <f t="shared" si="30"/>
        <v/>
      </c>
      <c r="I951" s="6" t="str">
        <f t="shared" si="31"/>
        <v/>
      </c>
    </row>
    <row r="952" spans="1:9" ht="30" customHeight="1" x14ac:dyDescent="0.35">
      <c r="A952" t="s">
        <v>1942</v>
      </c>
      <c r="B952" t="s">
        <v>1943</v>
      </c>
      <c r="C952" t="s">
        <v>77</v>
      </c>
      <c r="D952" t="s">
        <v>76</v>
      </c>
      <c r="E952" s="2">
        <v>1795423.82</v>
      </c>
      <c r="F952" s="2"/>
      <c r="G952" s="2"/>
      <c r="H952" s="4" t="str">
        <f t="shared" si="30"/>
        <v/>
      </c>
      <c r="I952" s="6" t="str">
        <f t="shared" si="31"/>
        <v/>
      </c>
    </row>
    <row r="953" spans="1:9" ht="30" customHeight="1" x14ac:dyDescent="0.35">
      <c r="A953" t="s">
        <v>1944</v>
      </c>
      <c r="B953" t="s">
        <v>1945</v>
      </c>
      <c r="C953" t="s">
        <v>73</v>
      </c>
      <c r="D953" t="s">
        <v>72</v>
      </c>
      <c r="E953" s="2"/>
      <c r="F953" s="2">
        <v>59689.05</v>
      </c>
      <c r="G953" s="2">
        <v>40310.949999999997</v>
      </c>
      <c r="H953" s="4">
        <f t="shared" si="30"/>
        <v>100000</v>
      </c>
      <c r="I953" s="6">
        <f t="shared" si="31"/>
        <v>0</v>
      </c>
    </row>
    <row r="954" spans="1:9" ht="30" customHeight="1" x14ac:dyDescent="0.35">
      <c r="A954" t="s">
        <v>1946</v>
      </c>
      <c r="B954" t="s">
        <v>1947</v>
      </c>
      <c r="C954" t="s">
        <v>77</v>
      </c>
      <c r="D954" t="s">
        <v>76</v>
      </c>
      <c r="E954" s="2">
        <v>34353.800000000003</v>
      </c>
      <c r="F954" s="2"/>
      <c r="G954" s="2"/>
      <c r="H954" s="4" t="str">
        <f t="shared" si="30"/>
        <v/>
      </c>
      <c r="I954" s="6" t="str">
        <f t="shared" si="31"/>
        <v/>
      </c>
    </row>
    <row r="955" spans="1:9" ht="30" customHeight="1" x14ac:dyDescent="0.35">
      <c r="A955" t="s">
        <v>1948</v>
      </c>
      <c r="B955" t="s">
        <v>1949</v>
      </c>
      <c r="C955" t="s">
        <v>57</v>
      </c>
      <c r="D955" t="s">
        <v>56</v>
      </c>
      <c r="E955" s="2">
        <v>2783.76</v>
      </c>
      <c r="F955" s="2">
        <v>26921.360000000001</v>
      </c>
      <c r="G955" s="2"/>
      <c r="H955" s="4">
        <f t="shared" si="30"/>
        <v>26921.360000000001</v>
      </c>
      <c r="I955" s="6">
        <f t="shared" si="31"/>
        <v>0.10340339418216614</v>
      </c>
    </row>
    <row r="956" spans="1:9" ht="30" customHeight="1" x14ac:dyDescent="0.35">
      <c r="A956" t="s">
        <v>1950</v>
      </c>
      <c r="B956" t="s">
        <v>1951</v>
      </c>
      <c r="C956" t="s">
        <v>67</v>
      </c>
      <c r="D956" t="s">
        <v>66</v>
      </c>
      <c r="E956" s="2">
        <v>72190.740000000005</v>
      </c>
      <c r="F956" s="2"/>
      <c r="G956" s="2"/>
      <c r="H956" s="4" t="str">
        <f t="shared" si="30"/>
        <v/>
      </c>
      <c r="I956" s="6" t="str">
        <f t="shared" si="31"/>
        <v/>
      </c>
    </row>
    <row r="957" spans="1:9" ht="30" customHeight="1" x14ac:dyDescent="0.35">
      <c r="A957" t="s">
        <v>1952</v>
      </c>
      <c r="B957" t="s">
        <v>1953</v>
      </c>
      <c r="C957" t="s">
        <v>57</v>
      </c>
      <c r="D957" t="s">
        <v>56</v>
      </c>
      <c r="E957" s="2">
        <v>4397.29</v>
      </c>
      <c r="F957" s="2"/>
      <c r="G957" s="2"/>
      <c r="H957" s="4" t="str">
        <f t="shared" si="30"/>
        <v/>
      </c>
      <c r="I957" s="6" t="str">
        <f t="shared" si="31"/>
        <v/>
      </c>
    </row>
    <row r="958" spans="1:9" ht="30" customHeight="1" x14ac:dyDescent="0.35">
      <c r="A958" t="s">
        <v>1954</v>
      </c>
      <c r="B958" t="s">
        <v>1955</v>
      </c>
      <c r="C958" t="s">
        <v>57</v>
      </c>
      <c r="D958" t="s">
        <v>56</v>
      </c>
      <c r="E958" s="2">
        <v>52226.53</v>
      </c>
      <c r="F958" s="2"/>
      <c r="G958" s="2"/>
      <c r="H958" s="4" t="str">
        <f t="shared" si="30"/>
        <v/>
      </c>
      <c r="I958" s="6" t="str">
        <f t="shared" si="31"/>
        <v/>
      </c>
    </row>
    <row r="959" spans="1:9" ht="30" customHeight="1" x14ac:dyDescent="0.35">
      <c r="A959" t="s">
        <v>1956</v>
      </c>
      <c r="B959" t="s">
        <v>1957</v>
      </c>
      <c r="C959" t="s">
        <v>606</v>
      </c>
      <c r="D959" t="s">
        <v>605</v>
      </c>
      <c r="E959" s="2">
        <v>9500.2800000000007</v>
      </c>
      <c r="F959" s="2"/>
      <c r="G959" s="2"/>
      <c r="H959" s="4" t="str">
        <f t="shared" si="30"/>
        <v/>
      </c>
      <c r="I959" s="6" t="str">
        <f t="shared" si="31"/>
        <v/>
      </c>
    </row>
    <row r="960" spans="1:9" ht="30" customHeight="1" x14ac:dyDescent="0.35">
      <c r="A960" t="s">
        <v>1958</v>
      </c>
      <c r="B960" t="s">
        <v>1959</v>
      </c>
      <c r="C960" t="s">
        <v>51</v>
      </c>
      <c r="D960" t="s">
        <v>50</v>
      </c>
      <c r="E960" s="2">
        <v>7311.19</v>
      </c>
      <c r="F960" s="2"/>
      <c r="G960" s="2"/>
      <c r="H960" s="4" t="str">
        <f t="shared" si="30"/>
        <v/>
      </c>
      <c r="I960" s="6" t="str">
        <f t="shared" si="31"/>
        <v/>
      </c>
    </row>
    <row r="961" spans="1:9" ht="30" customHeight="1" x14ac:dyDescent="0.35">
      <c r="A961" t="s">
        <v>1960</v>
      </c>
      <c r="B961" t="s">
        <v>1961</v>
      </c>
      <c r="C961" t="s">
        <v>57</v>
      </c>
      <c r="D961" t="s">
        <v>56</v>
      </c>
      <c r="E961" s="2">
        <v>7361.42</v>
      </c>
      <c r="F961" s="2"/>
      <c r="G961" s="2"/>
      <c r="H961" s="4" t="str">
        <f t="shared" si="30"/>
        <v/>
      </c>
      <c r="I961" s="6" t="str">
        <f t="shared" si="31"/>
        <v/>
      </c>
    </row>
    <row r="962" spans="1:9" ht="30" customHeight="1" x14ac:dyDescent="0.35">
      <c r="A962" t="s">
        <v>1962</v>
      </c>
      <c r="B962" t="s">
        <v>1963</v>
      </c>
      <c r="C962" t="s">
        <v>57</v>
      </c>
      <c r="D962" t="s">
        <v>56</v>
      </c>
      <c r="E962" s="2">
        <v>25846.75</v>
      </c>
      <c r="F962" s="2"/>
      <c r="G962" s="2"/>
      <c r="H962" s="4" t="str">
        <f t="shared" si="30"/>
        <v/>
      </c>
      <c r="I962" s="6" t="str">
        <f t="shared" si="31"/>
        <v/>
      </c>
    </row>
    <row r="963" spans="1:9" ht="30" customHeight="1" x14ac:dyDescent="0.35">
      <c r="A963" t="s">
        <v>1964</v>
      </c>
      <c r="B963" t="s">
        <v>1965</v>
      </c>
      <c r="C963" t="s">
        <v>185</v>
      </c>
      <c r="D963" t="s">
        <v>184</v>
      </c>
      <c r="E963" s="2"/>
      <c r="F963" s="2">
        <v>74727.53</v>
      </c>
      <c r="G963" s="2"/>
      <c r="H963" s="4">
        <f t="shared" si="30"/>
        <v>74727.53</v>
      </c>
      <c r="I963" s="6">
        <f t="shared" si="31"/>
        <v>0</v>
      </c>
    </row>
    <row r="964" spans="1:9" ht="30" customHeight="1" x14ac:dyDescent="0.35">
      <c r="A964" t="s">
        <v>1966</v>
      </c>
      <c r="B964" t="s">
        <v>1967</v>
      </c>
      <c r="C964" t="s">
        <v>33</v>
      </c>
      <c r="D964" t="s">
        <v>32</v>
      </c>
      <c r="E964" s="2">
        <v>143209.9</v>
      </c>
      <c r="F964" s="2"/>
      <c r="G964" s="2"/>
      <c r="H964" s="4" t="str">
        <f t="shared" si="30"/>
        <v/>
      </c>
      <c r="I964" s="6" t="str">
        <f t="shared" si="31"/>
        <v/>
      </c>
    </row>
    <row r="965" spans="1:9" ht="30" customHeight="1" x14ac:dyDescent="0.35">
      <c r="A965" t="s">
        <v>1968</v>
      </c>
      <c r="B965" t="s">
        <v>1969</v>
      </c>
      <c r="C965" t="s">
        <v>57</v>
      </c>
      <c r="D965" t="s">
        <v>56</v>
      </c>
      <c r="E965" s="2">
        <v>18688.89</v>
      </c>
      <c r="F965" s="2"/>
      <c r="G965" s="2"/>
      <c r="H965" s="4" t="str">
        <f t="shared" si="30"/>
        <v/>
      </c>
      <c r="I965" s="6" t="str">
        <f t="shared" si="31"/>
        <v/>
      </c>
    </row>
    <row r="966" spans="1:9" ht="30" customHeight="1" x14ac:dyDescent="0.35">
      <c r="A966" t="s">
        <v>1970</v>
      </c>
      <c r="B966" t="s">
        <v>1971</v>
      </c>
      <c r="C966" t="s">
        <v>51</v>
      </c>
      <c r="D966" t="s">
        <v>50</v>
      </c>
      <c r="E966" s="2">
        <v>1248.05</v>
      </c>
      <c r="F966" s="2"/>
      <c r="G966" s="2"/>
      <c r="H966" s="4" t="str">
        <f t="shared" si="30"/>
        <v/>
      </c>
      <c r="I966" s="6" t="str">
        <f t="shared" si="31"/>
        <v/>
      </c>
    </row>
    <row r="967" spans="1:9" ht="30" customHeight="1" x14ac:dyDescent="0.35">
      <c r="A967" t="s">
        <v>1972</v>
      </c>
      <c r="B967" t="s">
        <v>1973</v>
      </c>
      <c r="C967" t="s">
        <v>606</v>
      </c>
      <c r="D967" t="s">
        <v>605</v>
      </c>
      <c r="E967" s="2">
        <v>2659.26</v>
      </c>
      <c r="F967" s="2"/>
      <c r="G967" s="2"/>
      <c r="H967" s="4" t="str">
        <f t="shared" si="30"/>
        <v/>
      </c>
      <c r="I967" s="6" t="str">
        <f t="shared" si="31"/>
        <v/>
      </c>
    </row>
    <row r="968" spans="1:9" ht="30" customHeight="1" x14ac:dyDescent="0.35">
      <c r="A968" t="s">
        <v>1974</v>
      </c>
      <c r="B968" t="s">
        <v>1975</v>
      </c>
      <c r="C968" t="s">
        <v>19</v>
      </c>
      <c r="D968" t="s">
        <v>18</v>
      </c>
      <c r="E968" s="2">
        <v>363062.26</v>
      </c>
      <c r="F968" s="2"/>
      <c r="G968" s="2"/>
      <c r="H968" s="4" t="str">
        <f t="shared" si="30"/>
        <v/>
      </c>
      <c r="I968" s="6" t="str">
        <f t="shared" si="31"/>
        <v/>
      </c>
    </row>
    <row r="969" spans="1:9" ht="30" customHeight="1" x14ac:dyDescent="0.35">
      <c r="A969" t="s">
        <v>1976</v>
      </c>
      <c r="B969" t="s">
        <v>1977</v>
      </c>
      <c r="C969" t="s">
        <v>67</v>
      </c>
      <c r="D969" t="s">
        <v>66</v>
      </c>
      <c r="E969" s="2">
        <v>32150.27</v>
      </c>
      <c r="F969" s="2">
        <v>0</v>
      </c>
      <c r="G969" s="2">
        <v>500</v>
      </c>
      <c r="H969" s="4">
        <f t="shared" si="30"/>
        <v>500</v>
      </c>
      <c r="I969" s="6">
        <f t="shared" si="31"/>
        <v>64.300539999999998</v>
      </c>
    </row>
    <row r="970" spans="1:9" ht="30" customHeight="1" x14ac:dyDescent="0.35">
      <c r="A970" t="s">
        <v>1978</v>
      </c>
      <c r="B970" t="s">
        <v>1979</v>
      </c>
      <c r="C970" t="s">
        <v>19</v>
      </c>
      <c r="D970" t="s">
        <v>18</v>
      </c>
      <c r="E970" s="2">
        <v>1228.25</v>
      </c>
      <c r="F970" s="2"/>
      <c r="G970" s="2"/>
      <c r="H970" s="4" t="str">
        <f t="shared" si="30"/>
        <v/>
      </c>
      <c r="I970" s="6" t="str">
        <f t="shared" si="31"/>
        <v/>
      </c>
    </row>
    <row r="971" spans="1:9" ht="30" customHeight="1" x14ac:dyDescent="0.35">
      <c r="A971" t="s">
        <v>1980</v>
      </c>
      <c r="B971" t="s">
        <v>1981</v>
      </c>
      <c r="C971" t="s">
        <v>57</v>
      </c>
      <c r="D971" t="s">
        <v>56</v>
      </c>
      <c r="E971" s="2">
        <v>95404.88</v>
      </c>
      <c r="F971" s="2"/>
      <c r="G971" s="2"/>
      <c r="H971" s="4" t="str">
        <f t="shared" si="30"/>
        <v/>
      </c>
      <c r="I971" s="6" t="str">
        <f t="shared" si="31"/>
        <v/>
      </c>
    </row>
    <row r="972" spans="1:9" ht="30" customHeight="1" x14ac:dyDescent="0.35">
      <c r="A972" t="s">
        <v>1982</v>
      </c>
      <c r="B972" t="s">
        <v>1983</v>
      </c>
      <c r="C972" t="s">
        <v>606</v>
      </c>
      <c r="D972" t="s">
        <v>605</v>
      </c>
      <c r="E972" s="2">
        <v>81322.67</v>
      </c>
      <c r="F972" s="2"/>
      <c r="G972" s="2"/>
      <c r="H972" s="4" t="str">
        <f t="shared" si="30"/>
        <v/>
      </c>
      <c r="I972" s="6" t="str">
        <f t="shared" si="31"/>
        <v/>
      </c>
    </row>
    <row r="973" spans="1:9" ht="30" customHeight="1" x14ac:dyDescent="0.35">
      <c r="A973" t="s">
        <v>1984</v>
      </c>
      <c r="B973" t="s">
        <v>1985</v>
      </c>
      <c r="C973" t="s">
        <v>109</v>
      </c>
      <c r="D973" t="s">
        <v>108</v>
      </c>
      <c r="E973" s="2">
        <v>122315.75</v>
      </c>
      <c r="F973" s="2"/>
      <c r="G973" s="2"/>
      <c r="H973" s="4" t="str">
        <f t="shared" si="30"/>
        <v/>
      </c>
      <c r="I973" s="6" t="str">
        <f t="shared" si="31"/>
        <v/>
      </c>
    </row>
    <row r="974" spans="1:9" ht="30" customHeight="1" x14ac:dyDescent="0.35">
      <c r="A974" t="s">
        <v>1986</v>
      </c>
      <c r="B974" t="s">
        <v>1987</v>
      </c>
      <c r="C974" t="s">
        <v>57</v>
      </c>
      <c r="D974" t="s">
        <v>56</v>
      </c>
      <c r="E974" s="2">
        <v>559.33000000000004</v>
      </c>
      <c r="F974" s="2"/>
      <c r="G974" s="2"/>
      <c r="H974" s="4" t="str">
        <f t="shared" si="30"/>
        <v/>
      </c>
      <c r="I974" s="6" t="str">
        <f t="shared" si="31"/>
        <v/>
      </c>
    </row>
    <row r="975" spans="1:9" ht="30" customHeight="1" x14ac:dyDescent="0.35">
      <c r="A975" t="s">
        <v>1988</v>
      </c>
      <c r="B975" t="s">
        <v>1989</v>
      </c>
      <c r="C975" t="s">
        <v>57</v>
      </c>
      <c r="D975" t="s">
        <v>56</v>
      </c>
      <c r="E975" s="2">
        <v>227.65</v>
      </c>
      <c r="F975" s="2"/>
      <c r="G975" s="2"/>
      <c r="H975" s="4" t="str">
        <f t="shared" si="30"/>
        <v/>
      </c>
      <c r="I975" s="6" t="str">
        <f t="shared" si="31"/>
        <v/>
      </c>
    </row>
    <row r="976" spans="1:9" ht="30" customHeight="1" x14ac:dyDescent="0.35">
      <c r="A976" t="s">
        <v>1990</v>
      </c>
      <c r="B976" t="s">
        <v>1991</v>
      </c>
      <c r="C976" t="s">
        <v>57</v>
      </c>
      <c r="D976" t="s">
        <v>56</v>
      </c>
      <c r="E976" s="2">
        <v>24406.03</v>
      </c>
      <c r="F976" s="2">
        <v>0</v>
      </c>
      <c r="G976" s="2">
        <v>1000</v>
      </c>
      <c r="H976" s="4">
        <f t="shared" si="30"/>
        <v>1000</v>
      </c>
      <c r="I976" s="6">
        <f t="shared" si="31"/>
        <v>24.406029999999998</v>
      </c>
    </row>
    <row r="977" spans="1:9" ht="30" customHeight="1" x14ac:dyDescent="0.35">
      <c r="A977" t="s">
        <v>1992</v>
      </c>
      <c r="B977" t="s">
        <v>1993</v>
      </c>
      <c r="C977" t="s">
        <v>19</v>
      </c>
      <c r="D977" t="s">
        <v>18</v>
      </c>
      <c r="E977" s="2">
        <v>108028.71</v>
      </c>
      <c r="F977" s="2"/>
      <c r="G977" s="2"/>
      <c r="H977" s="4" t="str">
        <f t="shared" si="30"/>
        <v/>
      </c>
      <c r="I977" s="6" t="str">
        <f t="shared" si="31"/>
        <v/>
      </c>
    </row>
    <row r="978" spans="1:9" ht="30" customHeight="1" x14ac:dyDescent="0.35">
      <c r="A978" t="s">
        <v>1994</v>
      </c>
      <c r="B978" t="s">
        <v>1995</v>
      </c>
      <c r="C978" t="s">
        <v>57</v>
      </c>
      <c r="D978" t="s">
        <v>56</v>
      </c>
      <c r="E978" s="2">
        <v>15099.98</v>
      </c>
      <c r="F978" s="2">
        <v>0</v>
      </c>
      <c r="G978" s="2">
        <v>2000</v>
      </c>
      <c r="H978" s="4">
        <f t="shared" si="30"/>
        <v>2000</v>
      </c>
      <c r="I978" s="6">
        <f t="shared" si="31"/>
        <v>7.5499900000000002</v>
      </c>
    </row>
    <row r="979" spans="1:9" ht="30" customHeight="1" x14ac:dyDescent="0.35">
      <c r="A979" t="s">
        <v>1996</v>
      </c>
      <c r="B979" t="s">
        <v>1997</v>
      </c>
      <c r="C979" t="s">
        <v>109</v>
      </c>
      <c r="D979" t="s">
        <v>108</v>
      </c>
      <c r="E979" s="2">
        <v>8547.2000000000007</v>
      </c>
      <c r="F979" s="2">
        <v>0</v>
      </c>
      <c r="G979" s="2">
        <v>500</v>
      </c>
      <c r="H979" s="4">
        <f t="shared" si="30"/>
        <v>500</v>
      </c>
      <c r="I979" s="6">
        <f t="shared" si="31"/>
        <v>17.0944</v>
      </c>
    </row>
    <row r="980" spans="1:9" ht="30" customHeight="1" x14ac:dyDescent="0.35">
      <c r="A980" t="s">
        <v>1998</v>
      </c>
      <c r="B980" t="s">
        <v>1999</v>
      </c>
      <c r="C980" t="s">
        <v>57</v>
      </c>
      <c r="D980" t="s">
        <v>56</v>
      </c>
      <c r="E980" s="2">
        <v>10102.709999999999</v>
      </c>
      <c r="F980" s="2"/>
      <c r="G980" s="2"/>
      <c r="H980" s="4" t="str">
        <f t="shared" si="30"/>
        <v/>
      </c>
      <c r="I980" s="6" t="str">
        <f t="shared" si="31"/>
        <v/>
      </c>
    </row>
    <row r="981" spans="1:9" ht="30" customHeight="1" x14ac:dyDescent="0.35">
      <c r="A981" t="s">
        <v>2000</v>
      </c>
      <c r="B981" t="s">
        <v>2001</v>
      </c>
      <c r="C981" t="s">
        <v>33</v>
      </c>
      <c r="D981" t="s">
        <v>32</v>
      </c>
      <c r="E981" s="2">
        <v>76899.360000000001</v>
      </c>
      <c r="F981" s="2"/>
      <c r="G981" s="2"/>
      <c r="H981" s="4" t="str">
        <f t="shared" si="30"/>
        <v/>
      </c>
      <c r="I981" s="6" t="str">
        <f t="shared" si="31"/>
        <v/>
      </c>
    </row>
    <row r="982" spans="1:9" ht="30" customHeight="1" x14ac:dyDescent="0.35">
      <c r="A982" t="s">
        <v>2002</v>
      </c>
      <c r="B982" t="s">
        <v>2003</v>
      </c>
      <c r="C982" t="s">
        <v>57</v>
      </c>
      <c r="D982" t="s">
        <v>56</v>
      </c>
      <c r="E982" s="2">
        <v>272694.94</v>
      </c>
      <c r="F982" s="2">
        <v>963.58</v>
      </c>
      <c r="G982" s="2">
        <v>36.42</v>
      </c>
      <c r="H982" s="4">
        <f t="shared" si="30"/>
        <v>1000</v>
      </c>
      <c r="I982" s="6">
        <f t="shared" si="31"/>
        <v>272.69493999999997</v>
      </c>
    </row>
    <row r="983" spans="1:9" ht="30" customHeight="1" x14ac:dyDescent="0.35">
      <c r="A983" t="s">
        <v>2004</v>
      </c>
      <c r="B983" t="s">
        <v>2005</v>
      </c>
      <c r="C983" t="s">
        <v>57</v>
      </c>
      <c r="D983" t="s">
        <v>56</v>
      </c>
      <c r="E983" s="2">
        <v>123266.96</v>
      </c>
      <c r="F983" s="2">
        <v>323580.92</v>
      </c>
      <c r="G983" s="2"/>
      <c r="H983" s="4">
        <f t="shared" si="30"/>
        <v>323580.92</v>
      </c>
      <c r="I983" s="6">
        <f t="shared" si="31"/>
        <v>0.38094631784840716</v>
      </c>
    </row>
    <row r="984" spans="1:9" ht="30" customHeight="1" x14ac:dyDescent="0.35">
      <c r="A984" t="s">
        <v>2006</v>
      </c>
      <c r="B984" t="s">
        <v>2007</v>
      </c>
      <c r="C984" t="s">
        <v>57</v>
      </c>
      <c r="D984" t="s">
        <v>56</v>
      </c>
      <c r="E984" s="2">
        <v>15300.16</v>
      </c>
      <c r="F984" s="2"/>
      <c r="G984" s="2"/>
      <c r="H984" s="4" t="str">
        <f t="shared" si="30"/>
        <v/>
      </c>
      <c r="I984" s="6" t="str">
        <f t="shared" si="31"/>
        <v/>
      </c>
    </row>
    <row r="985" spans="1:9" ht="30" customHeight="1" x14ac:dyDescent="0.35">
      <c r="A985" t="s">
        <v>2008</v>
      </c>
      <c r="B985" t="s">
        <v>2009</v>
      </c>
      <c r="C985" t="s">
        <v>57</v>
      </c>
      <c r="D985" t="s">
        <v>56</v>
      </c>
      <c r="E985" s="2">
        <v>23428.45</v>
      </c>
      <c r="F985" s="2"/>
      <c r="G985" s="2"/>
      <c r="H985" s="4" t="str">
        <f t="shared" si="30"/>
        <v/>
      </c>
      <c r="I985" s="6" t="str">
        <f t="shared" si="31"/>
        <v/>
      </c>
    </row>
    <row r="986" spans="1:9" ht="30" customHeight="1" x14ac:dyDescent="0.35">
      <c r="A986" t="s">
        <v>2010</v>
      </c>
      <c r="B986" t="s">
        <v>2011</v>
      </c>
      <c r="C986" t="s">
        <v>57</v>
      </c>
      <c r="D986" t="s">
        <v>56</v>
      </c>
      <c r="E986" s="2">
        <v>814.77</v>
      </c>
      <c r="F986" s="2">
        <v>75601.600000000006</v>
      </c>
      <c r="G986" s="2">
        <v>398.4</v>
      </c>
      <c r="H986" s="4">
        <f t="shared" si="30"/>
        <v>76000</v>
      </c>
      <c r="I986" s="6">
        <f t="shared" si="31"/>
        <v>1.0720657894736842E-2</v>
      </c>
    </row>
    <row r="987" spans="1:9" ht="30" customHeight="1" x14ac:dyDescent="0.35">
      <c r="A987" t="s">
        <v>2012</v>
      </c>
      <c r="B987" t="s">
        <v>2013</v>
      </c>
      <c r="C987" t="s">
        <v>33</v>
      </c>
      <c r="D987" t="s">
        <v>32</v>
      </c>
      <c r="E987" s="2">
        <v>24204</v>
      </c>
      <c r="F987" s="2"/>
      <c r="G987" s="2"/>
      <c r="H987" s="4" t="str">
        <f t="shared" si="30"/>
        <v/>
      </c>
      <c r="I987" s="6" t="str">
        <f t="shared" si="31"/>
        <v/>
      </c>
    </row>
    <row r="988" spans="1:9" ht="30" customHeight="1" x14ac:dyDescent="0.35">
      <c r="A988" t="s">
        <v>2014</v>
      </c>
      <c r="B988" t="s">
        <v>2015</v>
      </c>
      <c r="C988" t="s">
        <v>606</v>
      </c>
      <c r="D988" t="s">
        <v>605</v>
      </c>
      <c r="E988" s="2">
        <v>57548.15</v>
      </c>
      <c r="F988" s="2"/>
      <c r="G988" s="2"/>
      <c r="H988" s="4" t="str">
        <f t="shared" si="30"/>
        <v/>
      </c>
      <c r="I988" s="6" t="str">
        <f t="shared" si="31"/>
        <v/>
      </c>
    </row>
    <row r="989" spans="1:9" ht="30" customHeight="1" x14ac:dyDescent="0.35">
      <c r="A989" t="s">
        <v>2016</v>
      </c>
      <c r="B989" t="s">
        <v>2017</v>
      </c>
      <c r="C989" t="s">
        <v>51</v>
      </c>
      <c r="D989" t="s">
        <v>50</v>
      </c>
      <c r="E989" s="2">
        <v>192908.48</v>
      </c>
      <c r="F989" s="2"/>
      <c r="G989" s="2"/>
      <c r="H989" s="4" t="str">
        <f t="shared" si="30"/>
        <v/>
      </c>
      <c r="I989" s="6" t="str">
        <f t="shared" si="31"/>
        <v/>
      </c>
    </row>
    <row r="990" spans="1:9" ht="30" customHeight="1" x14ac:dyDescent="0.35">
      <c r="A990" t="s">
        <v>2018</v>
      </c>
      <c r="B990" t="s">
        <v>2019</v>
      </c>
      <c r="C990" t="s">
        <v>77</v>
      </c>
      <c r="D990" t="s">
        <v>76</v>
      </c>
      <c r="E990" s="2">
        <v>219732.21</v>
      </c>
      <c r="F990" s="2"/>
      <c r="G990" s="2"/>
      <c r="H990" s="4" t="str">
        <f t="shared" si="30"/>
        <v/>
      </c>
      <c r="I990" s="6" t="str">
        <f t="shared" si="31"/>
        <v/>
      </c>
    </row>
    <row r="991" spans="1:9" ht="30" customHeight="1" x14ac:dyDescent="0.35">
      <c r="A991" t="s">
        <v>2020</v>
      </c>
      <c r="B991" t="s">
        <v>2021</v>
      </c>
      <c r="C991" t="s">
        <v>51</v>
      </c>
      <c r="D991" t="s">
        <v>50</v>
      </c>
      <c r="E991" s="2">
        <v>10197.450000000001</v>
      </c>
      <c r="F991" s="2"/>
      <c r="G991" s="2"/>
      <c r="H991" s="4" t="str">
        <f t="shared" si="30"/>
        <v/>
      </c>
      <c r="I991" s="6" t="str">
        <f t="shared" si="31"/>
        <v/>
      </c>
    </row>
    <row r="992" spans="1:9" ht="30" customHeight="1" x14ac:dyDescent="0.35">
      <c r="A992" t="s">
        <v>2022</v>
      </c>
      <c r="B992" t="s">
        <v>2023</v>
      </c>
      <c r="C992" t="s">
        <v>19</v>
      </c>
      <c r="D992" t="s">
        <v>18</v>
      </c>
      <c r="E992" s="2">
        <v>75697.77</v>
      </c>
      <c r="F992" s="2"/>
      <c r="G992" s="2"/>
      <c r="H992" s="4" t="str">
        <f t="shared" si="30"/>
        <v/>
      </c>
      <c r="I992" s="6" t="str">
        <f t="shared" si="31"/>
        <v/>
      </c>
    </row>
    <row r="993" spans="1:9" ht="30" customHeight="1" x14ac:dyDescent="0.35">
      <c r="A993" t="s">
        <v>2024</v>
      </c>
      <c r="B993" t="s">
        <v>2025</v>
      </c>
      <c r="C993" t="s">
        <v>109</v>
      </c>
      <c r="D993" t="s">
        <v>108</v>
      </c>
      <c r="E993" s="2">
        <v>76333.59</v>
      </c>
      <c r="F993" s="2"/>
      <c r="G993" s="2"/>
      <c r="H993" s="4" t="str">
        <f t="shared" si="30"/>
        <v/>
      </c>
      <c r="I993" s="6" t="str">
        <f t="shared" si="31"/>
        <v/>
      </c>
    </row>
    <row r="994" spans="1:9" ht="30" customHeight="1" x14ac:dyDescent="0.35">
      <c r="A994" t="s">
        <v>2026</v>
      </c>
      <c r="B994" t="s">
        <v>2027</v>
      </c>
      <c r="C994" t="s">
        <v>73</v>
      </c>
      <c r="D994" t="s">
        <v>72</v>
      </c>
      <c r="E994" s="2">
        <v>4.07</v>
      </c>
      <c r="F994" s="2">
        <v>249285.42</v>
      </c>
      <c r="G994" s="2">
        <v>714.58</v>
      </c>
      <c r="H994" s="4">
        <f t="shared" si="30"/>
        <v>250000</v>
      </c>
      <c r="I994" s="6">
        <f t="shared" si="31"/>
        <v>1.628E-5</v>
      </c>
    </row>
    <row r="995" spans="1:9" ht="30" customHeight="1" x14ac:dyDescent="0.35">
      <c r="A995" t="s">
        <v>2028</v>
      </c>
      <c r="B995" t="s">
        <v>2029</v>
      </c>
      <c r="C995" t="s">
        <v>73</v>
      </c>
      <c r="D995" t="s">
        <v>72</v>
      </c>
      <c r="E995" s="2">
        <v>33.9</v>
      </c>
      <c r="F995" s="2">
        <v>0</v>
      </c>
      <c r="G995" s="2">
        <v>750000</v>
      </c>
      <c r="H995" s="4">
        <f t="shared" si="30"/>
        <v>750000</v>
      </c>
      <c r="I995" s="6">
        <f t="shared" si="31"/>
        <v>4.5200000000000001E-5</v>
      </c>
    </row>
    <row r="996" spans="1:9" ht="30" customHeight="1" x14ac:dyDescent="0.35">
      <c r="A996" t="s">
        <v>2030</v>
      </c>
      <c r="B996" t="s">
        <v>2031</v>
      </c>
      <c r="C996" t="s">
        <v>73</v>
      </c>
      <c r="D996" t="s">
        <v>72</v>
      </c>
      <c r="E996" s="2">
        <v>1350.13</v>
      </c>
      <c r="F996" s="2">
        <v>149494.56</v>
      </c>
      <c r="G996" s="2">
        <v>505.44</v>
      </c>
      <c r="H996" s="4">
        <f t="shared" si="30"/>
        <v>150000</v>
      </c>
      <c r="I996" s="6">
        <f t="shared" si="31"/>
        <v>9.0008666666666678E-3</v>
      </c>
    </row>
    <row r="997" spans="1:9" ht="30" customHeight="1" x14ac:dyDescent="0.35">
      <c r="A997" t="s">
        <v>2032</v>
      </c>
      <c r="B997" t="s">
        <v>2033</v>
      </c>
      <c r="C997" t="s">
        <v>73</v>
      </c>
      <c r="D997" t="s">
        <v>72</v>
      </c>
      <c r="E997" s="2">
        <v>3.15</v>
      </c>
      <c r="F997" s="2">
        <v>71899.009999999995</v>
      </c>
      <c r="G997" s="2">
        <v>3100.99</v>
      </c>
      <c r="H997" s="4">
        <f t="shared" si="30"/>
        <v>75000</v>
      </c>
      <c r="I997" s="6">
        <f t="shared" si="31"/>
        <v>4.1999999999999998E-5</v>
      </c>
    </row>
    <row r="998" spans="1:9" ht="30" customHeight="1" x14ac:dyDescent="0.35">
      <c r="A998" t="s">
        <v>2034</v>
      </c>
      <c r="B998" t="s">
        <v>2035</v>
      </c>
      <c r="C998" t="s">
        <v>73</v>
      </c>
      <c r="D998" t="s">
        <v>72</v>
      </c>
      <c r="E998" s="2">
        <v>27.27</v>
      </c>
      <c r="F998" s="2">
        <v>40000</v>
      </c>
      <c r="G998" s="2">
        <v>0</v>
      </c>
      <c r="H998" s="4">
        <f t="shared" si="30"/>
        <v>40000</v>
      </c>
      <c r="I998" s="6">
        <f t="shared" si="31"/>
        <v>6.8174999999999996E-4</v>
      </c>
    </row>
    <row r="999" spans="1:9" ht="30" customHeight="1" x14ac:dyDescent="0.35">
      <c r="A999" t="s">
        <v>2036</v>
      </c>
      <c r="B999" t="s">
        <v>2037</v>
      </c>
      <c r="C999" t="s">
        <v>73</v>
      </c>
      <c r="D999" t="s">
        <v>72</v>
      </c>
      <c r="E999" s="2">
        <v>49.66</v>
      </c>
      <c r="F999" s="2">
        <v>31970.89</v>
      </c>
      <c r="G999" s="2">
        <v>18029.11</v>
      </c>
      <c r="H999" s="4">
        <f t="shared" si="30"/>
        <v>50000</v>
      </c>
      <c r="I999" s="6">
        <f t="shared" si="31"/>
        <v>9.9319999999999986E-4</v>
      </c>
    </row>
    <row r="1000" spans="1:9" ht="30" customHeight="1" x14ac:dyDescent="0.35">
      <c r="A1000" t="s">
        <v>2038</v>
      </c>
      <c r="B1000" t="s">
        <v>2039</v>
      </c>
      <c r="C1000" t="s">
        <v>73</v>
      </c>
      <c r="D1000" t="s">
        <v>72</v>
      </c>
      <c r="E1000" s="2"/>
      <c r="F1000" s="2">
        <v>10807.37</v>
      </c>
      <c r="G1000" s="2"/>
      <c r="H1000" s="4">
        <f t="shared" si="30"/>
        <v>10807.37</v>
      </c>
      <c r="I1000" s="6">
        <f t="shared" si="31"/>
        <v>0</v>
      </c>
    </row>
    <row r="1001" spans="1:9" ht="30" customHeight="1" x14ac:dyDescent="0.35">
      <c r="A1001" t="s">
        <v>2040</v>
      </c>
      <c r="B1001" t="s">
        <v>2041</v>
      </c>
      <c r="C1001" t="s">
        <v>51</v>
      </c>
      <c r="D1001" t="s">
        <v>50</v>
      </c>
      <c r="E1001" s="2">
        <v>215713.5</v>
      </c>
      <c r="F1001" s="2">
        <v>77194</v>
      </c>
      <c r="G1001" s="2"/>
      <c r="H1001" s="4">
        <f t="shared" si="30"/>
        <v>77194</v>
      </c>
      <c r="I1001" s="6">
        <f t="shared" si="31"/>
        <v>2.7944335051947045</v>
      </c>
    </row>
    <row r="1002" spans="1:9" ht="30" customHeight="1" x14ac:dyDescent="0.35">
      <c r="A1002" t="s">
        <v>2042</v>
      </c>
      <c r="B1002" t="s">
        <v>2043</v>
      </c>
      <c r="C1002" t="s">
        <v>19</v>
      </c>
      <c r="D1002" t="s">
        <v>18</v>
      </c>
      <c r="E1002" s="2">
        <v>21821.42</v>
      </c>
      <c r="F1002" s="2"/>
      <c r="G1002" s="2"/>
      <c r="H1002" s="4" t="str">
        <f t="shared" si="30"/>
        <v/>
      </c>
      <c r="I1002" s="6" t="str">
        <f t="shared" si="31"/>
        <v/>
      </c>
    </row>
    <row r="1003" spans="1:9" ht="30" customHeight="1" x14ac:dyDescent="0.35">
      <c r="A1003" t="s">
        <v>2044</v>
      </c>
      <c r="B1003" t="s">
        <v>2045</v>
      </c>
      <c r="C1003" t="s">
        <v>259</v>
      </c>
      <c r="D1003" t="s">
        <v>258</v>
      </c>
      <c r="E1003" s="2">
        <v>17441.77</v>
      </c>
      <c r="F1003" s="2"/>
      <c r="G1003" s="2"/>
      <c r="H1003" s="4" t="str">
        <f t="shared" si="30"/>
        <v/>
      </c>
      <c r="I1003" s="6" t="str">
        <f t="shared" si="31"/>
        <v/>
      </c>
    </row>
    <row r="1004" spans="1:9" ht="30" customHeight="1" x14ac:dyDescent="0.35">
      <c r="A1004" t="s">
        <v>2046</v>
      </c>
      <c r="B1004" t="s">
        <v>2047</v>
      </c>
      <c r="C1004" t="s">
        <v>29</v>
      </c>
      <c r="D1004" t="s">
        <v>28</v>
      </c>
      <c r="E1004" s="2">
        <v>20799.07</v>
      </c>
      <c r="F1004" s="2"/>
      <c r="G1004" s="2"/>
      <c r="H1004" s="4" t="str">
        <f t="shared" si="30"/>
        <v/>
      </c>
      <c r="I1004" s="6" t="str">
        <f t="shared" si="31"/>
        <v/>
      </c>
    </row>
    <row r="1005" spans="1:9" ht="30" customHeight="1" x14ac:dyDescent="0.35">
      <c r="A1005" t="s">
        <v>2048</v>
      </c>
      <c r="B1005" t="s">
        <v>2049</v>
      </c>
      <c r="C1005" t="s">
        <v>19</v>
      </c>
      <c r="D1005" t="s">
        <v>18</v>
      </c>
      <c r="E1005" s="2">
        <v>152498.81</v>
      </c>
      <c r="F1005" s="2"/>
      <c r="G1005" s="2"/>
      <c r="H1005" s="4" t="str">
        <f t="shared" si="30"/>
        <v/>
      </c>
      <c r="I1005" s="6" t="str">
        <f t="shared" si="31"/>
        <v/>
      </c>
    </row>
    <row r="1006" spans="1:9" ht="30" customHeight="1" x14ac:dyDescent="0.35">
      <c r="A1006" t="s">
        <v>2050</v>
      </c>
      <c r="B1006" t="s">
        <v>2051</v>
      </c>
      <c r="C1006" t="s">
        <v>41</v>
      </c>
      <c r="D1006" t="s">
        <v>40</v>
      </c>
      <c r="E1006" s="2">
        <v>91740.46</v>
      </c>
      <c r="F1006" s="2"/>
      <c r="G1006" s="2"/>
      <c r="H1006" s="4" t="str">
        <f t="shared" si="30"/>
        <v/>
      </c>
      <c r="I1006" s="6" t="str">
        <f t="shared" si="31"/>
        <v/>
      </c>
    </row>
    <row r="1007" spans="1:9" ht="30" customHeight="1" x14ac:dyDescent="0.35">
      <c r="A1007" t="s">
        <v>2052</v>
      </c>
      <c r="B1007" t="s">
        <v>2053</v>
      </c>
      <c r="C1007" t="s">
        <v>29</v>
      </c>
      <c r="D1007" t="s">
        <v>28</v>
      </c>
      <c r="E1007" s="2">
        <v>2918.28</v>
      </c>
      <c r="F1007" s="2"/>
      <c r="G1007" s="2"/>
      <c r="H1007" s="4" t="str">
        <f t="shared" si="30"/>
        <v/>
      </c>
      <c r="I1007" s="6" t="str">
        <f t="shared" si="31"/>
        <v/>
      </c>
    </row>
    <row r="1008" spans="1:9" ht="30" customHeight="1" x14ac:dyDescent="0.35">
      <c r="A1008" t="s">
        <v>2054</v>
      </c>
      <c r="B1008" t="s">
        <v>2055</v>
      </c>
      <c r="C1008" t="s">
        <v>19</v>
      </c>
      <c r="D1008" t="s">
        <v>18</v>
      </c>
      <c r="E1008" s="2">
        <v>2753.92</v>
      </c>
      <c r="F1008" s="2"/>
      <c r="G1008" s="2"/>
      <c r="H1008" s="4" t="str">
        <f t="shared" si="30"/>
        <v/>
      </c>
      <c r="I1008" s="6" t="str">
        <f t="shared" si="31"/>
        <v/>
      </c>
    </row>
    <row r="1009" spans="1:9" ht="30" customHeight="1" x14ac:dyDescent="0.35">
      <c r="A1009" t="s">
        <v>2056</v>
      </c>
      <c r="B1009" t="s">
        <v>2057</v>
      </c>
      <c r="C1009" t="s">
        <v>19</v>
      </c>
      <c r="D1009" t="s">
        <v>18</v>
      </c>
      <c r="E1009" s="2">
        <v>1269003.22</v>
      </c>
      <c r="F1009" s="2"/>
      <c r="G1009" s="2"/>
      <c r="H1009" s="4" t="str">
        <f t="shared" ref="H1009:H1072" si="32">IF(ISBLANK(F1009),"",(F1009+G1009))</f>
        <v/>
      </c>
      <c r="I1009" s="6" t="str">
        <f t="shared" ref="I1009:I1072" si="33">IF(ISBLANK(F1009), "", E1009/H1009)</f>
        <v/>
      </c>
    </row>
    <row r="1010" spans="1:9" ht="30" customHeight="1" x14ac:dyDescent="0.35">
      <c r="A1010" t="s">
        <v>2058</v>
      </c>
      <c r="B1010" t="s">
        <v>2059</v>
      </c>
      <c r="C1010" t="s">
        <v>259</v>
      </c>
      <c r="D1010" t="s">
        <v>258</v>
      </c>
      <c r="E1010" s="2">
        <v>294346.53999999998</v>
      </c>
      <c r="F1010" s="2">
        <v>445055.36</v>
      </c>
      <c r="G1010" s="2">
        <v>750000</v>
      </c>
      <c r="H1010" s="4">
        <f t="shared" si="32"/>
        <v>1195055.3599999999</v>
      </c>
      <c r="I1010" s="6">
        <f t="shared" si="33"/>
        <v>0.24630368588112939</v>
      </c>
    </row>
    <row r="1011" spans="1:9" ht="30" customHeight="1" x14ac:dyDescent="0.35">
      <c r="A1011" t="s">
        <v>2060</v>
      </c>
      <c r="B1011" t="s">
        <v>2061</v>
      </c>
      <c r="C1011" t="s">
        <v>77</v>
      </c>
      <c r="D1011" t="s">
        <v>76</v>
      </c>
      <c r="E1011" s="2">
        <v>3124.45</v>
      </c>
      <c r="F1011" s="2">
        <v>100</v>
      </c>
      <c r="G1011" s="2">
        <v>1400</v>
      </c>
      <c r="H1011" s="4">
        <f t="shared" si="32"/>
        <v>1500</v>
      </c>
      <c r="I1011" s="6">
        <f t="shared" si="33"/>
        <v>2.0829666666666666</v>
      </c>
    </row>
    <row r="1012" spans="1:9" ht="30" customHeight="1" x14ac:dyDescent="0.35">
      <c r="A1012" t="s">
        <v>2062</v>
      </c>
      <c r="B1012" t="s">
        <v>2063</v>
      </c>
      <c r="C1012" t="s">
        <v>29</v>
      </c>
      <c r="D1012" t="s">
        <v>28</v>
      </c>
      <c r="E1012" s="2">
        <v>2411.73</v>
      </c>
      <c r="F1012" s="2"/>
      <c r="G1012" s="2"/>
      <c r="H1012" s="4" t="str">
        <f t="shared" si="32"/>
        <v/>
      </c>
      <c r="I1012" s="6" t="str">
        <f t="shared" si="33"/>
        <v/>
      </c>
    </row>
    <row r="1013" spans="1:9" ht="30" customHeight="1" x14ac:dyDescent="0.35">
      <c r="A1013" t="s">
        <v>2064</v>
      </c>
      <c r="B1013" t="s">
        <v>2065</v>
      </c>
      <c r="C1013" t="s">
        <v>41</v>
      </c>
      <c r="D1013" t="s">
        <v>40</v>
      </c>
      <c r="E1013" s="2">
        <v>34184.550000000003</v>
      </c>
      <c r="F1013" s="2"/>
      <c r="G1013" s="2"/>
      <c r="H1013" s="4" t="str">
        <f t="shared" si="32"/>
        <v/>
      </c>
      <c r="I1013" s="6" t="str">
        <f t="shared" si="33"/>
        <v/>
      </c>
    </row>
    <row r="1014" spans="1:9" ht="30" customHeight="1" x14ac:dyDescent="0.35">
      <c r="A1014" t="s">
        <v>2066</v>
      </c>
      <c r="B1014" t="s">
        <v>2067</v>
      </c>
      <c r="C1014" t="s">
        <v>29</v>
      </c>
      <c r="D1014" t="s">
        <v>28</v>
      </c>
      <c r="E1014" s="2">
        <v>109981.87</v>
      </c>
      <c r="F1014" s="2"/>
      <c r="G1014" s="2"/>
      <c r="H1014" s="4" t="str">
        <f t="shared" si="32"/>
        <v/>
      </c>
      <c r="I1014" s="6" t="str">
        <f t="shared" si="33"/>
        <v/>
      </c>
    </row>
    <row r="1015" spans="1:9" ht="30" customHeight="1" x14ac:dyDescent="0.35">
      <c r="A1015" t="s">
        <v>2068</v>
      </c>
      <c r="B1015" t="s">
        <v>2069</v>
      </c>
      <c r="C1015" t="s">
        <v>19</v>
      </c>
      <c r="D1015" t="s">
        <v>18</v>
      </c>
      <c r="E1015" s="2">
        <v>773.91</v>
      </c>
      <c r="F1015" s="2"/>
      <c r="G1015" s="2"/>
      <c r="H1015" s="4" t="str">
        <f t="shared" si="32"/>
        <v/>
      </c>
      <c r="I1015" s="6" t="str">
        <f t="shared" si="33"/>
        <v/>
      </c>
    </row>
    <row r="1016" spans="1:9" ht="30" customHeight="1" x14ac:dyDescent="0.35">
      <c r="A1016" t="s">
        <v>2070</v>
      </c>
      <c r="B1016" t="s">
        <v>2071</v>
      </c>
      <c r="C1016" t="s">
        <v>51</v>
      </c>
      <c r="D1016" t="s">
        <v>50</v>
      </c>
      <c r="E1016" s="2">
        <v>292468.38</v>
      </c>
      <c r="F1016" s="2"/>
      <c r="G1016" s="2"/>
      <c r="H1016" s="4" t="str">
        <f t="shared" si="32"/>
        <v/>
      </c>
      <c r="I1016" s="6" t="str">
        <f t="shared" si="33"/>
        <v/>
      </c>
    </row>
    <row r="1017" spans="1:9" ht="30" customHeight="1" x14ac:dyDescent="0.35">
      <c r="A1017" t="s">
        <v>2072</v>
      </c>
      <c r="B1017" t="s">
        <v>2073</v>
      </c>
      <c r="C1017" t="s">
        <v>259</v>
      </c>
      <c r="D1017" t="s">
        <v>258</v>
      </c>
      <c r="E1017" s="2">
        <v>1532.4</v>
      </c>
      <c r="F1017" s="2"/>
      <c r="G1017" s="2"/>
      <c r="H1017" s="4" t="str">
        <f t="shared" si="32"/>
        <v/>
      </c>
      <c r="I1017" s="6" t="str">
        <f t="shared" si="33"/>
        <v/>
      </c>
    </row>
    <row r="1018" spans="1:9" ht="30" customHeight="1" x14ac:dyDescent="0.35">
      <c r="A1018" t="s">
        <v>2074</v>
      </c>
      <c r="B1018" t="s">
        <v>2075</v>
      </c>
      <c r="C1018" t="s">
        <v>2077</v>
      </c>
      <c r="D1018" t="s">
        <v>2076</v>
      </c>
      <c r="E1018" s="2"/>
      <c r="F1018" s="2">
        <v>554640.54</v>
      </c>
      <c r="G1018" s="2"/>
      <c r="H1018" s="4">
        <f t="shared" si="32"/>
        <v>554640.54</v>
      </c>
      <c r="I1018" s="6">
        <f t="shared" si="33"/>
        <v>0</v>
      </c>
    </row>
    <row r="1019" spans="1:9" ht="30" customHeight="1" x14ac:dyDescent="0.35">
      <c r="A1019" t="s">
        <v>2078</v>
      </c>
      <c r="B1019" t="s">
        <v>2079</v>
      </c>
      <c r="C1019" t="s">
        <v>19</v>
      </c>
      <c r="D1019" t="s">
        <v>18</v>
      </c>
      <c r="E1019" s="2">
        <v>159175.59</v>
      </c>
      <c r="F1019" s="2">
        <v>153761.01999999999</v>
      </c>
      <c r="G1019" s="2"/>
      <c r="H1019" s="4">
        <f t="shared" si="32"/>
        <v>153761.01999999999</v>
      </c>
      <c r="I1019" s="6">
        <f t="shared" si="33"/>
        <v>1.0352141914771378</v>
      </c>
    </row>
    <row r="1020" spans="1:9" ht="30" customHeight="1" x14ac:dyDescent="0.35">
      <c r="A1020" t="s">
        <v>2080</v>
      </c>
      <c r="B1020" t="s">
        <v>2081</v>
      </c>
      <c r="C1020" t="s">
        <v>67</v>
      </c>
      <c r="D1020" t="s">
        <v>66</v>
      </c>
      <c r="E1020" s="2">
        <v>77097.87</v>
      </c>
      <c r="F1020" s="2"/>
      <c r="G1020" s="2"/>
      <c r="H1020" s="4" t="str">
        <f t="shared" si="32"/>
        <v/>
      </c>
      <c r="I1020" s="6" t="str">
        <f t="shared" si="33"/>
        <v/>
      </c>
    </row>
    <row r="1021" spans="1:9" ht="30" customHeight="1" x14ac:dyDescent="0.35">
      <c r="A1021" t="s">
        <v>2082</v>
      </c>
      <c r="B1021" t="s">
        <v>2083</v>
      </c>
      <c r="C1021" t="s">
        <v>385</v>
      </c>
      <c r="D1021" t="s">
        <v>384</v>
      </c>
      <c r="E1021" s="2">
        <v>3771560.58</v>
      </c>
      <c r="F1021" s="2"/>
      <c r="G1021" s="2"/>
      <c r="H1021" s="4" t="str">
        <f t="shared" si="32"/>
        <v/>
      </c>
      <c r="I1021" s="6" t="str">
        <f t="shared" si="33"/>
        <v/>
      </c>
    </row>
    <row r="1022" spans="1:9" ht="30" customHeight="1" x14ac:dyDescent="0.35">
      <c r="A1022" t="s">
        <v>2084</v>
      </c>
      <c r="B1022" t="s">
        <v>2085</v>
      </c>
      <c r="C1022" t="s">
        <v>15</v>
      </c>
      <c r="D1022" t="s">
        <v>14</v>
      </c>
      <c r="E1022" s="2">
        <v>456202.51</v>
      </c>
      <c r="F1022" s="2"/>
      <c r="G1022" s="2"/>
      <c r="H1022" s="4" t="str">
        <f t="shared" si="32"/>
        <v/>
      </c>
      <c r="I1022" s="6" t="str">
        <f t="shared" si="33"/>
        <v/>
      </c>
    </row>
    <row r="1023" spans="1:9" ht="30" customHeight="1" x14ac:dyDescent="0.35">
      <c r="A1023" t="s">
        <v>2086</v>
      </c>
      <c r="B1023" t="s">
        <v>2087</v>
      </c>
      <c r="C1023" t="s">
        <v>19</v>
      </c>
      <c r="D1023" t="s">
        <v>18</v>
      </c>
      <c r="E1023" s="2">
        <v>27308.51</v>
      </c>
      <c r="F1023" s="2">
        <v>482067.06</v>
      </c>
      <c r="G1023" s="2">
        <v>0</v>
      </c>
      <c r="H1023" s="4">
        <f t="shared" si="32"/>
        <v>482067.06</v>
      </c>
      <c r="I1023" s="6">
        <f t="shared" si="33"/>
        <v>5.6648778284083545E-2</v>
      </c>
    </row>
    <row r="1024" spans="1:9" ht="30" customHeight="1" x14ac:dyDescent="0.35">
      <c r="A1024" t="s">
        <v>2088</v>
      </c>
      <c r="B1024" t="s">
        <v>2089</v>
      </c>
      <c r="C1024" t="s">
        <v>33</v>
      </c>
      <c r="D1024" t="s">
        <v>32</v>
      </c>
      <c r="E1024" s="2">
        <v>790843.57</v>
      </c>
      <c r="F1024" s="2"/>
      <c r="G1024" s="2"/>
      <c r="H1024" s="4" t="str">
        <f t="shared" si="32"/>
        <v/>
      </c>
      <c r="I1024" s="6" t="str">
        <f t="shared" si="33"/>
        <v/>
      </c>
    </row>
    <row r="1025" spans="1:9" ht="30" customHeight="1" x14ac:dyDescent="0.35">
      <c r="A1025" t="s">
        <v>2090</v>
      </c>
      <c r="B1025" t="s">
        <v>2091</v>
      </c>
      <c r="C1025" t="s">
        <v>109</v>
      </c>
      <c r="D1025" t="s">
        <v>108</v>
      </c>
      <c r="E1025" s="2">
        <v>41429.49</v>
      </c>
      <c r="F1025" s="2"/>
      <c r="G1025" s="2"/>
      <c r="H1025" s="4" t="str">
        <f t="shared" si="32"/>
        <v/>
      </c>
      <c r="I1025" s="6" t="str">
        <f t="shared" si="33"/>
        <v/>
      </c>
    </row>
    <row r="1026" spans="1:9" ht="30" customHeight="1" x14ac:dyDescent="0.35">
      <c r="A1026" t="s">
        <v>2092</v>
      </c>
      <c r="B1026" t="s">
        <v>2093</v>
      </c>
      <c r="C1026" t="s">
        <v>19</v>
      </c>
      <c r="D1026" t="s">
        <v>18</v>
      </c>
      <c r="E1026" s="2">
        <v>144969.87</v>
      </c>
      <c r="F1026" s="2"/>
      <c r="G1026" s="2"/>
      <c r="H1026" s="4" t="str">
        <f t="shared" si="32"/>
        <v/>
      </c>
      <c r="I1026" s="6" t="str">
        <f t="shared" si="33"/>
        <v/>
      </c>
    </row>
    <row r="1027" spans="1:9" ht="30" customHeight="1" x14ac:dyDescent="0.35">
      <c r="A1027" t="s">
        <v>2094</v>
      </c>
      <c r="B1027" t="s">
        <v>2095</v>
      </c>
      <c r="C1027" t="s">
        <v>51</v>
      </c>
      <c r="D1027" t="s">
        <v>50</v>
      </c>
      <c r="E1027" s="2">
        <v>775752.31</v>
      </c>
      <c r="F1027" s="2"/>
      <c r="G1027" s="2"/>
      <c r="H1027" s="4" t="str">
        <f t="shared" si="32"/>
        <v/>
      </c>
      <c r="I1027" s="6" t="str">
        <f t="shared" si="33"/>
        <v/>
      </c>
    </row>
    <row r="1028" spans="1:9" ht="30" customHeight="1" x14ac:dyDescent="0.35">
      <c r="A1028" t="s">
        <v>2096</v>
      </c>
      <c r="B1028" t="s">
        <v>2097</v>
      </c>
      <c r="C1028" t="s">
        <v>19</v>
      </c>
      <c r="D1028" t="s">
        <v>18</v>
      </c>
      <c r="E1028" s="2">
        <v>27663.279999999999</v>
      </c>
      <c r="F1028" s="2"/>
      <c r="G1028" s="2"/>
      <c r="H1028" s="4" t="str">
        <f t="shared" si="32"/>
        <v/>
      </c>
      <c r="I1028" s="6" t="str">
        <f t="shared" si="33"/>
        <v/>
      </c>
    </row>
    <row r="1029" spans="1:9" ht="30" customHeight="1" x14ac:dyDescent="0.35">
      <c r="A1029" t="s">
        <v>2098</v>
      </c>
      <c r="B1029" t="s">
        <v>2099</v>
      </c>
      <c r="C1029" t="s">
        <v>19</v>
      </c>
      <c r="D1029" t="s">
        <v>18</v>
      </c>
      <c r="E1029" s="2">
        <v>186349.96</v>
      </c>
      <c r="F1029" s="2"/>
      <c r="G1029" s="2"/>
      <c r="H1029" s="4" t="str">
        <f t="shared" si="32"/>
        <v/>
      </c>
      <c r="I1029" s="6" t="str">
        <f t="shared" si="33"/>
        <v/>
      </c>
    </row>
    <row r="1030" spans="1:9" ht="30" customHeight="1" x14ac:dyDescent="0.35">
      <c r="A1030" t="s">
        <v>2100</v>
      </c>
      <c r="B1030" t="s">
        <v>2101</v>
      </c>
      <c r="C1030" t="s">
        <v>33</v>
      </c>
      <c r="D1030" t="s">
        <v>32</v>
      </c>
      <c r="E1030" s="2">
        <v>82412.149999999994</v>
      </c>
      <c r="F1030" s="2"/>
      <c r="G1030" s="2"/>
      <c r="H1030" s="4" t="str">
        <f t="shared" si="32"/>
        <v/>
      </c>
      <c r="I1030" s="6" t="str">
        <f t="shared" si="33"/>
        <v/>
      </c>
    </row>
    <row r="1031" spans="1:9" ht="30" customHeight="1" x14ac:dyDescent="0.35">
      <c r="A1031" t="s">
        <v>2102</v>
      </c>
      <c r="B1031" t="s">
        <v>2103</v>
      </c>
      <c r="C1031" t="s">
        <v>51</v>
      </c>
      <c r="D1031" t="s">
        <v>50</v>
      </c>
      <c r="E1031" s="2">
        <v>18709.13</v>
      </c>
      <c r="F1031" s="2"/>
      <c r="G1031" s="2"/>
      <c r="H1031" s="4" t="str">
        <f t="shared" si="32"/>
        <v/>
      </c>
      <c r="I1031" s="6" t="str">
        <f t="shared" si="33"/>
        <v/>
      </c>
    </row>
    <row r="1032" spans="1:9" ht="30" customHeight="1" x14ac:dyDescent="0.35">
      <c r="A1032" t="s">
        <v>2104</v>
      </c>
      <c r="B1032" t="s">
        <v>2105</v>
      </c>
      <c r="C1032" t="s">
        <v>77</v>
      </c>
      <c r="D1032" t="s">
        <v>76</v>
      </c>
      <c r="E1032" s="2">
        <v>417855.97</v>
      </c>
      <c r="F1032" s="2"/>
      <c r="G1032" s="2"/>
      <c r="H1032" s="4" t="str">
        <f t="shared" si="32"/>
        <v/>
      </c>
      <c r="I1032" s="6" t="str">
        <f t="shared" si="33"/>
        <v/>
      </c>
    </row>
    <row r="1033" spans="1:9" ht="30" customHeight="1" x14ac:dyDescent="0.35">
      <c r="A1033" t="s">
        <v>2106</v>
      </c>
      <c r="B1033" t="s">
        <v>2107</v>
      </c>
      <c r="C1033" t="s">
        <v>109</v>
      </c>
      <c r="D1033" t="s">
        <v>108</v>
      </c>
      <c r="E1033" s="2">
        <v>3070.59</v>
      </c>
      <c r="F1033" s="2"/>
      <c r="G1033" s="2"/>
      <c r="H1033" s="4" t="str">
        <f t="shared" si="32"/>
        <v/>
      </c>
      <c r="I1033" s="6" t="str">
        <f t="shared" si="33"/>
        <v/>
      </c>
    </row>
    <row r="1034" spans="1:9" ht="30" customHeight="1" x14ac:dyDescent="0.35">
      <c r="A1034" t="s">
        <v>2108</v>
      </c>
      <c r="B1034" t="s">
        <v>2109</v>
      </c>
      <c r="C1034" t="s">
        <v>109</v>
      </c>
      <c r="D1034" t="s">
        <v>108</v>
      </c>
      <c r="E1034" s="2">
        <v>99.48</v>
      </c>
      <c r="F1034" s="2"/>
      <c r="G1034" s="2"/>
      <c r="H1034" s="4" t="str">
        <f t="shared" si="32"/>
        <v/>
      </c>
      <c r="I1034" s="6" t="str">
        <f t="shared" si="33"/>
        <v/>
      </c>
    </row>
    <row r="1035" spans="1:9" ht="30" customHeight="1" x14ac:dyDescent="0.35">
      <c r="A1035" t="s">
        <v>2110</v>
      </c>
      <c r="B1035" t="s">
        <v>2111</v>
      </c>
      <c r="C1035" t="s">
        <v>19</v>
      </c>
      <c r="D1035" t="s">
        <v>18</v>
      </c>
      <c r="E1035" s="2">
        <v>10233.870000000001</v>
      </c>
      <c r="F1035" s="2"/>
      <c r="G1035" s="2"/>
      <c r="H1035" s="4" t="str">
        <f t="shared" si="32"/>
        <v/>
      </c>
      <c r="I1035" s="6" t="str">
        <f t="shared" si="33"/>
        <v/>
      </c>
    </row>
    <row r="1036" spans="1:9" ht="30" customHeight="1" x14ac:dyDescent="0.35">
      <c r="A1036" t="s">
        <v>2112</v>
      </c>
      <c r="B1036" t="s">
        <v>2113</v>
      </c>
      <c r="C1036" t="s">
        <v>29</v>
      </c>
      <c r="D1036" t="s">
        <v>28</v>
      </c>
      <c r="E1036" s="2">
        <v>112720.35</v>
      </c>
      <c r="F1036" s="2"/>
      <c r="G1036" s="2"/>
      <c r="H1036" s="4" t="str">
        <f t="shared" si="32"/>
        <v/>
      </c>
      <c r="I1036" s="6" t="str">
        <f t="shared" si="33"/>
        <v/>
      </c>
    </row>
    <row r="1037" spans="1:9" ht="30" customHeight="1" x14ac:dyDescent="0.35">
      <c r="A1037" t="s">
        <v>2114</v>
      </c>
      <c r="B1037" t="s">
        <v>2115</v>
      </c>
      <c r="C1037" t="s">
        <v>33</v>
      </c>
      <c r="D1037" t="s">
        <v>32</v>
      </c>
      <c r="E1037" s="2">
        <v>114820.67</v>
      </c>
      <c r="F1037" s="2"/>
      <c r="G1037" s="2"/>
      <c r="H1037" s="4" t="str">
        <f t="shared" si="32"/>
        <v/>
      </c>
      <c r="I1037" s="6" t="str">
        <f t="shared" si="33"/>
        <v/>
      </c>
    </row>
    <row r="1038" spans="1:9" ht="30" customHeight="1" x14ac:dyDescent="0.35">
      <c r="A1038" t="s">
        <v>2116</v>
      </c>
      <c r="B1038" t="s">
        <v>2117</v>
      </c>
      <c r="C1038" t="s">
        <v>67</v>
      </c>
      <c r="D1038" t="s">
        <v>66</v>
      </c>
      <c r="E1038" s="2">
        <v>380547.66</v>
      </c>
      <c r="F1038" s="2"/>
      <c r="G1038" s="2"/>
      <c r="H1038" s="4" t="str">
        <f t="shared" si="32"/>
        <v/>
      </c>
      <c r="I1038" s="6" t="str">
        <f t="shared" si="33"/>
        <v/>
      </c>
    </row>
    <row r="1039" spans="1:9" ht="30" customHeight="1" x14ac:dyDescent="0.35">
      <c r="A1039" t="s">
        <v>2118</v>
      </c>
      <c r="B1039" t="s">
        <v>2119</v>
      </c>
      <c r="C1039" t="s">
        <v>29</v>
      </c>
      <c r="D1039" t="s">
        <v>28</v>
      </c>
      <c r="E1039" s="2">
        <v>277328.28999999998</v>
      </c>
      <c r="F1039" s="2"/>
      <c r="G1039" s="2"/>
      <c r="H1039" s="4" t="str">
        <f t="shared" si="32"/>
        <v/>
      </c>
      <c r="I1039" s="6" t="str">
        <f t="shared" si="33"/>
        <v/>
      </c>
    </row>
    <row r="1040" spans="1:9" ht="30" customHeight="1" x14ac:dyDescent="0.35">
      <c r="A1040" t="s">
        <v>2120</v>
      </c>
      <c r="B1040" t="s">
        <v>2121</v>
      </c>
      <c r="C1040" t="s">
        <v>185</v>
      </c>
      <c r="D1040" t="s">
        <v>184</v>
      </c>
      <c r="E1040" s="2">
        <v>3382598</v>
      </c>
      <c r="F1040" s="2"/>
      <c r="G1040" s="2"/>
      <c r="H1040" s="4" t="str">
        <f t="shared" si="32"/>
        <v/>
      </c>
      <c r="I1040" s="6" t="str">
        <f t="shared" si="33"/>
        <v/>
      </c>
    </row>
    <row r="1041" spans="1:9" ht="30" customHeight="1" x14ac:dyDescent="0.35">
      <c r="A1041" t="s">
        <v>2122</v>
      </c>
      <c r="B1041" t="s">
        <v>2123</v>
      </c>
      <c r="C1041" t="s">
        <v>29</v>
      </c>
      <c r="D1041" t="s">
        <v>28</v>
      </c>
      <c r="E1041" s="2">
        <v>765996.07</v>
      </c>
      <c r="F1041" s="2"/>
      <c r="G1041" s="2"/>
      <c r="H1041" s="4" t="str">
        <f t="shared" si="32"/>
        <v/>
      </c>
      <c r="I1041" s="6" t="str">
        <f t="shared" si="33"/>
        <v/>
      </c>
    </row>
    <row r="1042" spans="1:9" ht="30" customHeight="1" x14ac:dyDescent="0.35">
      <c r="A1042" t="s">
        <v>2124</v>
      </c>
      <c r="B1042" t="s">
        <v>2125</v>
      </c>
      <c r="C1042" t="s">
        <v>461</v>
      </c>
      <c r="D1042" t="s">
        <v>460</v>
      </c>
      <c r="E1042" s="2">
        <v>559.76</v>
      </c>
      <c r="F1042" s="2"/>
      <c r="G1042" s="2"/>
      <c r="H1042" s="4" t="str">
        <f t="shared" si="32"/>
        <v/>
      </c>
      <c r="I1042" s="6" t="str">
        <f t="shared" si="33"/>
        <v/>
      </c>
    </row>
    <row r="1043" spans="1:9" ht="30" customHeight="1" x14ac:dyDescent="0.35">
      <c r="A1043" t="s">
        <v>2126</v>
      </c>
      <c r="B1043" t="s">
        <v>2127</v>
      </c>
      <c r="C1043" t="s">
        <v>41</v>
      </c>
      <c r="D1043" t="s">
        <v>40</v>
      </c>
      <c r="E1043" s="2">
        <v>120.12</v>
      </c>
      <c r="F1043" s="2">
        <v>127594.46</v>
      </c>
      <c r="G1043" s="2">
        <v>22305.54</v>
      </c>
      <c r="H1043" s="4">
        <f t="shared" si="32"/>
        <v>149900</v>
      </c>
      <c r="I1043" s="6">
        <f t="shared" si="33"/>
        <v>8.0133422281521019E-4</v>
      </c>
    </row>
    <row r="1044" spans="1:9" ht="30" customHeight="1" x14ac:dyDescent="0.35">
      <c r="A1044" t="s">
        <v>2128</v>
      </c>
      <c r="B1044" t="s">
        <v>2129</v>
      </c>
      <c r="C1044" t="s">
        <v>33</v>
      </c>
      <c r="D1044" t="s">
        <v>32</v>
      </c>
      <c r="E1044" s="2">
        <v>196240.52</v>
      </c>
      <c r="F1044" s="2"/>
      <c r="G1044" s="2"/>
      <c r="H1044" s="4" t="str">
        <f t="shared" si="32"/>
        <v/>
      </c>
      <c r="I1044" s="6" t="str">
        <f t="shared" si="33"/>
        <v/>
      </c>
    </row>
    <row r="1045" spans="1:9" ht="30" customHeight="1" x14ac:dyDescent="0.35">
      <c r="A1045" t="s">
        <v>2130</v>
      </c>
      <c r="B1045" t="s">
        <v>2131</v>
      </c>
      <c r="C1045" t="s">
        <v>41</v>
      </c>
      <c r="D1045" t="s">
        <v>40</v>
      </c>
      <c r="E1045" s="2">
        <v>27451.72</v>
      </c>
      <c r="F1045" s="2"/>
      <c r="G1045" s="2"/>
      <c r="H1045" s="4" t="str">
        <f t="shared" si="32"/>
        <v/>
      </c>
      <c r="I1045" s="6" t="str">
        <f t="shared" si="33"/>
        <v/>
      </c>
    </row>
    <row r="1046" spans="1:9" ht="30" customHeight="1" x14ac:dyDescent="0.35">
      <c r="A1046" t="s">
        <v>2132</v>
      </c>
      <c r="B1046" t="s">
        <v>2133</v>
      </c>
      <c r="C1046" t="s">
        <v>41</v>
      </c>
      <c r="D1046" t="s">
        <v>40</v>
      </c>
      <c r="E1046" s="2">
        <v>235045.14</v>
      </c>
      <c r="F1046" s="2"/>
      <c r="G1046" s="2"/>
      <c r="H1046" s="4" t="str">
        <f t="shared" si="32"/>
        <v/>
      </c>
      <c r="I1046" s="6" t="str">
        <f t="shared" si="33"/>
        <v/>
      </c>
    </row>
    <row r="1047" spans="1:9" ht="30" customHeight="1" x14ac:dyDescent="0.35">
      <c r="A1047" t="s">
        <v>2134</v>
      </c>
      <c r="B1047" t="s">
        <v>2135</v>
      </c>
      <c r="C1047" t="s">
        <v>33</v>
      </c>
      <c r="D1047" t="s">
        <v>32</v>
      </c>
      <c r="E1047" s="2">
        <v>691583.96</v>
      </c>
      <c r="F1047" s="2"/>
      <c r="G1047" s="2"/>
      <c r="H1047" s="4" t="str">
        <f t="shared" si="32"/>
        <v/>
      </c>
      <c r="I1047" s="6" t="str">
        <f t="shared" si="33"/>
        <v/>
      </c>
    </row>
    <row r="1048" spans="1:9" ht="30" customHeight="1" x14ac:dyDescent="0.35">
      <c r="A1048" t="s">
        <v>2136</v>
      </c>
      <c r="B1048" t="s">
        <v>2137</v>
      </c>
      <c r="C1048" t="s">
        <v>109</v>
      </c>
      <c r="D1048" t="s">
        <v>108</v>
      </c>
      <c r="E1048" s="2">
        <v>324977.21000000002</v>
      </c>
      <c r="F1048" s="2"/>
      <c r="G1048" s="2"/>
      <c r="H1048" s="4" t="str">
        <f t="shared" si="32"/>
        <v/>
      </c>
      <c r="I1048" s="6" t="str">
        <f t="shared" si="33"/>
        <v/>
      </c>
    </row>
    <row r="1049" spans="1:9" ht="30" customHeight="1" x14ac:dyDescent="0.35">
      <c r="A1049" t="s">
        <v>2138</v>
      </c>
      <c r="B1049" t="s">
        <v>2139</v>
      </c>
      <c r="C1049" t="s">
        <v>109</v>
      </c>
      <c r="D1049" t="s">
        <v>108</v>
      </c>
      <c r="E1049" s="2">
        <v>48065.31</v>
      </c>
      <c r="F1049" s="2"/>
      <c r="G1049" s="2"/>
      <c r="H1049" s="4" t="str">
        <f t="shared" si="32"/>
        <v/>
      </c>
      <c r="I1049" s="6" t="str">
        <f t="shared" si="33"/>
        <v/>
      </c>
    </row>
    <row r="1050" spans="1:9" ht="30" customHeight="1" x14ac:dyDescent="0.35">
      <c r="A1050" t="s">
        <v>2140</v>
      </c>
      <c r="B1050" t="s">
        <v>2141</v>
      </c>
      <c r="C1050" t="s">
        <v>33</v>
      </c>
      <c r="D1050" t="s">
        <v>32</v>
      </c>
      <c r="E1050" s="2">
        <v>216127.59</v>
      </c>
      <c r="F1050" s="2"/>
      <c r="G1050" s="2"/>
      <c r="H1050" s="4" t="str">
        <f t="shared" si="32"/>
        <v/>
      </c>
      <c r="I1050" s="6" t="str">
        <f t="shared" si="33"/>
        <v/>
      </c>
    </row>
    <row r="1051" spans="1:9" ht="30" customHeight="1" x14ac:dyDescent="0.35">
      <c r="A1051" t="s">
        <v>2142</v>
      </c>
      <c r="B1051" t="s">
        <v>2143</v>
      </c>
      <c r="C1051" t="s">
        <v>471</v>
      </c>
      <c r="D1051" t="s">
        <v>470</v>
      </c>
      <c r="E1051" s="2">
        <v>287047.73</v>
      </c>
      <c r="F1051" s="2"/>
      <c r="G1051" s="2"/>
      <c r="H1051" s="4" t="str">
        <f t="shared" si="32"/>
        <v/>
      </c>
      <c r="I1051" s="6" t="str">
        <f t="shared" si="33"/>
        <v/>
      </c>
    </row>
    <row r="1052" spans="1:9" ht="30" customHeight="1" x14ac:dyDescent="0.35">
      <c r="A1052" t="s">
        <v>2144</v>
      </c>
      <c r="B1052" t="s">
        <v>2145</v>
      </c>
      <c r="C1052" t="s">
        <v>487</v>
      </c>
      <c r="D1052" t="s">
        <v>486</v>
      </c>
      <c r="E1052" s="2">
        <v>191277.08</v>
      </c>
      <c r="F1052" s="2">
        <v>262008.09</v>
      </c>
      <c r="G1052" s="2">
        <v>2338205.77</v>
      </c>
      <c r="H1052" s="4">
        <f t="shared" si="32"/>
        <v>2600213.86</v>
      </c>
      <c r="I1052" s="6">
        <f t="shared" si="33"/>
        <v>7.35620569301942E-2</v>
      </c>
    </row>
    <row r="1053" spans="1:9" ht="30" customHeight="1" x14ac:dyDescent="0.35">
      <c r="A1053" t="s">
        <v>2146</v>
      </c>
      <c r="B1053" t="s">
        <v>2147</v>
      </c>
      <c r="C1053" t="s">
        <v>33</v>
      </c>
      <c r="D1053" t="s">
        <v>32</v>
      </c>
      <c r="E1053" s="2">
        <v>521629.17</v>
      </c>
      <c r="F1053" s="2"/>
      <c r="G1053" s="2"/>
      <c r="H1053" s="4" t="str">
        <f t="shared" si="32"/>
        <v/>
      </c>
      <c r="I1053" s="6" t="str">
        <f t="shared" si="33"/>
        <v/>
      </c>
    </row>
    <row r="1054" spans="1:9" ht="30" customHeight="1" x14ac:dyDescent="0.35">
      <c r="A1054" t="s">
        <v>2148</v>
      </c>
      <c r="B1054" t="s">
        <v>2149</v>
      </c>
      <c r="C1054" t="s">
        <v>965</v>
      </c>
      <c r="D1054" t="s">
        <v>964</v>
      </c>
      <c r="E1054" s="2">
        <v>82.98</v>
      </c>
      <c r="F1054" s="2"/>
      <c r="G1054" s="2"/>
      <c r="H1054" s="4" t="str">
        <f t="shared" si="32"/>
        <v/>
      </c>
      <c r="I1054" s="6" t="str">
        <f t="shared" si="33"/>
        <v/>
      </c>
    </row>
    <row r="1055" spans="1:9" ht="30" customHeight="1" x14ac:dyDescent="0.35">
      <c r="A1055" t="s">
        <v>2150</v>
      </c>
      <c r="B1055" t="s">
        <v>2151</v>
      </c>
      <c r="C1055" t="s">
        <v>213</v>
      </c>
      <c r="D1055" t="s">
        <v>212</v>
      </c>
      <c r="E1055" s="2">
        <v>30</v>
      </c>
      <c r="F1055" s="2">
        <v>48130.57</v>
      </c>
      <c r="G1055" s="2"/>
      <c r="H1055" s="4">
        <f t="shared" si="32"/>
        <v>48130.57</v>
      </c>
      <c r="I1055" s="6">
        <f t="shared" si="33"/>
        <v>6.2330448195398473E-4</v>
      </c>
    </row>
    <row r="1056" spans="1:9" ht="30" customHeight="1" x14ac:dyDescent="0.35">
      <c r="A1056" t="s">
        <v>2152</v>
      </c>
      <c r="B1056" t="s">
        <v>2153</v>
      </c>
      <c r="C1056" t="s">
        <v>41</v>
      </c>
      <c r="D1056" t="s">
        <v>40</v>
      </c>
      <c r="E1056" s="2"/>
      <c r="F1056" s="2">
        <v>140964.88</v>
      </c>
      <c r="G1056" s="2"/>
      <c r="H1056" s="4">
        <f t="shared" si="32"/>
        <v>140964.88</v>
      </c>
      <c r="I1056" s="6">
        <f t="shared" si="33"/>
        <v>0</v>
      </c>
    </row>
    <row r="1057" spans="1:9" ht="30" customHeight="1" x14ac:dyDescent="0.35">
      <c r="A1057" t="s">
        <v>2154</v>
      </c>
      <c r="B1057" t="s">
        <v>2155</v>
      </c>
      <c r="C1057" t="s">
        <v>51</v>
      </c>
      <c r="D1057" t="s">
        <v>50</v>
      </c>
      <c r="E1057" s="2">
        <v>66390</v>
      </c>
      <c r="F1057" s="2"/>
      <c r="G1057" s="2"/>
      <c r="H1057" s="4" t="str">
        <f t="shared" si="32"/>
        <v/>
      </c>
      <c r="I1057" s="6" t="str">
        <f t="shared" si="33"/>
        <v/>
      </c>
    </row>
    <row r="1058" spans="1:9" ht="30" customHeight="1" x14ac:dyDescent="0.35">
      <c r="A1058" t="s">
        <v>2156</v>
      </c>
      <c r="B1058" t="s">
        <v>2157</v>
      </c>
      <c r="C1058" t="s">
        <v>19</v>
      </c>
      <c r="D1058" t="s">
        <v>18</v>
      </c>
      <c r="E1058" s="2">
        <v>73930.789999999994</v>
      </c>
      <c r="F1058" s="2"/>
      <c r="G1058" s="2"/>
      <c r="H1058" s="4" t="str">
        <f t="shared" si="32"/>
        <v/>
      </c>
      <c r="I1058" s="6" t="str">
        <f t="shared" si="33"/>
        <v/>
      </c>
    </row>
    <row r="1059" spans="1:9" ht="30" customHeight="1" x14ac:dyDescent="0.35">
      <c r="A1059" t="s">
        <v>2158</v>
      </c>
      <c r="B1059" t="s">
        <v>2159</v>
      </c>
      <c r="C1059" t="s">
        <v>109</v>
      </c>
      <c r="D1059" t="s">
        <v>108</v>
      </c>
      <c r="E1059" s="2">
        <v>81748.009999999995</v>
      </c>
      <c r="F1059" s="2"/>
      <c r="G1059" s="2"/>
      <c r="H1059" s="4" t="str">
        <f t="shared" si="32"/>
        <v/>
      </c>
      <c r="I1059" s="6" t="str">
        <f t="shared" si="33"/>
        <v/>
      </c>
    </row>
    <row r="1060" spans="1:9" ht="30" customHeight="1" x14ac:dyDescent="0.35">
      <c r="A1060" t="s">
        <v>2160</v>
      </c>
      <c r="B1060" t="s">
        <v>2161</v>
      </c>
      <c r="C1060" t="s">
        <v>77</v>
      </c>
      <c r="D1060" t="s">
        <v>76</v>
      </c>
      <c r="E1060" s="2">
        <v>130765.11</v>
      </c>
      <c r="F1060" s="2"/>
      <c r="G1060" s="2"/>
      <c r="H1060" s="4" t="str">
        <f t="shared" si="32"/>
        <v/>
      </c>
      <c r="I1060" s="6" t="str">
        <f t="shared" si="33"/>
        <v/>
      </c>
    </row>
    <row r="1061" spans="1:9" ht="30" customHeight="1" x14ac:dyDescent="0.35">
      <c r="A1061" t="s">
        <v>2162</v>
      </c>
      <c r="B1061" t="s">
        <v>2163</v>
      </c>
      <c r="C1061" t="s">
        <v>51</v>
      </c>
      <c r="D1061" t="s">
        <v>50</v>
      </c>
      <c r="E1061" s="2">
        <v>144051.93</v>
      </c>
      <c r="F1061" s="2">
        <v>0</v>
      </c>
      <c r="G1061" s="2">
        <v>2000</v>
      </c>
      <c r="H1061" s="4">
        <f t="shared" si="32"/>
        <v>2000</v>
      </c>
      <c r="I1061" s="6">
        <f t="shared" si="33"/>
        <v>72.025964999999999</v>
      </c>
    </row>
    <row r="1062" spans="1:9" ht="30" customHeight="1" x14ac:dyDescent="0.35">
      <c r="A1062" t="s">
        <v>2164</v>
      </c>
      <c r="B1062" t="s">
        <v>2165</v>
      </c>
      <c r="C1062" t="s">
        <v>19</v>
      </c>
      <c r="D1062" t="s">
        <v>18</v>
      </c>
      <c r="E1062" s="2">
        <v>206514.01</v>
      </c>
      <c r="F1062" s="2"/>
      <c r="G1062" s="2"/>
      <c r="H1062" s="4" t="str">
        <f t="shared" si="32"/>
        <v/>
      </c>
      <c r="I1062" s="6" t="str">
        <f t="shared" si="33"/>
        <v/>
      </c>
    </row>
    <row r="1063" spans="1:9" ht="30" customHeight="1" x14ac:dyDescent="0.35">
      <c r="A1063" t="s">
        <v>2166</v>
      </c>
      <c r="B1063" t="s">
        <v>2167</v>
      </c>
      <c r="C1063" t="s">
        <v>109</v>
      </c>
      <c r="D1063" t="s">
        <v>108</v>
      </c>
      <c r="E1063" s="2">
        <v>219020.83</v>
      </c>
      <c r="F1063" s="2"/>
      <c r="G1063" s="2"/>
      <c r="H1063" s="4" t="str">
        <f t="shared" si="32"/>
        <v/>
      </c>
      <c r="I1063" s="6" t="str">
        <f t="shared" si="33"/>
        <v/>
      </c>
    </row>
    <row r="1064" spans="1:9" ht="30" customHeight="1" x14ac:dyDescent="0.35">
      <c r="A1064" t="s">
        <v>2168</v>
      </c>
      <c r="B1064" t="s">
        <v>2169</v>
      </c>
      <c r="C1064" t="s">
        <v>67</v>
      </c>
      <c r="D1064" t="s">
        <v>66</v>
      </c>
      <c r="E1064" s="2">
        <v>25654.17</v>
      </c>
      <c r="F1064" s="2"/>
      <c r="G1064" s="2"/>
      <c r="H1064" s="4" t="str">
        <f t="shared" si="32"/>
        <v/>
      </c>
      <c r="I1064" s="6" t="str">
        <f t="shared" si="33"/>
        <v/>
      </c>
    </row>
    <row r="1065" spans="1:9" ht="30" customHeight="1" x14ac:dyDescent="0.35">
      <c r="A1065" t="s">
        <v>2170</v>
      </c>
      <c r="B1065" t="s">
        <v>2171</v>
      </c>
      <c r="C1065" t="s">
        <v>109</v>
      </c>
      <c r="D1065" t="s">
        <v>108</v>
      </c>
      <c r="E1065" s="2">
        <v>990704.43</v>
      </c>
      <c r="F1065" s="2"/>
      <c r="G1065" s="2"/>
      <c r="H1065" s="4" t="str">
        <f t="shared" si="32"/>
        <v/>
      </c>
      <c r="I1065" s="6" t="str">
        <f t="shared" si="33"/>
        <v/>
      </c>
    </row>
    <row r="1066" spans="1:9" ht="30" customHeight="1" x14ac:dyDescent="0.35">
      <c r="A1066" t="s">
        <v>2172</v>
      </c>
      <c r="B1066" t="s">
        <v>2173</v>
      </c>
      <c r="C1066" t="s">
        <v>19</v>
      </c>
      <c r="D1066" t="s">
        <v>18</v>
      </c>
      <c r="E1066" s="2">
        <v>104783.57</v>
      </c>
      <c r="F1066" s="2"/>
      <c r="G1066" s="2"/>
      <c r="H1066" s="4" t="str">
        <f t="shared" si="32"/>
        <v/>
      </c>
      <c r="I1066" s="6" t="str">
        <f t="shared" si="33"/>
        <v/>
      </c>
    </row>
    <row r="1067" spans="1:9" ht="30" customHeight="1" x14ac:dyDescent="0.35">
      <c r="A1067" t="s">
        <v>2174</v>
      </c>
      <c r="B1067" t="s">
        <v>2175</v>
      </c>
      <c r="C1067" t="s">
        <v>19</v>
      </c>
      <c r="D1067" t="s">
        <v>18</v>
      </c>
      <c r="E1067" s="2">
        <v>271770.89</v>
      </c>
      <c r="F1067" s="2"/>
      <c r="G1067" s="2"/>
      <c r="H1067" s="4" t="str">
        <f t="shared" si="32"/>
        <v/>
      </c>
      <c r="I1067" s="6" t="str">
        <f t="shared" si="33"/>
        <v/>
      </c>
    </row>
    <row r="1068" spans="1:9" ht="30" customHeight="1" x14ac:dyDescent="0.35">
      <c r="A1068" t="s">
        <v>2176</v>
      </c>
      <c r="B1068" t="s">
        <v>2177</v>
      </c>
      <c r="C1068" t="s">
        <v>67</v>
      </c>
      <c r="D1068" t="s">
        <v>66</v>
      </c>
      <c r="E1068" s="2">
        <v>8449.5300000000007</v>
      </c>
      <c r="F1068" s="2"/>
      <c r="G1068" s="2"/>
      <c r="H1068" s="4" t="str">
        <f t="shared" si="32"/>
        <v/>
      </c>
      <c r="I1068" s="6" t="str">
        <f t="shared" si="33"/>
        <v/>
      </c>
    </row>
    <row r="1069" spans="1:9" ht="30" customHeight="1" x14ac:dyDescent="0.35">
      <c r="A1069" t="s">
        <v>2178</v>
      </c>
      <c r="B1069" t="s">
        <v>2179</v>
      </c>
      <c r="C1069" t="s">
        <v>19</v>
      </c>
      <c r="D1069" t="s">
        <v>18</v>
      </c>
      <c r="E1069" s="2">
        <v>78817.789999999994</v>
      </c>
      <c r="F1069" s="2"/>
      <c r="G1069" s="2"/>
      <c r="H1069" s="4" t="str">
        <f t="shared" si="32"/>
        <v/>
      </c>
      <c r="I1069" s="6" t="str">
        <f t="shared" si="33"/>
        <v/>
      </c>
    </row>
    <row r="1070" spans="1:9" ht="30" customHeight="1" x14ac:dyDescent="0.35">
      <c r="A1070" t="s">
        <v>2180</v>
      </c>
      <c r="B1070" t="s">
        <v>2181</v>
      </c>
      <c r="C1070" t="s">
        <v>51</v>
      </c>
      <c r="D1070" t="s">
        <v>50</v>
      </c>
      <c r="E1070" s="2">
        <v>127630.87</v>
      </c>
      <c r="F1070" s="2"/>
      <c r="G1070" s="2"/>
      <c r="H1070" s="4" t="str">
        <f t="shared" si="32"/>
        <v/>
      </c>
      <c r="I1070" s="6" t="str">
        <f t="shared" si="33"/>
        <v/>
      </c>
    </row>
    <row r="1071" spans="1:9" ht="30" customHeight="1" x14ac:dyDescent="0.35">
      <c r="A1071" t="s">
        <v>2182</v>
      </c>
      <c r="B1071" t="s">
        <v>2183</v>
      </c>
      <c r="C1071" t="s">
        <v>57</v>
      </c>
      <c r="D1071" t="s">
        <v>56</v>
      </c>
      <c r="E1071" s="2">
        <v>200834.49</v>
      </c>
      <c r="F1071" s="2"/>
      <c r="G1071" s="2"/>
      <c r="H1071" s="4" t="str">
        <f t="shared" si="32"/>
        <v/>
      </c>
      <c r="I1071" s="6" t="str">
        <f t="shared" si="33"/>
        <v/>
      </c>
    </row>
    <row r="1072" spans="1:9" ht="30" customHeight="1" x14ac:dyDescent="0.35">
      <c r="A1072" t="s">
        <v>2184</v>
      </c>
      <c r="B1072" t="s">
        <v>2185</v>
      </c>
      <c r="C1072" t="s">
        <v>29</v>
      </c>
      <c r="D1072" t="s">
        <v>28</v>
      </c>
      <c r="E1072" s="2">
        <v>110556.44</v>
      </c>
      <c r="F1072" s="2"/>
      <c r="G1072" s="2"/>
      <c r="H1072" s="4" t="str">
        <f t="shared" si="32"/>
        <v/>
      </c>
      <c r="I1072" s="6" t="str">
        <f t="shared" si="33"/>
        <v/>
      </c>
    </row>
    <row r="1073" spans="1:9" ht="30" customHeight="1" x14ac:dyDescent="0.35">
      <c r="A1073" t="s">
        <v>2186</v>
      </c>
      <c r="B1073" t="s">
        <v>2187</v>
      </c>
      <c r="C1073" t="s">
        <v>57</v>
      </c>
      <c r="D1073" t="s">
        <v>56</v>
      </c>
      <c r="E1073" s="2">
        <v>111907.57</v>
      </c>
      <c r="F1073" s="2"/>
      <c r="G1073" s="2"/>
      <c r="H1073" s="4" t="str">
        <f t="shared" ref="H1073:H1085" si="34">IF(ISBLANK(F1073),"",(F1073+G1073))</f>
        <v/>
      </c>
      <c r="I1073" s="6" t="str">
        <f t="shared" ref="I1073:I1086" si="35">IF(ISBLANK(F1073), "", E1073/H1073)</f>
        <v/>
      </c>
    </row>
    <row r="1074" spans="1:9" ht="30" customHeight="1" x14ac:dyDescent="0.35">
      <c r="A1074" t="s">
        <v>2188</v>
      </c>
      <c r="B1074" t="s">
        <v>2189</v>
      </c>
      <c r="C1074" t="s">
        <v>57</v>
      </c>
      <c r="D1074" t="s">
        <v>56</v>
      </c>
      <c r="E1074" s="2">
        <v>22800.42</v>
      </c>
      <c r="F1074" s="2"/>
      <c r="G1074" s="2"/>
      <c r="H1074" s="4" t="str">
        <f t="shared" si="34"/>
        <v/>
      </c>
      <c r="I1074" s="6" t="str">
        <f t="shared" si="35"/>
        <v/>
      </c>
    </row>
    <row r="1075" spans="1:9" ht="30" customHeight="1" x14ac:dyDescent="0.35">
      <c r="A1075" t="s">
        <v>2190</v>
      </c>
      <c r="B1075" t="s">
        <v>2191</v>
      </c>
      <c r="C1075" t="s">
        <v>109</v>
      </c>
      <c r="D1075" t="s">
        <v>108</v>
      </c>
      <c r="E1075" s="2">
        <v>188942.58</v>
      </c>
      <c r="F1075" s="2"/>
      <c r="G1075" s="2"/>
      <c r="H1075" s="4" t="str">
        <f t="shared" si="34"/>
        <v/>
      </c>
      <c r="I1075" s="6" t="str">
        <f t="shared" si="35"/>
        <v/>
      </c>
    </row>
    <row r="1076" spans="1:9" ht="30" customHeight="1" x14ac:dyDescent="0.35">
      <c r="A1076" t="s">
        <v>2192</v>
      </c>
      <c r="B1076" t="s">
        <v>2193</v>
      </c>
      <c r="C1076" t="s">
        <v>19</v>
      </c>
      <c r="D1076" t="s">
        <v>18</v>
      </c>
      <c r="E1076" s="2">
        <v>47990.37</v>
      </c>
      <c r="F1076" s="2">
        <v>226505.86</v>
      </c>
      <c r="G1076" s="2"/>
      <c r="H1076" s="4">
        <f t="shared" si="34"/>
        <v>226505.86</v>
      </c>
      <c r="I1076" s="6">
        <f t="shared" si="35"/>
        <v>0.21187253168637671</v>
      </c>
    </row>
    <row r="1077" spans="1:9" ht="30" customHeight="1" x14ac:dyDescent="0.35">
      <c r="A1077" t="s">
        <v>2194</v>
      </c>
      <c r="B1077" t="s">
        <v>2195</v>
      </c>
      <c r="C1077" t="s">
        <v>313</v>
      </c>
      <c r="D1077" t="s">
        <v>312</v>
      </c>
      <c r="E1077" s="2">
        <v>49183.94</v>
      </c>
      <c r="F1077" s="2"/>
      <c r="G1077" s="2"/>
      <c r="H1077" s="4" t="str">
        <f t="shared" si="34"/>
        <v/>
      </c>
      <c r="I1077" s="6" t="str">
        <f t="shared" si="35"/>
        <v/>
      </c>
    </row>
    <row r="1078" spans="1:9" ht="30" customHeight="1" x14ac:dyDescent="0.35">
      <c r="A1078" t="s">
        <v>2196</v>
      </c>
      <c r="B1078" t="s">
        <v>2197</v>
      </c>
      <c r="C1078" t="s">
        <v>77</v>
      </c>
      <c r="D1078" t="s">
        <v>76</v>
      </c>
      <c r="E1078" s="2">
        <v>228215.6</v>
      </c>
      <c r="F1078" s="2"/>
      <c r="G1078" s="2"/>
      <c r="H1078" s="4" t="str">
        <f t="shared" si="34"/>
        <v/>
      </c>
      <c r="I1078" s="6" t="str">
        <f t="shared" si="35"/>
        <v/>
      </c>
    </row>
    <row r="1079" spans="1:9" ht="30" customHeight="1" x14ac:dyDescent="0.35">
      <c r="A1079" t="s">
        <v>2198</v>
      </c>
      <c r="B1079" t="s">
        <v>2199</v>
      </c>
      <c r="C1079" t="s">
        <v>51</v>
      </c>
      <c r="D1079" t="s">
        <v>50</v>
      </c>
      <c r="E1079" s="2">
        <v>6857.42</v>
      </c>
      <c r="F1079" s="2"/>
      <c r="G1079" s="2"/>
      <c r="H1079" s="4" t="str">
        <f t="shared" si="34"/>
        <v/>
      </c>
      <c r="I1079" s="6" t="str">
        <f t="shared" si="35"/>
        <v/>
      </c>
    </row>
    <row r="1080" spans="1:9" ht="30" customHeight="1" x14ac:dyDescent="0.35">
      <c r="A1080" t="s">
        <v>2200</v>
      </c>
      <c r="B1080" t="s">
        <v>2201</v>
      </c>
      <c r="C1080" t="s">
        <v>51</v>
      </c>
      <c r="D1080" t="s">
        <v>50</v>
      </c>
      <c r="E1080" s="2">
        <v>89966.31</v>
      </c>
      <c r="F1080" s="2"/>
      <c r="G1080" s="2"/>
      <c r="H1080" s="4" t="str">
        <f t="shared" si="34"/>
        <v/>
      </c>
      <c r="I1080" s="6" t="str">
        <f t="shared" si="35"/>
        <v/>
      </c>
    </row>
    <row r="1081" spans="1:9" ht="30" customHeight="1" x14ac:dyDescent="0.35">
      <c r="A1081" t="s">
        <v>2202</v>
      </c>
      <c r="B1081" t="s">
        <v>2203</v>
      </c>
      <c r="C1081" t="s">
        <v>67</v>
      </c>
      <c r="D1081" t="s">
        <v>66</v>
      </c>
      <c r="E1081" s="2">
        <v>22067.15</v>
      </c>
      <c r="F1081" s="2"/>
      <c r="G1081" s="2"/>
      <c r="H1081" s="4" t="str">
        <f t="shared" si="34"/>
        <v/>
      </c>
      <c r="I1081" s="6" t="str">
        <f t="shared" si="35"/>
        <v/>
      </c>
    </row>
    <row r="1082" spans="1:9" ht="30" customHeight="1" x14ac:dyDescent="0.35">
      <c r="A1082" t="s">
        <v>2204</v>
      </c>
      <c r="B1082" t="s">
        <v>2205</v>
      </c>
      <c r="C1082" t="s">
        <v>57</v>
      </c>
      <c r="D1082" t="s">
        <v>56</v>
      </c>
      <c r="E1082" s="2">
        <v>115324.12</v>
      </c>
      <c r="F1082" s="2"/>
      <c r="G1082" s="2"/>
      <c r="H1082" s="4" t="str">
        <f t="shared" si="34"/>
        <v/>
      </c>
      <c r="I1082" s="6" t="str">
        <f t="shared" si="35"/>
        <v/>
      </c>
    </row>
    <row r="1083" spans="1:9" ht="30" customHeight="1" x14ac:dyDescent="0.35">
      <c r="A1083" t="s">
        <v>2206</v>
      </c>
      <c r="B1083" t="s">
        <v>2207</v>
      </c>
      <c r="C1083" t="s">
        <v>109</v>
      </c>
      <c r="D1083" t="s">
        <v>108</v>
      </c>
      <c r="E1083" s="2">
        <v>61632.95</v>
      </c>
      <c r="F1083" s="2"/>
      <c r="G1083" s="2"/>
      <c r="H1083" s="4" t="str">
        <f t="shared" si="34"/>
        <v/>
      </c>
      <c r="I1083" s="6" t="str">
        <f t="shared" si="35"/>
        <v/>
      </c>
    </row>
    <row r="1084" spans="1:9" ht="30" customHeight="1" x14ac:dyDescent="0.35">
      <c r="A1084" t="s">
        <v>2208</v>
      </c>
      <c r="B1084" t="s">
        <v>2209</v>
      </c>
      <c r="C1084" t="s">
        <v>67</v>
      </c>
      <c r="D1084" t="s">
        <v>66</v>
      </c>
      <c r="E1084" s="2">
        <v>89189.51</v>
      </c>
      <c r="F1084" s="2"/>
      <c r="G1084" s="2"/>
      <c r="H1084" s="4" t="str">
        <f t="shared" si="34"/>
        <v/>
      </c>
      <c r="I1084" s="6" t="str">
        <f t="shared" si="35"/>
        <v/>
      </c>
    </row>
    <row r="1085" spans="1:9" ht="30" customHeight="1" x14ac:dyDescent="0.35">
      <c r="A1085" t="s">
        <v>2210</v>
      </c>
      <c r="B1085" t="s">
        <v>2211</v>
      </c>
      <c r="C1085" t="s">
        <v>77</v>
      </c>
      <c r="D1085" t="s">
        <v>76</v>
      </c>
      <c r="E1085" s="2">
        <v>367433.88</v>
      </c>
      <c r="F1085" s="2"/>
      <c r="G1085" s="2"/>
      <c r="H1085" s="4" t="str">
        <f t="shared" si="34"/>
        <v/>
      </c>
      <c r="I1085" s="6" t="str">
        <f t="shared" si="35"/>
        <v/>
      </c>
    </row>
    <row r="1086" spans="1:9" ht="30" customHeight="1" x14ac:dyDescent="0.35">
      <c r="A1086" s="1" t="s">
        <v>2389</v>
      </c>
      <c r="E1086" s="12">
        <f>SUM(E2:E1085)</f>
        <v>567006416.90000045</v>
      </c>
      <c r="F1086" s="12">
        <f t="shared" ref="F1086:H1086" si="36">SUM(F2:F1085)</f>
        <v>541523310.74999976</v>
      </c>
      <c r="G1086" s="12">
        <f t="shared" si="36"/>
        <v>109218078.69999993</v>
      </c>
      <c r="H1086" s="12">
        <f t="shared" si="36"/>
        <v>650803389.450001</v>
      </c>
      <c r="I1086" s="6">
        <f t="shared" si="35"/>
        <v>0.87124072506626304</v>
      </c>
    </row>
  </sheetData>
  <autoFilter ref="A1:I1074" xr:uid="{C5AF4B04-7EBD-4C7A-87AD-8D18B46B7AC0}"/>
  <conditionalFormatting sqref="A1:A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B6E3-7B57-4EC3-9B09-F15B7B06F348}">
  <dimension ref="A1:L2159"/>
  <sheetViews>
    <sheetView workbookViewId="0">
      <pane ySplit="1" topLeftCell="A1082" activePane="bottomLeft" state="frozen"/>
      <selection activeCell="B124" sqref="B124"/>
      <selection pane="bottomLeft" activeCell="B124" sqref="B124"/>
    </sheetView>
  </sheetViews>
  <sheetFormatPr defaultRowHeight="30" customHeight="1" x14ac:dyDescent="0.35"/>
  <cols>
    <col min="1" max="1" width="10.81640625" customWidth="1"/>
    <col min="2" max="2" width="24.81640625" customWidth="1"/>
    <col min="4" max="4" width="21" customWidth="1"/>
    <col min="5" max="7" width="14.54296875" customWidth="1"/>
    <col min="8" max="8" width="14" style="8" customWidth="1"/>
    <col min="9" max="9" width="11.453125" style="10" customWidth="1"/>
  </cols>
  <sheetData>
    <row r="1" spans="1:12" s="1" customFormat="1" ht="61.5" customHeight="1" x14ac:dyDescent="0.35">
      <c r="A1" s="3" t="s">
        <v>0</v>
      </c>
      <c r="B1" s="3" t="s">
        <v>1</v>
      </c>
      <c r="C1" s="3" t="s">
        <v>3</v>
      </c>
      <c r="D1" s="3" t="s">
        <v>2</v>
      </c>
      <c r="E1" s="3" t="s">
        <v>7</v>
      </c>
      <c r="F1" s="3" t="s">
        <v>2212</v>
      </c>
      <c r="G1" s="3" t="s">
        <v>2213</v>
      </c>
      <c r="H1" s="7" t="s">
        <v>2219</v>
      </c>
      <c r="I1" s="9" t="s">
        <v>2218</v>
      </c>
      <c r="J1" s="3"/>
      <c r="K1" s="3"/>
      <c r="L1" s="3"/>
    </row>
    <row r="2" spans="1:12" ht="30" customHeight="1" x14ac:dyDescent="0.35">
      <c r="A2" t="s">
        <v>8</v>
      </c>
      <c r="B2" t="s">
        <v>9</v>
      </c>
      <c r="C2" t="s">
        <v>11</v>
      </c>
      <c r="D2" t="s">
        <v>10</v>
      </c>
      <c r="E2" s="2">
        <v>34935883.810000002</v>
      </c>
      <c r="F2" s="2">
        <v>766345.83</v>
      </c>
      <c r="G2" s="2">
        <v>600000</v>
      </c>
      <c r="H2" s="8">
        <f t="shared" ref="H2:H65" si="0">IF(ISBLANK(F2), "",(F2+G2))</f>
        <v>1366345.83</v>
      </c>
      <c r="I2" s="10">
        <f>IF(ISBLANK(F2), "", E2/H2)</f>
        <v>25.568844316669082</v>
      </c>
      <c r="J2" s="2"/>
      <c r="K2" s="2"/>
      <c r="L2" s="2"/>
    </row>
    <row r="3" spans="1:12" ht="30" customHeight="1" x14ac:dyDescent="0.35">
      <c r="A3" t="s">
        <v>12</v>
      </c>
      <c r="B3" t="s">
        <v>13</v>
      </c>
      <c r="C3" t="s">
        <v>15</v>
      </c>
      <c r="D3" t="s">
        <v>14</v>
      </c>
      <c r="E3" s="2">
        <v>132546.60999999999</v>
      </c>
      <c r="F3" s="2">
        <v>862284.42</v>
      </c>
      <c r="G3" s="2">
        <v>350000</v>
      </c>
      <c r="H3" s="8">
        <f t="shared" si="0"/>
        <v>1212284.42</v>
      </c>
      <c r="I3" s="10">
        <f t="shared" ref="I3:I65" si="1">IF(ISBLANK(F3), "", E3/H3)</f>
        <v>0.1093362315091041</v>
      </c>
      <c r="J3" s="2"/>
      <c r="K3" s="2"/>
      <c r="L3" s="2"/>
    </row>
    <row r="4" spans="1:12" ht="30" customHeight="1" x14ac:dyDescent="0.35">
      <c r="A4" t="s">
        <v>16</v>
      </c>
      <c r="B4" t="s">
        <v>17</v>
      </c>
      <c r="C4" t="s">
        <v>19</v>
      </c>
      <c r="D4" t="s">
        <v>18</v>
      </c>
      <c r="E4" s="2">
        <v>23748.959999999999</v>
      </c>
      <c r="F4" s="2"/>
      <c r="G4" s="2"/>
      <c r="H4" s="8" t="str">
        <f t="shared" si="0"/>
        <v/>
      </c>
      <c r="I4" s="10" t="str">
        <f t="shared" si="1"/>
        <v/>
      </c>
      <c r="J4" s="2"/>
      <c r="K4" s="2"/>
      <c r="L4" s="2"/>
    </row>
    <row r="5" spans="1:12" ht="30" customHeight="1" x14ac:dyDescent="0.35">
      <c r="A5" t="s">
        <v>20</v>
      </c>
      <c r="B5" t="s">
        <v>21</v>
      </c>
      <c r="C5" t="s">
        <v>23</v>
      </c>
      <c r="D5" t="s">
        <v>22</v>
      </c>
      <c r="E5" s="2">
        <v>0</v>
      </c>
      <c r="F5" s="2"/>
      <c r="G5" s="2"/>
      <c r="H5" s="8" t="str">
        <f t="shared" si="0"/>
        <v/>
      </c>
      <c r="I5" s="10" t="str">
        <f t="shared" si="1"/>
        <v/>
      </c>
      <c r="J5" s="2"/>
      <c r="K5" s="2"/>
      <c r="L5" s="2"/>
    </row>
    <row r="6" spans="1:12" ht="30" customHeight="1" x14ac:dyDescent="0.35">
      <c r="A6" t="s">
        <v>24</v>
      </c>
      <c r="B6" t="s">
        <v>25</v>
      </c>
      <c r="C6" t="s">
        <v>19</v>
      </c>
      <c r="D6" t="s">
        <v>18</v>
      </c>
      <c r="E6" s="2">
        <v>220739.22</v>
      </c>
      <c r="F6" s="2"/>
      <c r="G6" s="2"/>
      <c r="H6" s="8" t="str">
        <f t="shared" si="0"/>
        <v/>
      </c>
      <c r="I6" s="10" t="str">
        <f t="shared" si="1"/>
        <v/>
      </c>
      <c r="J6" s="2"/>
      <c r="K6" s="2"/>
      <c r="L6" s="2"/>
    </row>
    <row r="7" spans="1:12" ht="30" customHeight="1" x14ac:dyDescent="0.35">
      <c r="A7" t="s">
        <v>26</v>
      </c>
      <c r="B7" t="s">
        <v>27</v>
      </c>
      <c r="C7" t="s">
        <v>29</v>
      </c>
      <c r="D7" t="s">
        <v>28</v>
      </c>
      <c r="E7" s="2">
        <v>32628.17</v>
      </c>
      <c r="F7" s="2"/>
      <c r="G7" s="2"/>
      <c r="H7" s="8" t="str">
        <f t="shared" si="0"/>
        <v/>
      </c>
      <c r="I7" s="10" t="str">
        <f t="shared" si="1"/>
        <v/>
      </c>
      <c r="J7" s="2"/>
      <c r="K7" s="2"/>
      <c r="L7" s="2"/>
    </row>
    <row r="8" spans="1:12" ht="30" customHeight="1" x14ac:dyDescent="0.35">
      <c r="A8" t="s">
        <v>30</v>
      </c>
      <c r="B8" t="s">
        <v>31</v>
      </c>
      <c r="C8" t="s">
        <v>33</v>
      </c>
      <c r="D8" t="s">
        <v>32</v>
      </c>
      <c r="E8" s="2">
        <v>728264.62</v>
      </c>
      <c r="F8" s="2"/>
      <c r="G8" s="2"/>
      <c r="H8" s="8" t="str">
        <f t="shared" si="0"/>
        <v/>
      </c>
      <c r="I8" s="10" t="str">
        <f t="shared" si="1"/>
        <v/>
      </c>
      <c r="J8" s="2"/>
      <c r="K8" s="2"/>
      <c r="L8" s="2"/>
    </row>
    <row r="9" spans="1:12" ht="30" customHeight="1" x14ac:dyDescent="0.35">
      <c r="A9" t="s">
        <v>34</v>
      </c>
      <c r="B9" t="s">
        <v>35</v>
      </c>
      <c r="C9" t="s">
        <v>19</v>
      </c>
      <c r="D9" t="s">
        <v>18</v>
      </c>
      <c r="E9" s="2">
        <v>233583.99</v>
      </c>
      <c r="F9" s="2"/>
      <c r="G9" s="2"/>
      <c r="H9" s="8" t="str">
        <f t="shared" si="0"/>
        <v/>
      </c>
      <c r="I9" s="10" t="str">
        <f t="shared" si="1"/>
        <v/>
      </c>
      <c r="J9" s="2"/>
      <c r="K9" s="2"/>
      <c r="L9" s="2"/>
    </row>
    <row r="10" spans="1:12" ht="30" customHeight="1" x14ac:dyDescent="0.35">
      <c r="A10" t="s">
        <v>36</v>
      </c>
      <c r="B10" t="s">
        <v>37</v>
      </c>
      <c r="C10" t="s">
        <v>29</v>
      </c>
      <c r="D10" t="s">
        <v>28</v>
      </c>
      <c r="E10" s="2">
        <v>5961.65</v>
      </c>
      <c r="F10" s="2"/>
      <c r="G10" s="2"/>
      <c r="H10" s="8" t="str">
        <f t="shared" si="0"/>
        <v/>
      </c>
      <c r="I10" s="10" t="str">
        <f t="shared" si="1"/>
        <v/>
      </c>
      <c r="J10" s="2"/>
      <c r="K10" s="2"/>
      <c r="L10" s="2"/>
    </row>
    <row r="11" spans="1:12" ht="30" customHeight="1" x14ac:dyDescent="0.35">
      <c r="A11" t="s">
        <v>38</v>
      </c>
      <c r="B11" t="s">
        <v>39</v>
      </c>
      <c r="C11" t="s">
        <v>41</v>
      </c>
      <c r="D11" t="s">
        <v>40</v>
      </c>
      <c r="E11" s="2">
        <v>45089.47</v>
      </c>
      <c r="F11" s="2"/>
      <c r="G11" s="2"/>
      <c r="H11" s="8" t="str">
        <f t="shared" si="0"/>
        <v/>
      </c>
      <c r="I11" s="10" t="str">
        <f t="shared" si="1"/>
        <v/>
      </c>
      <c r="J11" s="2"/>
      <c r="K11" s="2"/>
      <c r="L11" s="2"/>
    </row>
    <row r="12" spans="1:12" ht="30" customHeight="1" x14ac:dyDescent="0.35">
      <c r="A12" t="s">
        <v>42</v>
      </c>
      <c r="B12" t="s">
        <v>43</v>
      </c>
      <c r="C12" t="s">
        <v>45</v>
      </c>
      <c r="D12" t="s">
        <v>44</v>
      </c>
      <c r="E12" s="2">
        <v>181111.2</v>
      </c>
      <c r="F12" s="2"/>
      <c r="G12" s="2"/>
      <c r="H12" s="8" t="str">
        <f t="shared" si="0"/>
        <v/>
      </c>
      <c r="I12" s="10" t="str">
        <f t="shared" si="1"/>
        <v/>
      </c>
      <c r="J12" s="2"/>
      <c r="K12" s="2"/>
      <c r="L12" s="2"/>
    </row>
    <row r="13" spans="1:12" ht="30" customHeight="1" x14ac:dyDescent="0.35">
      <c r="A13" t="s">
        <v>46</v>
      </c>
      <c r="B13" t="s">
        <v>47</v>
      </c>
      <c r="C13" t="s">
        <v>29</v>
      </c>
      <c r="D13" t="s">
        <v>28</v>
      </c>
      <c r="E13" s="2">
        <v>2030.78</v>
      </c>
      <c r="F13" s="2"/>
      <c r="G13" s="2"/>
      <c r="H13" s="8" t="str">
        <f t="shared" si="0"/>
        <v/>
      </c>
      <c r="I13" s="10" t="str">
        <f t="shared" si="1"/>
        <v/>
      </c>
      <c r="J13" s="2"/>
      <c r="K13" s="2"/>
      <c r="L13" s="2"/>
    </row>
    <row r="14" spans="1:12" ht="30" customHeight="1" x14ac:dyDescent="0.35">
      <c r="A14" t="s">
        <v>48</v>
      </c>
      <c r="B14" t="s">
        <v>49</v>
      </c>
      <c r="C14" t="s">
        <v>51</v>
      </c>
      <c r="D14" t="s">
        <v>50</v>
      </c>
      <c r="E14" s="2">
        <v>35284.800000000003</v>
      </c>
      <c r="F14" s="2">
        <v>485089.91</v>
      </c>
      <c r="G14" s="2">
        <v>792.07</v>
      </c>
      <c r="H14" s="8">
        <f t="shared" si="0"/>
        <v>485881.98</v>
      </c>
      <c r="I14" s="10">
        <f t="shared" si="1"/>
        <v>7.2620104166036384E-2</v>
      </c>
      <c r="J14" s="2"/>
      <c r="K14" s="2"/>
      <c r="L14" s="2"/>
    </row>
    <row r="15" spans="1:12" ht="30" customHeight="1" x14ac:dyDescent="0.35">
      <c r="A15" t="s">
        <v>52</v>
      </c>
      <c r="B15" t="s">
        <v>53</v>
      </c>
      <c r="C15" t="s">
        <v>19</v>
      </c>
      <c r="D15" t="s">
        <v>18</v>
      </c>
      <c r="E15" s="2">
        <v>3565.5</v>
      </c>
      <c r="F15" s="2"/>
      <c r="G15" s="2"/>
      <c r="H15" s="8" t="str">
        <f t="shared" si="0"/>
        <v/>
      </c>
      <c r="I15" s="10" t="str">
        <f t="shared" si="1"/>
        <v/>
      </c>
      <c r="J15" s="2"/>
      <c r="K15" s="2"/>
      <c r="L15" s="2"/>
    </row>
    <row r="16" spans="1:12" ht="30" customHeight="1" x14ac:dyDescent="0.35">
      <c r="A16" t="s">
        <v>54</v>
      </c>
      <c r="B16" t="s">
        <v>55</v>
      </c>
      <c r="C16" t="s">
        <v>57</v>
      </c>
      <c r="D16" t="s">
        <v>56</v>
      </c>
      <c r="E16" s="2">
        <v>11513.41</v>
      </c>
      <c r="F16" s="2">
        <v>336101.06</v>
      </c>
      <c r="G16" s="2">
        <v>30023.39</v>
      </c>
      <c r="H16" s="8">
        <f t="shared" si="0"/>
        <v>366124.45</v>
      </c>
      <c r="I16" s="10">
        <f t="shared" si="1"/>
        <v>3.1446711630430578E-2</v>
      </c>
      <c r="J16" s="2"/>
      <c r="K16" s="2"/>
      <c r="L16" s="2"/>
    </row>
    <row r="17" spans="1:12" ht="30" customHeight="1" x14ac:dyDescent="0.35">
      <c r="A17" t="s">
        <v>58</v>
      </c>
      <c r="B17" t="s">
        <v>59</v>
      </c>
      <c r="C17" t="s">
        <v>41</v>
      </c>
      <c r="D17" t="s">
        <v>40</v>
      </c>
      <c r="E17" s="2">
        <v>1277.31</v>
      </c>
      <c r="F17" s="2">
        <v>482761.36</v>
      </c>
      <c r="G17" s="2">
        <v>17238.64</v>
      </c>
      <c r="H17" s="8">
        <f t="shared" si="0"/>
        <v>500000</v>
      </c>
      <c r="I17" s="10">
        <f t="shared" si="1"/>
        <v>2.5546200000000001E-3</v>
      </c>
      <c r="J17" s="2"/>
      <c r="K17" s="2"/>
      <c r="L17" s="2"/>
    </row>
    <row r="18" spans="1:12" ht="30" customHeight="1" x14ac:dyDescent="0.35">
      <c r="A18" t="s">
        <v>60</v>
      </c>
      <c r="B18" t="s">
        <v>61</v>
      </c>
      <c r="C18" t="s">
        <v>19</v>
      </c>
      <c r="D18" t="s">
        <v>18</v>
      </c>
      <c r="E18" s="2">
        <v>8144.99</v>
      </c>
      <c r="F18" s="2">
        <v>222662.45</v>
      </c>
      <c r="G18" s="2"/>
      <c r="H18" s="8">
        <f t="shared" si="0"/>
        <v>222662.45</v>
      </c>
      <c r="I18" s="10">
        <f t="shared" si="1"/>
        <v>3.6579989127039601E-2</v>
      </c>
      <c r="J18" s="2"/>
      <c r="K18" s="2"/>
      <c r="L18" s="2"/>
    </row>
    <row r="19" spans="1:12" ht="30" customHeight="1" x14ac:dyDescent="0.35">
      <c r="A19" t="s">
        <v>62</v>
      </c>
      <c r="B19" t="s">
        <v>63</v>
      </c>
      <c r="C19" t="s">
        <v>51</v>
      </c>
      <c r="D19" t="s">
        <v>50</v>
      </c>
      <c r="E19" s="2">
        <v>336.65</v>
      </c>
      <c r="F19" s="2">
        <v>53824.25</v>
      </c>
      <c r="G19" s="2"/>
      <c r="H19" s="8">
        <f t="shared" si="0"/>
        <v>53824.25</v>
      </c>
      <c r="I19" s="10">
        <f t="shared" si="1"/>
        <v>6.2546157168934073E-3</v>
      </c>
      <c r="J19" s="2"/>
      <c r="K19" s="2"/>
      <c r="L19" s="2"/>
    </row>
    <row r="20" spans="1:12" ht="30" customHeight="1" x14ac:dyDescent="0.35">
      <c r="A20" t="s">
        <v>64</v>
      </c>
      <c r="B20" t="s">
        <v>65</v>
      </c>
      <c r="C20" t="s">
        <v>67</v>
      </c>
      <c r="D20" t="s">
        <v>66</v>
      </c>
      <c r="E20" s="2">
        <v>147015.10999999999</v>
      </c>
      <c r="F20" s="2"/>
      <c r="G20" s="2"/>
      <c r="H20" s="8" t="str">
        <f t="shared" si="0"/>
        <v/>
      </c>
      <c r="I20" s="10" t="str">
        <f t="shared" si="1"/>
        <v/>
      </c>
      <c r="J20" s="2"/>
      <c r="K20" s="2"/>
      <c r="L20" s="2"/>
    </row>
    <row r="21" spans="1:12" ht="30" customHeight="1" x14ac:dyDescent="0.35">
      <c r="A21" t="s">
        <v>68</v>
      </c>
      <c r="B21" t="s">
        <v>69</v>
      </c>
      <c r="C21" t="s">
        <v>33</v>
      </c>
      <c r="D21" t="s">
        <v>32</v>
      </c>
      <c r="E21" s="2">
        <v>196.9</v>
      </c>
      <c r="F21" s="2"/>
      <c r="G21" s="2"/>
      <c r="H21" s="8" t="str">
        <f t="shared" si="0"/>
        <v/>
      </c>
      <c r="I21" s="10" t="str">
        <f t="shared" si="1"/>
        <v/>
      </c>
      <c r="J21" s="2"/>
      <c r="K21" s="2"/>
      <c r="L21" s="2"/>
    </row>
    <row r="22" spans="1:12" ht="30" customHeight="1" x14ac:dyDescent="0.35">
      <c r="A22" t="s">
        <v>70</v>
      </c>
      <c r="B22" t="s">
        <v>71</v>
      </c>
      <c r="C22" t="s">
        <v>73</v>
      </c>
      <c r="D22" t="s">
        <v>72</v>
      </c>
      <c r="E22" s="2">
        <v>109106.1</v>
      </c>
      <c r="F22" s="2"/>
      <c r="G22" s="2"/>
      <c r="H22" s="8" t="str">
        <f t="shared" si="0"/>
        <v/>
      </c>
      <c r="I22" s="10" t="str">
        <f t="shared" si="1"/>
        <v/>
      </c>
      <c r="J22" s="2"/>
      <c r="K22" s="2"/>
      <c r="L22" s="2"/>
    </row>
    <row r="23" spans="1:12" ht="30" customHeight="1" x14ac:dyDescent="0.35">
      <c r="A23" t="s">
        <v>74</v>
      </c>
      <c r="B23" t="s">
        <v>75</v>
      </c>
      <c r="C23" t="s">
        <v>77</v>
      </c>
      <c r="D23" t="s">
        <v>76</v>
      </c>
      <c r="E23" s="2">
        <v>66169.490000000005</v>
      </c>
      <c r="F23" s="2"/>
      <c r="G23" s="2"/>
      <c r="H23" s="8" t="str">
        <f t="shared" si="0"/>
        <v/>
      </c>
      <c r="I23" s="10" t="str">
        <f t="shared" si="1"/>
        <v/>
      </c>
      <c r="J23" s="2"/>
      <c r="K23" s="2"/>
      <c r="L23" s="2"/>
    </row>
    <row r="24" spans="1:12" ht="30" customHeight="1" x14ac:dyDescent="0.35">
      <c r="A24" t="s">
        <v>78</v>
      </c>
      <c r="B24" t="s">
        <v>79</v>
      </c>
      <c r="C24" t="s">
        <v>33</v>
      </c>
      <c r="D24" t="s">
        <v>32</v>
      </c>
      <c r="E24" s="2">
        <v>184605.58</v>
      </c>
      <c r="F24" s="2"/>
      <c r="G24" s="2"/>
      <c r="H24" s="8" t="str">
        <f t="shared" si="0"/>
        <v/>
      </c>
      <c r="I24" s="10" t="str">
        <f t="shared" si="1"/>
        <v/>
      </c>
      <c r="J24" s="2"/>
      <c r="K24" s="2"/>
      <c r="L24" s="2"/>
    </row>
    <row r="25" spans="1:12" ht="30" customHeight="1" x14ac:dyDescent="0.35">
      <c r="A25" t="s">
        <v>80</v>
      </c>
      <c r="B25" t="s">
        <v>81</v>
      </c>
      <c r="C25" t="s">
        <v>33</v>
      </c>
      <c r="D25" t="s">
        <v>32</v>
      </c>
      <c r="E25" s="2">
        <v>304204.7</v>
      </c>
      <c r="F25" s="2"/>
      <c r="G25" s="2"/>
      <c r="H25" s="8" t="str">
        <f t="shared" si="0"/>
        <v/>
      </c>
      <c r="I25" s="10" t="str">
        <f t="shared" si="1"/>
        <v/>
      </c>
      <c r="J25" s="2"/>
      <c r="K25" s="2"/>
      <c r="L25" s="2"/>
    </row>
    <row r="26" spans="1:12" ht="30" customHeight="1" x14ac:dyDescent="0.35">
      <c r="A26" t="s">
        <v>82</v>
      </c>
      <c r="B26" t="s">
        <v>83</v>
      </c>
      <c r="C26" t="s">
        <v>73</v>
      </c>
      <c r="D26" t="s">
        <v>72</v>
      </c>
      <c r="E26" s="2">
        <v>70705.06</v>
      </c>
      <c r="F26" s="2"/>
      <c r="G26" s="2"/>
      <c r="H26" s="8" t="str">
        <f t="shared" si="0"/>
        <v/>
      </c>
      <c r="I26" s="10" t="str">
        <f t="shared" si="1"/>
        <v/>
      </c>
      <c r="J26" s="2"/>
      <c r="K26" s="2"/>
      <c r="L26" s="2"/>
    </row>
    <row r="27" spans="1:12" ht="30" customHeight="1" x14ac:dyDescent="0.35">
      <c r="A27" t="s">
        <v>84</v>
      </c>
      <c r="B27" t="s">
        <v>85</v>
      </c>
      <c r="C27" t="s">
        <v>29</v>
      </c>
      <c r="D27" t="s">
        <v>28</v>
      </c>
      <c r="E27" s="2">
        <v>858</v>
      </c>
      <c r="F27" s="2"/>
      <c r="G27" s="2"/>
      <c r="H27" s="8" t="str">
        <f t="shared" si="0"/>
        <v/>
      </c>
      <c r="I27" s="10" t="str">
        <f t="shared" si="1"/>
        <v/>
      </c>
      <c r="J27" s="2"/>
      <c r="K27" s="2"/>
      <c r="L27" s="2"/>
    </row>
    <row r="28" spans="1:12" ht="30" customHeight="1" x14ac:dyDescent="0.35">
      <c r="A28" t="s">
        <v>86</v>
      </c>
      <c r="B28" t="s">
        <v>87</v>
      </c>
      <c r="C28" t="s">
        <v>73</v>
      </c>
      <c r="D28" t="s">
        <v>72</v>
      </c>
      <c r="E28" s="2">
        <v>3803.67</v>
      </c>
      <c r="F28" s="2"/>
      <c r="G28" s="2"/>
      <c r="H28" s="8" t="str">
        <f t="shared" si="0"/>
        <v/>
      </c>
      <c r="I28" s="10" t="str">
        <f t="shared" si="1"/>
        <v/>
      </c>
      <c r="J28" s="2"/>
      <c r="K28" s="2"/>
      <c r="L28" s="2"/>
    </row>
    <row r="29" spans="1:12" ht="30" customHeight="1" x14ac:dyDescent="0.35">
      <c r="A29" t="s">
        <v>88</v>
      </c>
      <c r="B29" t="s">
        <v>89</v>
      </c>
      <c r="C29" t="s">
        <v>19</v>
      </c>
      <c r="D29" t="s">
        <v>18</v>
      </c>
      <c r="E29" s="2">
        <v>2089.15</v>
      </c>
      <c r="F29" s="2"/>
      <c r="G29" s="2"/>
      <c r="H29" s="8" t="str">
        <f t="shared" si="0"/>
        <v/>
      </c>
      <c r="I29" s="10" t="str">
        <f t="shared" si="1"/>
        <v/>
      </c>
      <c r="J29" s="2"/>
      <c r="K29" s="2"/>
      <c r="L29" s="2"/>
    </row>
    <row r="30" spans="1:12" ht="30" customHeight="1" x14ac:dyDescent="0.35">
      <c r="A30" t="s">
        <v>90</v>
      </c>
      <c r="B30" t="s">
        <v>91</v>
      </c>
      <c r="C30" t="s">
        <v>29</v>
      </c>
      <c r="D30" t="s">
        <v>28</v>
      </c>
      <c r="E30" s="2">
        <v>2744.88</v>
      </c>
      <c r="F30" s="2">
        <v>42743.89</v>
      </c>
      <c r="G30" s="2"/>
      <c r="H30" s="8">
        <f t="shared" si="0"/>
        <v>42743.89</v>
      </c>
      <c r="I30" s="10">
        <f t="shared" si="1"/>
        <v>6.4216897432592124E-2</v>
      </c>
      <c r="J30" s="2"/>
      <c r="K30" s="2"/>
      <c r="L30" s="2"/>
    </row>
    <row r="31" spans="1:12" ht="30" customHeight="1" x14ac:dyDescent="0.35">
      <c r="A31" t="s">
        <v>92</v>
      </c>
      <c r="B31" t="s">
        <v>93</v>
      </c>
      <c r="C31" t="s">
        <v>29</v>
      </c>
      <c r="D31" t="s">
        <v>28</v>
      </c>
      <c r="E31" s="2">
        <v>8.0299999999999994</v>
      </c>
      <c r="F31" s="2"/>
      <c r="G31" s="2"/>
      <c r="H31" s="8" t="str">
        <f t="shared" si="0"/>
        <v/>
      </c>
      <c r="I31" s="10" t="str">
        <f t="shared" si="1"/>
        <v/>
      </c>
      <c r="J31" s="2"/>
      <c r="K31" s="2"/>
      <c r="L31" s="2"/>
    </row>
    <row r="32" spans="1:12" ht="30" customHeight="1" x14ac:dyDescent="0.35">
      <c r="A32" t="s">
        <v>94</v>
      </c>
      <c r="B32" t="s">
        <v>95</v>
      </c>
      <c r="C32" t="s">
        <v>19</v>
      </c>
      <c r="D32" t="s">
        <v>18</v>
      </c>
      <c r="E32" s="2">
        <v>776.89</v>
      </c>
      <c r="F32" s="2"/>
      <c r="G32" s="2"/>
      <c r="H32" s="8" t="str">
        <f t="shared" si="0"/>
        <v/>
      </c>
      <c r="I32" s="10" t="str">
        <f t="shared" si="1"/>
        <v/>
      </c>
      <c r="J32" s="2"/>
      <c r="K32" s="2"/>
      <c r="L32" s="2"/>
    </row>
    <row r="33" spans="1:12" ht="30" customHeight="1" x14ac:dyDescent="0.35">
      <c r="A33" t="s">
        <v>96</v>
      </c>
      <c r="B33" t="s">
        <v>97</v>
      </c>
      <c r="C33" t="s">
        <v>41</v>
      </c>
      <c r="D33" t="s">
        <v>40</v>
      </c>
      <c r="E33" s="2">
        <v>162676.32</v>
      </c>
      <c r="F33" s="2"/>
      <c r="G33" s="2"/>
      <c r="H33" s="8" t="str">
        <f t="shared" si="0"/>
        <v/>
      </c>
      <c r="I33" s="10" t="str">
        <f t="shared" si="1"/>
        <v/>
      </c>
      <c r="J33" s="2"/>
      <c r="K33" s="2"/>
      <c r="L33" s="2"/>
    </row>
    <row r="34" spans="1:12" ht="30" customHeight="1" x14ac:dyDescent="0.35">
      <c r="A34" t="s">
        <v>98</v>
      </c>
      <c r="B34" t="s">
        <v>99</v>
      </c>
      <c r="C34" t="s">
        <v>101</v>
      </c>
      <c r="D34" t="s">
        <v>100</v>
      </c>
      <c r="E34" s="2">
        <v>2115363.0499999998</v>
      </c>
      <c r="F34" s="2">
        <v>1720950.92</v>
      </c>
      <c r="G34" s="2"/>
      <c r="H34" s="8">
        <f t="shared" si="0"/>
        <v>1720950.92</v>
      </c>
      <c r="I34" s="10">
        <f t="shared" si="1"/>
        <v>1.2291826718684109</v>
      </c>
      <c r="J34" s="2"/>
      <c r="K34" s="2"/>
      <c r="L34" s="2"/>
    </row>
    <row r="35" spans="1:12" ht="30" customHeight="1" x14ac:dyDescent="0.35">
      <c r="A35" t="s">
        <v>102</v>
      </c>
      <c r="B35" t="s">
        <v>103</v>
      </c>
      <c r="C35" t="s">
        <v>101</v>
      </c>
      <c r="D35" t="s">
        <v>100</v>
      </c>
      <c r="E35" s="2">
        <v>583650.25</v>
      </c>
      <c r="F35" s="2"/>
      <c r="G35" s="2"/>
      <c r="H35" s="8" t="str">
        <f t="shared" si="0"/>
        <v/>
      </c>
      <c r="I35" s="10" t="str">
        <f t="shared" si="1"/>
        <v/>
      </c>
      <c r="J35" s="2"/>
      <c r="K35" s="2"/>
      <c r="L35" s="2"/>
    </row>
    <row r="36" spans="1:12" ht="30" customHeight="1" x14ac:dyDescent="0.35">
      <c r="A36" t="s">
        <v>104</v>
      </c>
      <c r="B36" t="s">
        <v>105</v>
      </c>
      <c r="C36" t="s">
        <v>29</v>
      </c>
      <c r="D36" t="s">
        <v>28</v>
      </c>
      <c r="E36" s="2">
        <v>37653.839999999997</v>
      </c>
      <c r="F36" s="2"/>
      <c r="G36" s="2"/>
      <c r="H36" s="8" t="str">
        <f t="shared" si="0"/>
        <v/>
      </c>
      <c r="I36" s="10" t="str">
        <f t="shared" si="1"/>
        <v/>
      </c>
      <c r="J36" s="2"/>
      <c r="K36" s="2"/>
      <c r="L36" s="2"/>
    </row>
    <row r="37" spans="1:12" ht="30" customHeight="1" x14ac:dyDescent="0.35">
      <c r="A37" t="s">
        <v>106</v>
      </c>
      <c r="B37" t="s">
        <v>107</v>
      </c>
      <c r="C37" t="s">
        <v>109</v>
      </c>
      <c r="D37" t="s">
        <v>108</v>
      </c>
      <c r="E37" s="2">
        <v>87576.48</v>
      </c>
      <c r="F37" s="2"/>
      <c r="G37" s="2"/>
      <c r="H37" s="8" t="str">
        <f t="shared" si="0"/>
        <v/>
      </c>
      <c r="I37" s="10" t="str">
        <f t="shared" si="1"/>
        <v/>
      </c>
      <c r="J37" s="2"/>
      <c r="K37" s="2"/>
      <c r="L37" s="2"/>
    </row>
    <row r="38" spans="1:12" ht="30" customHeight="1" x14ac:dyDescent="0.35">
      <c r="A38" t="s">
        <v>110</v>
      </c>
      <c r="B38" t="s">
        <v>111</v>
      </c>
      <c r="C38" t="s">
        <v>33</v>
      </c>
      <c r="D38" t="s">
        <v>32</v>
      </c>
      <c r="E38" s="2">
        <v>7765155</v>
      </c>
      <c r="F38" s="2"/>
      <c r="G38" s="2"/>
      <c r="H38" s="8" t="str">
        <f t="shared" si="0"/>
        <v/>
      </c>
      <c r="I38" s="10" t="str">
        <f t="shared" si="1"/>
        <v/>
      </c>
      <c r="J38" s="2"/>
      <c r="K38" s="2"/>
      <c r="L38" s="2"/>
    </row>
    <row r="39" spans="1:12" ht="30" customHeight="1" x14ac:dyDescent="0.35">
      <c r="A39" t="s">
        <v>112</v>
      </c>
      <c r="B39" t="s">
        <v>113</v>
      </c>
      <c r="C39" t="s">
        <v>15</v>
      </c>
      <c r="D39" t="s">
        <v>14</v>
      </c>
      <c r="E39" s="2">
        <v>212050.34</v>
      </c>
      <c r="F39" s="2">
        <v>0</v>
      </c>
      <c r="G39" s="2">
        <v>100000</v>
      </c>
      <c r="H39" s="8">
        <f t="shared" si="0"/>
        <v>100000</v>
      </c>
      <c r="I39" s="10">
        <f t="shared" si="1"/>
        <v>2.1205034</v>
      </c>
      <c r="J39" s="2"/>
      <c r="K39" s="2"/>
      <c r="L39" s="2"/>
    </row>
    <row r="40" spans="1:12" ht="30" customHeight="1" x14ac:dyDescent="0.35">
      <c r="A40" t="s">
        <v>114</v>
      </c>
      <c r="B40" t="s">
        <v>115</v>
      </c>
      <c r="C40" t="s">
        <v>19</v>
      </c>
      <c r="D40" t="s">
        <v>18</v>
      </c>
      <c r="E40" s="2">
        <v>340.65</v>
      </c>
      <c r="F40" s="2"/>
      <c r="G40" s="2"/>
      <c r="H40" s="8" t="str">
        <f t="shared" si="0"/>
        <v/>
      </c>
      <c r="I40" s="10" t="str">
        <f t="shared" si="1"/>
        <v/>
      </c>
      <c r="J40" s="2"/>
      <c r="K40" s="2"/>
      <c r="L40" s="2"/>
    </row>
    <row r="41" spans="1:12" ht="30" customHeight="1" x14ac:dyDescent="0.35">
      <c r="A41" t="s">
        <v>116</v>
      </c>
      <c r="B41" t="s">
        <v>117</v>
      </c>
      <c r="C41" t="s">
        <v>77</v>
      </c>
      <c r="D41" t="s">
        <v>76</v>
      </c>
      <c r="E41" s="2">
        <v>74.819999999999993</v>
      </c>
      <c r="F41" s="2">
        <v>0</v>
      </c>
      <c r="G41" s="2">
        <v>200000</v>
      </c>
      <c r="H41" s="8">
        <f t="shared" si="0"/>
        <v>200000</v>
      </c>
      <c r="I41" s="10">
        <f t="shared" si="1"/>
        <v>3.7409999999999999E-4</v>
      </c>
      <c r="J41" s="2"/>
      <c r="K41" s="2"/>
      <c r="L41" s="2"/>
    </row>
    <row r="42" spans="1:12" ht="30" customHeight="1" x14ac:dyDescent="0.35">
      <c r="A42" t="s">
        <v>118</v>
      </c>
      <c r="B42" t="s">
        <v>119</v>
      </c>
      <c r="C42" t="s">
        <v>121</v>
      </c>
      <c r="D42" t="s">
        <v>120</v>
      </c>
      <c r="E42" s="2">
        <v>324.43</v>
      </c>
      <c r="F42" s="2">
        <v>156927.92000000001</v>
      </c>
      <c r="G42" s="2"/>
      <c r="H42" s="8">
        <f t="shared" si="0"/>
        <v>156927.92000000001</v>
      </c>
      <c r="I42" s="10">
        <f t="shared" si="1"/>
        <v>2.0673822733392501E-3</v>
      </c>
      <c r="J42" s="2"/>
      <c r="K42" s="2"/>
      <c r="L42" s="2"/>
    </row>
    <row r="43" spans="1:12" ht="30" customHeight="1" x14ac:dyDescent="0.35">
      <c r="A43" t="s">
        <v>122</v>
      </c>
      <c r="B43" t="s">
        <v>123</v>
      </c>
      <c r="C43" t="s">
        <v>33</v>
      </c>
      <c r="D43" t="s">
        <v>32</v>
      </c>
      <c r="E43" s="2">
        <v>2880.32</v>
      </c>
      <c r="F43" s="2">
        <v>155718.07</v>
      </c>
      <c r="G43" s="2"/>
      <c r="H43" s="8">
        <f t="shared" si="0"/>
        <v>155718.07</v>
      </c>
      <c r="I43" s="10">
        <f t="shared" si="1"/>
        <v>1.8497018361452847E-2</v>
      </c>
      <c r="J43" s="2"/>
      <c r="K43" s="2"/>
      <c r="L43" s="2"/>
    </row>
    <row r="44" spans="1:12" ht="30" customHeight="1" x14ac:dyDescent="0.35">
      <c r="A44" t="s">
        <v>124</v>
      </c>
      <c r="B44" t="s">
        <v>125</v>
      </c>
      <c r="C44" t="s">
        <v>19</v>
      </c>
      <c r="D44" t="s">
        <v>18</v>
      </c>
      <c r="E44" s="2">
        <v>266.45</v>
      </c>
      <c r="F44" s="2">
        <v>226370.45</v>
      </c>
      <c r="G44" s="2">
        <v>28550</v>
      </c>
      <c r="H44" s="8">
        <f t="shared" si="0"/>
        <v>254920.45</v>
      </c>
      <c r="I44" s="10">
        <f t="shared" si="1"/>
        <v>1.0452280309406325E-3</v>
      </c>
      <c r="J44" s="2"/>
      <c r="K44" s="2"/>
      <c r="L44" s="2"/>
    </row>
    <row r="45" spans="1:12" ht="30" customHeight="1" x14ac:dyDescent="0.35">
      <c r="A45" t="s">
        <v>126</v>
      </c>
      <c r="B45" t="s">
        <v>127</v>
      </c>
      <c r="C45" t="s">
        <v>19</v>
      </c>
      <c r="D45" t="s">
        <v>18</v>
      </c>
      <c r="E45" s="2">
        <v>8301.4</v>
      </c>
      <c r="F45" s="2">
        <v>148580.03</v>
      </c>
      <c r="G45" s="2">
        <v>1300</v>
      </c>
      <c r="H45" s="8">
        <f t="shared" si="0"/>
        <v>149880.03</v>
      </c>
      <c r="I45" s="10">
        <f t="shared" si="1"/>
        <v>5.5386965161402756E-2</v>
      </c>
      <c r="J45" s="2"/>
      <c r="K45" s="2"/>
      <c r="L45" s="2"/>
    </row>
    <row r="46" spans="1:12" ht="30" customHeight="1" x14ac:dyDescent="0.35">
      <c r="A46" t="s">
        <v>128</v>
      </c>
      <c r="B46" t="s">
        <v>129</v>
      </c>
      <c r="C46" t="s">
        <v>57</v>
      </c>
      <c r="D46" t="s">
        <v>56</v>
      </c>
      <c r="E46" s="2">
        <v>12669.41</v>
      </c>
      <c r="F46" s="2">
        <v>141546.06</v>
      </c>
      <c r="G46" s="2"/>
      <c r="H46" s="8">
        <f t="shared" si="0"/>
        <v>141546.06</v>
      </c>
      <c r="I46" s="10">
        <f t="shared" si="1"/>
        <v>8.9507330687975353E-2</v>
      </c>
      <c r="J46" s="2"/>
      <c r="K46" s="2"/>
      <c r="L46" s="2"/>
    </row>
    <row r="47" spans="1:12" ht="30" customHeight="1" x14ac:dyDescent="0.35">
      <c r="A47" t="s">
        <v>130</v>
      </c>
      <c r="B47" t="s">
        <v>131</v>
      </c>
      <c r="C47" t="s">
        <v>19</v>
      </c>
      <c r="D47" t="s">
        <v>18</v>
      </c>
      <c r="E47" s="2">
        <v>1167.21</v>
      </c>
      <c r="F47" s="2">
        <v>141866.01</v>
      </c>
      <c r="G47" s="2"/>
      <c r="H47" s="8">
        <f t="shared" si="0"/>
        <v>141866.01</v>
      </c>
      <c r="I47" s="10">
        <f t="shared" si="1"/>
        <v>8.2275521811038463E-3</v>
      </c>
      <c r="J47" s="2"/>
      <c r="K47" s="2"/>
      <c r="L47" s="2"/>
    </row>
    <row r="48" spans="1:12" ht="30" customHeight="1" x14ac:dyDescent="0.35">
      <c r="A48" t="s">
        <v>132</v>
      </c>
      <c r="B48" t="s">
        <v>133</v>
      </c>
      <c r="C48" t="s">
        <v>51</v>
      </c>
      <c r="D48" t="s">
        <v>50</v>
      </c>
      <c r="E48" s="2">
        <v>2632.72</v>
      </c>
      <c r="F48" s="2">
        <v>136797.10999999999</v>
      </c>
      <c r="G48" s="2">
        <v>202.89</v>
      </c>
      <c r="H48" s="8">
        <f t="shared" si="0"/>
        <v>137000</v>
      </c>
      <c r="I48" s="10">
        <f t="shared" si="1"/>
        <v>1.9216934306569341E-2</v>
      </c>
      <c r="J48" s="2"/>
      <c r="K48" s="2"/>
      <c r="L48" s="2"/>
    </row>
    <row r="49" spans="1:12" ht="30" customHeight="1" x14ac:dyDescent="0.35">
      <c r="A49" t="s">
        <v>134</v>
      </c>
      <c r="B49" t="s">
        <v>135</v>
      </c>
      <c r="C49" t="s">
        <v>51</v>
      </c>
      <c r="D49" t="s">
        <v>50</v>
      </c>
      <c r="E49" s="2">
        <v>-49.42</v>
      </c>
      <c r="F49" s="2">
        <v>119187.9</v>
      </c>
      <c r="G49" s="2"/>
      <c r="H49" s="8">
        <f t="shared" si="0"/>
        <v>119187.9</v>
      </c>
      <c r="I49" s="10">
        <f t="shared" si="1"/>
        <v>-4.1463940551012311E-4</v>
      </c>
      <c r="J49" s="2"/>
      <c r="K49" s="2"/>
      <c r="L49" s="2"/>
    </row>
    <row r="50" spans="1:12" ht="30" customHeight="1" x14ac:dyDescent="0.35">
      <c r="A50" t="s">
        <v>136</v>
      </c>
      <c r="B50" t="s">
        <v>137</v>
      </c>
      <c r="C50" t="s">
        <v>51</v>
      </c>
      <c r="D50" t="s">
        <v>50</v>
      </c>
      <c r="E50" s="2">
        <v>58265.46</v>
      </c>
      <c r="F50" s="2"/>
      <c r="G50" s="2"/>
      <c r="H50" s="8" t="str">
        <f t="shared" si="0"/>
        <v/>
      </c>
      <c r="I50" s="10" t="str">
        <f t="shared" si="1"/>
        <v/>
      </c>
      <c r="J50" s="2"/>
      <c r="K50" s="2"/>
      <c r="L50" s="2"/>
    </row>
    <row r="51" spans="1:12" ht="30" customHeight="1" x14ac:dyDescent="0.35">
      <c r="A51" t="s">
        <v>138</v>
      </c>
      <c r="B51" t="s">
        <v>139</v>
      </c>
      <c r="C51" t="s">
        <v>77</v>
      </c>
      <c r="D51" t="s">
        <v>76</v>
      </c>
      <c r="E51" s="2">
        <v>102975.41</v>
      </c>
      <c r="F51" s="2"/>
      <c r="G51" s="2"/>
      <c r="H51" s="8" t="str">
        <f t="shared" si="0"/>
        <v/>
      </c>
      <c r="I51" s="10" t="str">
        <f t="shared" si="1"/>
        <v/>
      </c>
      <c r="J51" s="2"/>
      <c r="K51" s="2"/>
      <c r="L51" s="2"/>
    </row>
    <row r="52" spans="1:12" ht="30" customHeight="1" x14ac:dyDescent="0.35">
      <c r="A52" t="s">
        <v>140</v>
      </c>
      <c r="B52" t="s">
        <v>141</v>
      </c>
      <c r="C52" t="s">
        <v>57</v>
      </c>
      <c r="D52" t="s">
        <v>56</v>
      </c>
      <c r="E52" s="2">
        <v>20790.169999999998</v>
      </c>
      <c r="F52" s="2"/>
      <c r="G52" s="2"/>
      <c r="H52" s="8" t="str">
        <f t="shared" si="0"/>
        <v/>
      </c>
      <c r="I52" s="10" t="str">
        <f t="shared" si="1"/>
        <v/>
      </c>
      <c r="J52" s="2"/>
      <c r="K52" s="2"/>
      <c r="L52" s="2"/>
    </row>
    <row r="53" spans="1:12" ht="30" customHeight="1" x14ac:dyDescent="0.35">
      <c r="A53" t="s">
        <v>142</v>
      </c>
      <c r="B53" t="s">
        <v>143</v>
      </c>
      <c r="C53" t="s">
        <v>51</v>
      </c>
      <c r="D53" t="s">
        <v>50</v>
      </c>
      <c r="E53" s="2">
        <v>117597.7</v>
      </c>
      <c r="F53" s="2"/>
      <c r="G53" s="2"/>
      <c r="H53" s="8" t="str">
        <f t="shared" si="0"/>
        <v/>
      </c>
      <c r="I53" s="10" t="str">
        <f t="shared" si="1"/>
        <v/>
      </c>
      <c r="J53" s="2"/>
      <c r="K53" s="2"/>
      <c r="L53" s="2"/>
    </row>
    <row r="54" spans="1:12" ht="30" customHeight="1" x14ac:dyDescent="0.35">
      <c r="A54" t="s">
        <v>144</v>
      </c>
      <c r="B54" t="s">
        <v>145</v>
      </c>
      <c r="C54" t="s">
        <v>19</v>
      </c>
      <c r="D54" t="s">
        <v>18</v>
      </c>
      <c r="E54" s="2">
        <v>279866.38</v>
      </c>
      <c r="F54" s="2">
        <v>0</v>
      </c>
      <c r="G54" s="2">
        <v>2500</v>
      </c>
      <c r="H54" s="8">
        <f t="shared" si="0"/>
        <v>2500</v>
      </c>
      <c r="I54" s="10">
        <f t="shared" si="1"/>
        <v>111.946552</v>
      </c>
      <c r="J54" s="2"/>
      <c r="K54" s="2"/>
      <c r="L54" s="2"/>
    </row>
    <row r="55" spans="1:12" ht="30" customHeight="1" x14ac:dyDescent="0.35">
      <c r="A55" t="s">
        <v>146</v>
      </c>
      <c r="B55" t="s">
        <v>147</v>
      </c>
      <c r="C55" t="s">
        <v>19</v>
      </c>
      <c r="D55" t="s">
        <v>18</v>
      </c>
      <c r="E55" s="2">
        <v>348313.83</v>
      </c>
      <c r="F55" s="2">
        <v>0</v>
      </c>
      <c r="G55" s="2">
        <v>1000</v>
      </c>
      <c r="H55" s="8">
        <f t="shared" si="0"/>
        <v>1000</v>
      </c>
      <c r="I55" s="10">
        <f t="shared" si="1"/>
        <v>348.31383</v>
      </c>
      <c r="J55" s="2"/>
      <c r="K55" s="2"/>
      <c r="L55" s="2"/>
    </row>
    <row r="56" spans="1:12" ht="30" customHeight="1" x14ac:dyDescent="0.35">
      <c r="A56" t="s">
        <v>148</v>
      </c>
      <c r="B56" t="s">
        <v>149</v>
      </c>
      <c r="C56" t="s">
        <v>77</v>
      </c>
      <c r="D56" t="s">
        <v>76</v>
      </c>
      <c r="E56" s="2">
        <v>25548.93</v>
      </c>
      <c r="F56" s="2">
        <v>58402.04</v>
      </c>
      <c r="G56" s="2">
        <v>191597.96</v>
      </c>
      <c r="H56" s="8">
        <f t="shared" si="0"/>
        <v>250000</v>
      </c>
      <c r="I56" s="10">
        <f t="shared" si="1"/>
        <v>0.10219572</v>
      </c>
      <c r="J56" s="2"/>
      <c r="K56" s="2"/>
      <c r="L56" s="2"/>
    </row>
    <row r="57" spans="1:12" ht="30" customHeight="1" x14ac:dyDescent="0.35">
      <c r="A57" t="s">
        <v>150</v>
      </c>
      <c r="B57" t="s">
        <v>151</v>
      </c>
      <c r="C57" t="s">
        <v>19</v>
      </c>
      <c r="D57" t="s">
        <v>18</v>
      </c>
      <c r="E57" s="2">
        <v>10502.24</v>
      </c>
      <c r="F57" s="2"/>
      <c r="G57" s="2"/>
      <c r="H57" s="8" t="str">
        <f t="shared" si="0"/>
        <v/>
      </c>
      <c r="I57" s="10" t="str">
        <f t="shared" si="1"/>
        <v/>
      </c>
      <c r="J57" s="2"/>
      <c r="K57" s="2"/>
      <c r="L57" s="2"/>
    </row>
    <row r="58" spans="1:12" ht="30" customHeight="1" x14ac:dyDescent="0.35">
      <c r="A58" t="s">
        <v>152</v>
      </c>
      <c r="B58" t="s">
        <v>153</v>
      </c>
      <c r="C58" t="s">
        <v>109</v>
      </c>
      <c r="D58" t="s">
        <v>108</v>
      </c>
      <c r="E58" s="2">
        <v>116218.09</v>
      </c>
      <c r="F58" s="2"/>
      <c r="G58" s="2"/>
      <c r="H58" s="8" t="str">
        <f t="shared" si="0"/>
        <v/>
      </c>
      <c r="I58" s="10" t="str">
        <f t="shared" si="1"/>
        <v/>
      </c>
      <c r="J58" s="2"/>
      <c r="K58" s="2"/>
      <c r="L58" s="2"/>
    </row>
    <row r="59" spans="1:12" ht="30" customHeight="1" x14ac:dyDescent="0.35">
      <c r="A59" t="s">
        <v>154</v>
      </c>
      <c r="B59" t="s">
        <v>155</v>
      </c>
      <c r="C59" t="s">
        <v>51</v>
      </c>
      <c r="D59" t="s">
        <v>50</v>
      </c>
      <c r="E59" s="2">
        <v>326609.84000000003</v>
      </c>
      <c r="F59" s="2"/>
      <c r="G59" s="2"/>
      <c r="H59" s="8" t="str">
        <f t="shared" si="0"/>
        <v/>
      </c>
      <c r="I59" s="10" t="str">
        <f t="shared" si="1"/>
        <v/>
      </c>
      <c r="J59" s="2"/>
      <c r="K59" s="2"/>
      <c r="L59" s="2"/>
    </row>
    <row r="60" spans="1:12" ht="30" customHeight="1" x14ac:dyDescent="0.35">
      <c r="A60" t="s">
        <v>156</v>
      </c>
      <c r="B60" t="s">
        <v>157</v>
      </c>
      <c r="C60" t="s">
        <v>109</v>
      </c>
      <c r="D60" t="s">
        <v>108</v>
      </c>
      <c r="E60" s="2">
        <v>15879.7</v>
      </c>
      <c r="F60" s="2"/>
      <c r="G60" s="2"/>
      <c r="H60" s="8" t="str">
        <f t="shared" si="0"/>
        <v/>
      </c>
      <c r="I60" s="10" t="str">
        <f t="shared" si="1"/>
        <v/>
      </c>
      <c r="J60" s="2"/>
      <c r="K60" s="2"/>
      <c r="L60" s="2"/>
    </row>
    <row r="61" spans="1:12" ht="30" customHeight="1" x14ac:dyDescent="0.35">
      <c r="A61" t="s">
        <v>158</v>
      </c>
      <c r="B61" t="s">
        <v>159</v>
      </c>
      <c r="C61" t="s">
        <v>51</v>
      </c>
      <c r="D61" t="s">
        <v>50</v>
      </c>
      <c r="E61" s="2">
        <v>12260.82</v>
      </c>
      <c r="F61" s="2"/>
      <c r="G61" s="2"/>
      <c r="H61" s="8" t="str">
        <f t="shared" si="0"/>
        <v/>
      </c>
      <c r="I61" s="10" t="str">
        <f t="shared" si="1"/>
        <v/>
      </c>
      <c r="J61" s="2"/>
      <c r="K61" s="2"/>
      <c r="L61" s="2"/>
    </row>
    <row r="62" spans="1:12" ht="30" customHeight="1" x14ac:dyDescent="0.35">
      <c r="A62" t="s">
        <v>160</v>
      </c>
      <c r="B62" t="s">
        <v>161</v>
      </c>
      <c r="C62" t="s">
        <v>19</v>
      </c>
      <c r="D62" t="s">
        <v>18</v>
      </c>
      <c r="E62" s="2">
        <v>42897.24</v>
      </c>
      <c r="F62" s="2"/>
      <c r="G62" s="2"/>
      <c r="H62" s="8" t="str">
        <f t="shared" si="0"/>
        <v/>
      </c>
      <c r="I62" s="10" t="str">
        <f t="shared" si="1"/>
        <v/>
      </c>
      <c r="J62" s="2"/>
      <c r="K62" s="2"/>
      <c r="L62" s="2"/>
    </row>
    <row r="63" spans="1:12" ht="30" customHeight="1" x14ac:dyDescent="0.35">
      <c r="A63" t="s">
        <v>162</v>
      </c>
      <c r="B63" t="s">
        <v>163</v>
      </c>
      <c r="C63" t="s">
        <v>51</v>
      </c>
      <c r="D63" t="s">
        <v>50</v>
      </c>
      <c r="E63" s="2">
        <v>17714.96</v>
      </c>
      <c r="F63" s="2"/>
      <c r="G63" s="2"/>
      <c r="H63" s="8" t="str">
        <f t="shared" si="0"/>
        <v/>
      </c>
      <c r="I63" s="10" t="str">
        <f t="shared" si="1"/>
        <v/>
      </c>
      <c r="J63" s="2"/>
      <c r="K63" s="2"/>
      <c r="L63" s="2"/>
    </row>
    <row r="64" spans="1:12" ht="30" customHeight="1" x14ac:dyDescent="0.35">
      <c r="A64" t="s">
        <v>164</v>
      </c>
      <c r="B64" t="s">
        <v>165</v>
      </c>
      <c r="C64" t="s">
        <v>51</v>
      </c>
      <c r="D64" t="s">
        <v>50</v>
      </c>
      <c r="E64" s="2">
        <v>7651.16</v>
      </c>
      <c r="F64" s="2"/>
      <c r="G64" s="2"/>
      <c r="H64" s="8" t="str">
        <f t="shared" si="0"/>
        <v/>
      </c>
      <c r="I64" s="10" t="str">
        <f t="shared" si="1"/>
        <v/>
      </c>
      <c r="J64" s="2"/>
      <c r="K64" s="2"/>
      <c r="L64" s="2"/>
    </row>
    <row r="65" spans="1:12" ht="30" customHeight="1" x14ac:dyDescent="0.35">
      <c r="A65" t="s">
        <v>166</v>
      </c>
      <c r="B65" t="s">
        <v>167</v>
      </c>
      <c r="C65" t="s">
        <v>51</v>
      </c>
      <c r="D65" t="s">
        <v>50</v>
      </c>
      <c r="E65" s="2">
        <v>162371.88</v>
      </c>
      <c r="F65" s="2"/>
      <c r="G65" s="2"/>
      <c r="H65" s="8" t="str">
        <f t="shared" si="0"/>
        <v/>
      </c>
      <c r="I65" s="10" t="str">
        <f t="shared" si="1"/>
        <v/>
      </c>
      <c r="J65" s="2"/>
      <c r="K65" s="2"/>
      <c r="L65" s="2"/>
    </row>
    <row r="66" spans="1:12" ht="30" customHeight="1" x14ac:dyDescent="0.35">
      <c r="A66" t="s">
        <v>168</v>
      </c>
      <c r="B66" t="s">
        <v>169</v>
      </c>
      <c r="C66" t="s">
        <v>51</v>
      </c>
      <c r="D66" t="s">
        <v>50</v>
      </c>
      <c r="E66" s="2">
        <v>594.03</v>
      </c>
      <c r="F66" s="2"/>
      <c r="G66" s="2"/>
      <c r="H66" s="8" t="str">
        <f t="shared" ref="H66:H128" si="2">IF(ISBLANK(F66), "",(F66+G66))</f>
        <v/>
      </c>
      <c r="I66" s="10" t="str">
        <f t="shared" ref="I66:I128" si="3">IF(ISBLANK(F66), "", E66/H66)</f>
        <v/>
      </c>
      <c r="J66" s="2"/>
      <c r="K66" s="2"/>
      <c r="L66" s="2"/>
    </row>
    <row r="67" spans="1:12" ht="30" customHeight="1" x14ac:dyDescent="0.35">
      <c r="A67" t="s">
        <v>170</v>
      </c>
      <c r="B67" t="s">
        <v>171</v>
      </c>
      <c r="C67" t="s">
        <v>51</v>
      </c>
      <c r="D67" t="s">
        <v>50</v>
      </c>
      <c r="E67" s="2">
        <v>168879.53</v>
      </c>
      <c r="F67" s="2"/>
      <c r="G67" s="2"/>
      <c r="H67" s="8" t="str">
        <f t="shared" si="2"/>
        <v/>
      </c>
      <c r="I67" s="10" t="str">
        <f t="shared" si="3"/>
        <v/>
      </c>
      <c r="J67" s="2"/>
      <c r="K67" s="2"/>
      <c r="L67" s="2"/>
    </row>
    <row r="68" spans="1:12" ht="30" customHeight="1" x14ac:dyDescent="0.35">
      <c r="A68" t="s">
        <v>172</v>
      </c>
      <c r="B68" t="s">
        <v>173</v>
      </c>
      <c r="C68" t="s">
        <v>51</v>
      </c>
      <c r="D68" t="s">
        <v>50</v>
      </c>
      <c r="E68" s="2">
        <v>30638.37</v>
      </c>
      <c r="F68" s="2"/>
      <c r="G68" s="2"/>
      <c r="H68" s="8" t="str">
        <f t="shared" si="2"/>
        <v/>
      </c>
      <c r="I68" s="10" t="str">
        <f t="shared" si="3"/>
        <v/>
      </c>
      <c r="J68" s="2"/>
      <c r="K68" s="2"/>
      <c r="L68" s="2"/>
    </row>
    <row r="69" spans="1:12" ht="30" customHeight="1" x14ac:dyDescent="0.35">
      <c r="A69" t="s">
        <v>174</v>
      </c>
      <c r="B69" t="s">
        <v>175</v>
      </c>
      <c r="C69" t="s">
        <v>19</v>
      </c>
      <c r="D69" t="s">
        <v>18</v>
      </c>
      <c r="E69" s="2">
        <v>532.79999999999995</v>
      </c>
      <c r="F69" s="2"/>
      <c r="G69" s="2"/>
      <c r="H69" s="8" t="str">
        <f t="shared" si="2"/>
        <v/>
      </c>
      <c r="I69" s="10" t="str">
        <f t="shared" si="3"/>
        <v/>
      </c>
      <c r="J69" s="2"/>
      <c r="K69" s="2"/>
      <c r="L69" s="2"/>
    </row>
    <row r="70" spans="1:12" ht="30" customHeight="1" x14ac:dyDescent="0.35">
      <c r="A70" t="s">
        <v>176</v>
      </c>
      <c r="B70" t="s">
        <v>177</v>
      </c>
      <c r="C70" t="s">
        <v>51</v>
      </c>
      <c r="D70" t="s">
        <v>50</v>
      </c>
      <c r="E70" s="2">
        <v>175282.33</v>
      </c>
      <c r="F70" s="2"/>
      <c r="G70" s="2"/>
      <c r="H70" s="8" t="str">
        <f t="shared" si="2"/>
        <v/>
      </c>
      <c r="I70" s="10" t="str">
        <f t="shared" si="3"/>
        <v/>
      </c>
      <c r="J70" s="2"/>
      <c r="K70" s="2"/>
      <c r="L70" s="2"/>
    </row>
    <row r="71" spans="1:12" ht="30" customHeight="1" x14ac:dyDescent="0.35">
      <c r="A71" t="s">
        <v>178</v>
      </c>
      <c r="B71" t="s">
        <v>179</v>
      </c>
      <c r="C71" t="s">
        <v>57</v>
      </c>
      <c r="D71" t="s">
        <v>56</v>
      </c>
      <c r="E71" s="2">
        <v>2788352.45</v>
      </c>
      <c r="F71" s="2"/>
      <c r="G71" s="2"/>
      <c r="H71" s="8" t="str">
        <f t="shared" si="2"/>
        <v/>
      </c>
      <c r="I71" s="10" t="str">
        <f t="shared" si="3"/>
        <v/>
      </c>
      <c r="J71" s="2"/>
      <c r="K71" s="2"/>
      <c r="L71" s="2"/>
    </row>
    <row r="72" spans="1:12" ht="30" customHeight="1" x14ac:dyDescent="0.35">
      <c r="A72" t="s">
        <v>180</v>
      </c>
      <c r="B72" t="s">
        <v>181</v>
      </c>
      <c r="C72" t="s">
        <v>51</v>
      </c>
      <c r="D72" t="s">
        <v>50</v>
      </c>
      <c r="E72" s="2">
        <v>309766.27</v>
      </c>
      <c r="F72" s="2"/>
      <c r="G72" s="2"/>
      <c r="H72" s="8" t="str">
        <f t="shared" si="2"/>
        <v/>
      </c>
      <c r="I72" s="10" t="str">
        <f t="shared" si="3"/>
        <v/>
      </c>
      <c r="J72" s="2"/>
      <c r="K72" s="2"/>
      <c r="L72" s="2"/>
    </row>
    <row r="73" spans="1:12" ht="30" customHeight="1" x14ac:dyDescent="0.35">
      <c r="A73" t="s">
        <v>182</v>
      </c>
      <c r="B73" t="s">
        <v>183</v>
      </c>
      <c r="C73" t="s">
        <v>185</v>
      </c>
      <c r="D73" t="s">
        <v>184</v>
      </c>
      <c r="E73" s="2">
        <v>4051.15</v>
      </c>
      <c r="F73" s="2">
        <v>337979.48</v>
      </c>
      <c r="G73" s="2"/>
      <c r="H73" s="8">
        <f t="shared" si="2"/>
        <v>337979.48</v>
      </c>
      <c r="I73" s="10">
        <f t="shared" si="3"/>
        <v>1.1986378581326892E-2</v>
      </c>
      <c r="J73" s="2"/>
      <c r="K73" s="2"/>
      <c r="L73" s="2"/>
    </row>
    <row r="74" spans="1:12" ht="30" customHeight="1" x14ac:dyDescent="0.35">
      <c r="A74" t="s">
        <v>186</v>
      </c>
      <c r="B74" t="s">
        <v>187</v>
      </c>
      <c r="C74" t="s">
        <v>19</v>
      </c>
      <c r="D74" t="s">
        <v>18</v>
      </c>
      <c r="E74" s="2">
        <v>4371.33</v>
      </c>
      <c r="F74" s="2">
        <v>531420.26</v>
      </c>
      <c r="G74" s="2">
        <v>96079.74</v>
      </c>
      <c r="H74" s="8">
        <f t="shared" si="2"/>
        <v>627500</v>
      </c>
      <c r="I74" s="10">
        <f t="shared" si="3"/>
        <v>6.9662629482071716E-3</v>
      </c>
      <c r="J74" s="2"/>
      <c r="K74" s="2"/>
      <c r="L74" s="2"/>
    </row>
    <row r="75" spans="1:12" ht="30" customHeight="1" x14ac:dyDescent="0.35">
      <c r="A75" t="s">
        <v>188</v>
      </c>
      <c r="B75" t="s">
        <v>189</v>
      </c>
      <c r="C75" t="s">
        <v>77</v>
      </c>
      <c r="D75" t="s">
        <v>76</v>
      </c>
      <c r="E75" s="2">
        <v>12590.9</v>
      </c>
      <c r="F75" s="2">
        <v>256729.7</v>
      </c>
      <c r="G75" s="2">
        <v>583.91</v>
      </c>
      <c r="H75" s="8">
        <f t="shared" si="2"/>
        <v>257313.61000000002</v>
      </c>
      <c r="I75" s="10">
        <f t="shared" si="3"/>
        <v>4.8932118281656375E-2</v>
      </c>
      <c r="J75" s="2"/>
      <c r="K75" s="2"/>
      <c r="L75" s="2"/>
    </row>
    <row r="76" spans="1:12" ht="30" customHeight="1" x14ac:dyDescent="0.35">
      <c r="A76" t="s">
        <v>190</v>
      </c>
      <c r="B76" t="s">
        <v>191</v>
      </c>
      <c r="C76" t="s">
        <v>51</v>
      </c>
      <c r="D76" t="s">
        <v>50</v>
      </c>
      <c r="E76" s="2">
        <v>146273.39000000001</v>
      </c>
      <c r="F76" s="2"/>
      <c r="G76" s="2"/>
      <c r="H76" s="8" t="str">
        <f t="shared" si="2"/>
        <v/>
      </c>
      <c r="I76" s="10" t="str">
        <f t="shared" si="3"/>
        <v/>
      </c>
      <c r="J76" s="2"/>
      <c r="K76" s="2"/>
      <c r="L76" s="2"/>
    </row>
    <row r="77" spans="1:12" ht="30" customHeight="1" x14ac:dyDescent="0.35">
      <c r="A77" t="s">
        <v>192</v>
      </c>
      <c r="B77" t="s">
        <v>193</v>
      </c>
      <c r="C77" t="s">
        <v>15</v>
      </c>
      <c r="D77" t="s">
        <v>14</v>
      </c>
      <c r="E77" s="2">
        <v>1619572.34</v>
      </c>
      <c r="F77" s="2">
        <v>206761</v>
      </c>
      <c r="G77" s="2">
        <v>294239</v>
      </c>
      <c r="H77" s="8">
        <v>794239</v>
      </c>
      <c r="I77" s="10">
        <f t="shared" si="3"/>
        <v>2.0391498528780381</v>
      </c>
      <c r="J77" s="2"/>
      <c r="K77" s="2"/>
      <c r="L77" s="2"/>
    </row>
    <row r="78" spans="1:12" ht="30" customHeight="1" x14ac:dyDescent="0.35">
      <c r="A78" t="s">
        <v>194</v>
      </c>
      <c r="B78" t="s">
        <v>195</v>
      </c>
      <c r="C78" t="s">
        <v>19</v>
      </c>
      <c r="D78" t="s">
        <v>18</v>
      </c>
      <c r="E78" s="2">
        <v>890792.58</v>
      </c>
      <c r="F78" s="2"/>
      <c r="G78" s="2"/>
      <c r="H78" s="8" t="str">
        <f t="shared" si="2"/>
        <v/>
      </c>
      <c r="I78" s="10" t="str">
        <f t="shared" si="3"/>
        <v/>
      </c>
      <c r="J78" s="2"/>
      <c r="K78" s="2"/>
      <c r="L78" s="2"/>
    </row>
    <row r="79" spans="1:12" ht="30" customHeight="1" x14ac:dyDescent="0.35">
      <c r="A79" t="s">
        <v>196</v>
      </c>
      <c r="B79" t="s">
        <v>197</v>
      </c>
      <c r="C79" t="s">
        <v>51</v>
      </c>
      <c r="D79" t="s">
        <v>50</v>
      </c>
      <c r="E79" s="2">
        <v>25879.41</v>
      </c>
      <c r="F79" s="2"/>
      <c r="G79" s="2"/>
      <c r="H79" s="8" t="str">
        <f t="shared" si="2"/>
        <v/>
      </c>
      <c r="I79" s="10" t="str">
        <f t="shared" si="3"/>
        <v/>
      </c>
      <c r="J79" s="2"/>
      <c r="K79" s="2"/>
      <c r="L79" s="2"/>
    </row>
    <row r="80" spans="1:12" ht="30" customHeight="1" x14ac:dyDescent="0.35">
      <c r="A80" t="s">
        <v>198</v>
      </c>
      <c r="B80" t="s">
        <v>199</v>
      </c>
      <c r="C80" t="s">
        <v>109</v>
      </c>
      <c r="D80" t="s">
        <v>108</v>
      </c>
      <c r="E80" s="2">
        <v>43795.42</v>
      </c>
      <c r="F80" s="2"/>
      <c r="G80" s="2"/>
      <c r="H80" s="8" t="str">
        <f t="shared" si="2"/>
        <v/>
      </c>
      <c r="I80" s="10" t="str">
        <f t="shared" si="3"/>
        <v/>
      </c>
      <c r="J80" s="2"/>
      <c r="K80" s="2"/>
      <c r="L80" s="2"/>
    </row>
    <row r="81" spans="1:12" ht="30" customHeight="1" x14ac:dyDescent="0.35">
      <c r="A81" t="s">
        <v>200</v>
      </c>
      <c r="B81" t="s">
        <v>201</v>
      </c>
      <c r="C81" t="s">
        <v>51</v>
      </c>
      <c r="D81" t="s">
        <v>50</v>
      </c>
      <c r="E81" s="2">
        <v>72746.09</v>
      </c>
      <c r="F81" s="2"/>
      <c r="G81" s="2"/>
      <c r="H81" s="8" t="str">
        <f t="shared" si="2"/>
        <v/>
      </c>
      <c r="I81" s="10" t="str">
        <f t="shared" si="3"/>
        <v/>
      </c>
      <c r="J81" s="2"/>
      <c r="K81" s="2"/>
      <c r="L81" s="2"/>
    </row>
    <row r="82" spans="1:12" ht="30" customHeight="1" x14ac:dyDescent="0.35">
      <c r="A82" t="s">
        <v>202</v>
      </c>
      <c r="B82" t="s">
        <v>203</v>
      </c>
      <c r="C82" t="s">
        <v>19</v>
      </c>
      <c r="D82" t="s">
        <v>18</v>
      </c>
      <c r="E82" s="2">
        <v>76046.87</v>
      </c>
      <c r="F82" s="2"/>
      <c r="G82" s="2"/>
      <c r="H82" s="8" t="str">
        <f t="shared" si="2"/>
        <v/>
      </c>
      <c r="I82" s="10" t="str">
        <f t="shared" si="3"/>
        <v/>
      </c>
      <c r="J82" s="2"/>
      <c r="K82" s="2"/>
      <c r="L82" s="2"/>
    </row>
    <row r="83" spans="1:12" ht="30" customHeight="1" x14ac:dyDescent="0.35">
      <c r="A83" t="s">
        <v>204</v>
      </c>
      <c r="B83" t="s">
        <v>205</v>
      </c>
      <c r="C83" t="s">
        <v>19</v>
      </c>
      <c r="D83" t="s">
        <v>18</v>
      </c>
      <c r="E83" s="2">
        <v>40750.839999999997</v>
      </c>
      <c r="F83" s="2"/>
      <c r="G83" s="2"/>
      <c r="H83" s="8" t="str">
        <f t="shared" si="2"/>
        <v/>
      </c>
      <c r="I83" s="10" t="str">
        <f t="shared" si="3"/>
        <v/>
      </c>
      <c r="J83" s="2"/>
      <c r="K83" s="2"/>
      <c r="L83" s="2"/>
    </row>
    <row r="84" spans="1:12" ht="30" customHeight="1" x14ac:dyDescent="0.35">
      <c r="A84" t="s">
        <v>206</v>
      </c>
      <c r="B84" t="s">
        <v>207</v>
      </c>
      <c r="C84" t="s">
        <v>51</v>
      </c>
      <c r="D84" t="s">
        <v>50</v>
      </c>
      <c r="E84" s="2">
        <v>601.80999999999995</v>
      </c>
      <c r="F84" s="2"/>
      <c r="G84" s="2"/>
      <c r="H84" s="8" t="str">
        <f t="shared" si="2"/>
        <v/>
      </c>
      <c r="I84" s="10" t="str">
        <f t="shared" si="3"/>
        <v/>
      </c>
      <c r="J84" s="2"/>
      <c r="K84" s="2"/>
      <c r="L84" s="2"/>
    </row>
    <row r="85" spans="1:12" ht="30" customHeight="1" x14ac:dyDescent="0.35">
      <c r="A85" t="s">
        <v>208</v>
      </c>
      <c r="B85" t="s">
        <v>209</v>
      </c>
      <c r="C85" t="s">
        <v>15</v>
      </c>
      <c r="D85" t="s">
        <v>14</v>
      </c>
      <c r="E85" s="2">
        <v>593563.88</v>
      </c>
      <c r="F85" s="2">
        <v>8215408.8099999996</v>
      </c>
      <c r="G85" s="2">
        <v>0</v>
      </c>
      <c r="H85" s="8">
        <f t="shared" si="2"/>
        <v>8215408.8099999996</v>
      </c>
      <c r="I85" s="10">
        <f t="shared" si="3"/>
        <v>7.2250072239557858E-2</v>
      </c>
      <c r="J85" s="2"/>
      <c r="K85" s="2"/>
      <c r="L85" s="2"/>
    </row>
    <row r="86" spans="1:12" ht="30" customHeight="1" x14ac:dyDescent="0.35">
      <c r="A86" t="s">
        <v>210</v>
      </c>
      <c r="B86" t="s">
        <v>211</v>
      </c>
      <c r="C86" t="s">
        <v>213</v>
      </c>
      <c r="D86" t="s">
        <v>212</v>
      </c>
      <c r="E86" s="2">
        <v>1201.58</v>
      </c>
      <c r="F86" s="2">
        <v>12377.6</v>
      </c>
      <c r="G86" s="2"/>
      <c r="H86" s="8">
        <f t="shared" si="2"/>
        <v>12377.6</v>
      </c>
      <c r="I86" s="10">
        <f t="shared" si="3"/>
        <v>9.7076977766287473E-2</v>
      </c>
      <c r="J86" s="2"/>
      <c r="K86" s="2"/>
      <c r="L86" s="2"/>
    </row>
    <row r="87" spans="1:12" ht="30" customHeight="1" x14ac:dyDescent="0.35">
      <c r="A87" t="s">
        <v>214</v>
      </c>
      <c r="B87" t="s">
        <v>215</v>
      </c>
      <c r="C87" t="s">
        <v>51</v>
      </c>
      <c r="D87" t="s">
        <v>50</v>
      </c>
      <c r="E87" s="2">
        <v>25841.35</v>
      </c>
      <c r="F87" s="2"/>
      <c r="G87" s="2"/>
      <c r="H87" s="8" t="str">
        <f t="shared" si="2"/>
        <v/>
      </c>
      <c r="I87" s="10" t="str">
        <f t="shared" si="3"/>
        <v/>
      </c>
      <c r="J87" s="2"/>
      <c r="K87" s="2"/>
      <c r="L87" s="2"/>
    </row>
    <row r="88" spans="1:12" ht="30" customHeight="1" x14ac:dyDescent="0.35">
      <c r="A88" t="s">
        <v>216</v>
      </c>
      <c r="B88" t="s">
        <v>217</v>
      </c>
      <c r="C88" t="s">
        <v>67</v>
      </c>
      <c r="D88" t="s">
        <v>66</v>
      </c>
      <c r="E88" s="2">
        <v>25789.07</v>
      </c>
      <c r="F88" s="2"/>
      <c r="G88" s="2"/>
      <c r="H88" s="8" t="str">
        <f t="shared" si="2"/>
        <v/>
      </c>
      <c r="I88" s="10" t="str">
        <f t="shared" si="3"/>
        <v/>
      </c>
      <c r="J88" s="2"/>
      <c r="K88" s="2"/>
      <c r="L88" s="2"/>
    </row>
    <row r="89" spans="1:12" ht="30" customHeight="1" x14ac:dyDescent="0.35">
      <c r="A89" t="s">
        <v>218</v>
      </c>
      <c r="B89" t="s">
        <v>219</v>
      </c>
      <c r="C89" t="s">
        <v>51</v>
      </c>
      <c r="D89" t="s">
        <v>50</v>
      </c>
      <c r="E89" s="2">
        <v>22099.62</v>
      </c>
      <c r="F89" s="2"/>
      <c r="G89" s="2"/>
      <c r="H89" s="8" t="str">
        <f t="shared" si="2"/>
        <v/>
      </c>
      <c r="I89" s="10" t="str">
        <f t="shared" si="3"/>
        <v/>
      </c>
      <c r="J89" s="2"/>
      <c r="K89" s="2"/>
      <c r="L89" s="2"/>
    </row>
    <row r="90" spans="1:12" ht="30" customHeight="1" x14ac:dyDescent="0.35">
      <c r="A90" t="s">
        <v>220</v>
      </c>
      <c r="B90" t="s">
        <v>221</v>
      </c>
      <c r="C90" t="s">
        <v>51</v>
      </c>
      <c r="D90" t="s">
        <v>50</v>
      </c>
      <c r="E90" s="2">
        <v>28095.360000000001</v>
      </c>
      <c r="F90" s="2"/>
      <c r="G90" s="2"/>
      <c r="H90" s="8" t="str">
        <f t="shared" si="2"/>
        <v/>
      </c>
      <c r="I90" s="10" t="str">
        <f t="shared" si="3"/>
        <v/>
      </c>
      <c r="J90" s="2"/>
      <c r="K90" s="2"/>
      <c r="L90" s="2"/>
    </row>
    <row r="91" spans="1:12" ht="30" customHeight="1" x14ac:dyDescent="0.35">
      <c r="A91" t="s">
        <v>222</v>
      </c>
      <c r="B91" t="s">
        <v>223</v>
      </c>
      <c r="C91" t="s">
        <v>67</v>
      </c>
      <c r="D91" t="s">
        <v>66</v>
      </c>
      <c r="E91" s="2">
        <v>3174.7</v>
      </c>
      <c r="F91" s="2"/>
      <c r="G91" s="2"/>
      <c r="H91" s="8" t="str">
        <f t="shared" si="2"/>
        <v/>
      </c>
      <c r="I91" s="10" t="str">
        <f t="shared" si="3"/>
        <v/>
      </c>
      <c r="J91" s="2"/>
      <c r="K91" s="2"/>
      <c r="L91" s="2"/>
    </row>
    <row r="92" spans="1:12" ht="30" customHeight="1" x14ac:dyDescent="0.35">
      <c r="A92" t="s">
        <v>224</v>
      </c>
      <c r="B92" t="s">
        <v>225</v>
      </c>
      <c r="C92" t="s">
        <v>67</v>
      </c>
      <c r="D92" t="s">
        <v>66</v>
      </c>
      <c r="E92" s="2">
        <v>28161.46</v>
      </c>
      <c r="F92" s="2"/>
      <c r="G92" s="2"/>
      <c r="H92" s="8" t="str">
        <f t="shared" si="2"/>
        <v/>
      </c>
      <c r="I92" s="10" t="str">
        <f t="shared" si="3"/>
        <v/>
      </c>
      <c r="J92" s="2"/>
      <c r="K92" s="2"/>
      <c r="L92" s="2"/>
    </row>
    <row r="93" spans="1:12" ht="30" customHeight="1" x14ac:dyDescent="0.35">
      <c r="A93" t="s">
        <v>226</v>
      </c>
      <c r="B93" t="s">
        <v>227</v>
      </c>
      <c r="C93" t="s">
        <v>51</v>
      </c>
      <c r="D93" t="s">
        <v>50</v>
      </c>
      <c r="E93" s="2">
        <v>4999.6000000000004</v>
      </c>
      <c r="F93" s="2"/>
      <c r="G93" s="2"/>
      <c r="H93" s="8" t="str">
        <f t="shared" si="2"/>
        <v/>
      </c>
      <c r="I93" s="10" t="str">
        <f t="shared" si="3"/>
        <v/>
      </c>
      <c r="J93" s="2"/>
      <c r="K93" s="2"/>
      <c r="L93" s="2"/>
    </row>
    <row r="94" spans="1:12" ht="30" customHeight="1" x14ac:dyDescent="0.35">
      <c r="A94" t="s">
        <v>228</v>
      </c>
      <c r="B94" t="s">
        <v>229</v>
      </c>
      <c r="C94" t="s">
        <v>57</v>
      </c>
      <c r="D94" t="s">
        <v>56</v>
      </c>
      <c r="E94" s="2">
        <v>2459097.81</v>
      </c>
      <c r="F94" s="2">
        <v>14282.26</v>
      </c>
      <c r="G94" s="2">
        <v>35717.74</v>
      </c>
      <c r="H94" s="8">
        <f t="shared" si="2"/>
        <v>50000</v>
      </c>
      <c r="I94" s="10">
        <f t="shared" si="3"/>
        <v>49.181956200000002</v>
      </c>
      <c r="J94" s="2"/>
      <c r="K94" s="2"/>
      <c r="L94" s="2"/>
    </row>
    <row r="95" spans="1:12" ht="30" customHeight="1" x14ac:dyDescent="0.35">
      <c r="A95" t="s">
        <v>230</v>
      </c>
      <c r="B95" t="s">
        <v>231</v>
      </c>
      <c r="C95" t="s">
        <v>29</v>
      </c>
      <c r="D95" t="s">
        <v>28</v>
      </c>
      <c r="E95" s="2">
        <v>108803.68</v>
      </c>
      <c r="F95" s="2"/>
      <c r="G95" s="2"/>
      <c r="H95" s="8" t="str">
        <f t="shared" si="2"/>
        <v/>
      </c>
      <c r="I95" s="10" t="str">
        <f t="shared" si="3"/>
        <v/>
      </c>
      <c r="J95" s="2"/>
      <c r="K95" s="2"/>
      <c r="L95" s="2"/>
    </row>
    <row r="96" spans="1:12" ht="30" customHeight="1" x14ac:dyDescent="0.35">
      <c r="A96" t="s">
        <v>232</v>
      </c>
      <c r="B96" t="s">
        <v>233</v>
      </c>
      <c r="C96" t="s">
        <v>77</v>
      </c>
      <c r="D96" t="s">
        <v>76</v>
      </c>
      <c r="E96" s="2">
        <v>1006717.67</v>
      </c>
      <c r="F96" s="2"/>
      <c r="G96" s="2"/>
      <c r="H96" s="8" t="str">
        <f t="shared" si="2"/>
        <v/>
      </c>
      <c r="I96" s="10" t="str">
        <f t="shared" si="3"/>
        <v/>
      </c>
      <c r="J96" s="2"/>
      <c r="K96" s="2"/>
      <c r="L96" s="2"/>
    </row>
    <row r="97" spans="1:12" ht="30" customHeight="1" x14ac:dyDescent="0.35">
      <c r="A97" t="s">
        <v>234</v>
      </c>
      <c r="B97" t="s">
        <v>235</v>
      </c>
      <c r="C97" t="s">
        <v>109</v>
      </c>
      <c r="D97" t="s">
        <v>108</v>
      </c>
      <c r="E97" s="2">
        <v>150760.57</v>
      </c>
      <c r="F97" s="2"/>
      <c r="G97" s="2"/>
      <c r="H97" s="8" t="str">
        <f t="shared" si="2"/>
        <v/>
      </c>
      <c r="I97" s="10" t="str">
        <f t="shared" si="3"/>
        <v/>
      </c>
      <c r="J97" s="2"/>
      <c r="K97" s="2"/>
      <c r="L97" s="2"/>
    </row>
    <row r="98" spans="1:12" ht="30" customHeight="1" x14ac:dyDescent="0.35">
      <c r="A98" t="s">
        <v>236</v>
      </c>
      <c r="B98" t="s">
        <v>237</v>
      </c>
      <c r="C98" t="s">
        <v>77</v>
      </c>
      <c r="D98" t="s">
        <v>76</v>
      </c>
      <c r="E98" s="2">
        <v>33166.33</v>
      </c>
      <c r="F98" s="2"/>
      <c r="G98" s="2"/>
      <c r="H98" s="8" t="str">
        <f t="shared" si="2"/>
        <v/>
      </c>
      <c r="I98" s="10" t="str">
        <f t="shared" si="3"/>
        <v/>
      </c>
      <c r="J98" s="2"/>
      <c r="K98" s="2"/>
      <c r="L98" s="2"/>
    </row>
    <row r="99" spans="1:12" ht="30" customHeight="1" x14ac:dyDescent="0.35">
      <c r="A99" t="s">
        <v>238</v>
      </c>
      <c r="B99" t="s">
        <v>239</v>
      </c>
      <c r="C99" t="s">
        <v>19</v>
      </c>
      <c r="D99" t="s">
        <v>18</v>
      </c>
      <c r="E99" s="2">
        <v>5763.51</v>
      </c>
      <c r="F99" s="2"/>
      <c r="G99" s="2"/>
      <c r="H99" s="8" t="str">
        <f t="shared" si="2"/>
        <v/>
      </c>
      <c r="I99" s="10" t="str">
        <f t="shared" si="3"/>
        <v/>
      </c>
      <c r="J99" s="2"/>
      <c r="K99" s="2"/>
      <c r="L99" s="2"/>
    </row>
    <row r="100" spans="1:12" ht="30" customHeight="1" x14ac:dyDescent="0.35">
      <c r="A100" t="s">
        <v>240</v>
      </c>
      <c r="B100" t="s">
        <v>241</v>
      </c>
      <c r="C100" t="s">
        <v>77</v>
      </c>
      <c r="D100" t="s">
        <v>76</v>
      </c>
      <c r="E100" s="2">
        <v>2111.62</v>
      </c>
      <c r="F100" s="2"/>
      <c r="G100" s="2"/>
      <c r="H100" s="8" t="str">
        <f t="shared" si="2"/>
        <v/>
      </c>
      <c r="I100" s="10" t="str">
        <f t="shared" si="3"/>
        <v/>
      </c>
      <c r="J100" s="2"/>
      <c r="K100" s="2"/>
      <c r="L100" s="2"/>
    </row>
    <row r="101" spans="1:12" ht="30" customHeight="1" x14ac:dyDescent="0.35">
      <c r="A101" t="s">
        <v>242</v>
      </c>
      <c r="B101" t="s">
        <v>243</v>
      </c>
      <c r="C101" t="s">
        <v>19</v>
      </c>
      <c r="D101" t="s">
        <v>18</v>
      </c>
      <c r="E101" s="2">
        <v>27786.71</v>
      </c>
      <c r="F101" s="2"/>
      <c r="G101" s="2"/>
      <c r="H101" s="8" t="str">
        <f t="shared" si="2"/>
        <v/>
      </c>
      <c r="I101" s="10" t="str">
        <f t="shared" si="3"/>
        <v/>
      </c>
      <c r="J101" s="2"/>
      <c r="K101" s="2"/>
      <c r="L101" s="2"/>
    </row>
    <row r="102" spans="1:12" ht="30" customHeight="1" x14ac:dyDescent="0.35">
      <c r="A102" t="s">
        <v>244</v>
      </c>
      <c r="B102" t="s">
        <v>245</v>
      </c>
      <c r="C102" t="s">
        <v>109</v>
      </c>
      <c r="D102" t="s">
        <v>108</v>
      </c>
      <c r="E102" s="2">
        <v>5632.23</v>
      </c>
      <c r="F102" s="2"/>
      <c r="G102" s="2"/>
      <c r="H102" s="8" t="str">
        <f t="shared" si="2"/>
        <v/>
      </c>
      <c r="I102" s="10" t="str">
        <f t="shared" si="3"/>
        <v/>
      </c>
      <c r="J102" s="2"/>
      <c r="K102" s="2"/>
      <c r="L102" s="2"/>
    </row>
    <row r="103" spans="1:12" ht="30" customHeight="1" x14ac:dyDescent="0.35">
      <c r="A103" t="s">
        <v>246</v>
      </c>
      <c r="B103" t="s">
        <v>247</v>
      </c>
      <c r="C103" t="s">
        <v>29</v>
      </c>
      <c r="D103" t="s">
        <v>28</v>
      </c>
      <c r="E103" s="2">
        <v>216509.98</v>
      </c>
      <c r="F103" s="2"/>
      <c r="G103" s="2"/>
      <c r="H103" s="8" t="str">
        <f t="shared" si="2"/>
        <v/>
      </c>
      <c r="I103" s="10" t="str">
        <f t="shared" si="3"/>
        <v/>
      </c>
      <c r="J103" s="2"/>
      <c r="K103" s="2"/>
      <c r="L103" s="2"/>
    </row>
    <row r="104" spans="1:12" ht="30" customHeight="1" x14ac:dyDescent="0.35">
      <c r="A104" t="s">
        <v>248</v>
      </c>
      <c r="B104" t="s">
        <v>249</v>
      </c>
      <c r="C104" t="s">
        <v>33</v>
      </c>
      <c r="D104" t="s">
        <v>32</v>
      </c>
      <c r="E104" s="2">
        <v>2218</v>
      </c>
      <c r="F104" s="2"/>
      <c r="G104" s="2"/>
      <c r="H104" s="8" t="str">
        <f t="shared" si="2"/>
        <v/>
      </c>
      <c r="I104" s="10" t="str">
        <f t="shared" si="3"/>
        <v/>
      </c>
      <c r="J104" s="2"/>
      <c r="K104" s="2"/>
      <c r="L104" s="2"/>
    </row>
    <row r="105" spans="1:12" ht="30" customHeight="1" x14ac:dyDescent="0.35">
      <c r="A105" t="s">
        <v>250</v>
      </c>
      <c r="B105" t="s">
        <v>251</v>
      </c>
      <c r="C105" t="s">
        <v>253</v>
      </c>
      <c r="D105" t="s">
        <v>252</v>
      </c>
      <c r="E105" s="2">
        <v>1352193.23</v>
      </c>
      <c r="F105" s="2">
        <v>919293.24</v>
      </c>
      <c r="G105" s="2"/>
      <c r="H105" s="8">
        <f t="shared" si="2"/>
        <v>919293.24</v>
      </c>
      <c r="I105" s="10">
        <f t="shared" si="3"/>
        <v>1.470905224974786</v>
      </c>
      <c r="J105" s="2"/>
      <c r="K105" s="2"/>
      <c r="L105" s="2"/>
    </row>
    <row r="106" spans="1:12" ht="30" customHeight="1" x14ac:dyDescent="0.35">
      <c r="A106" t="s">
        <v>254</v>
      </c>
      <c r="B106" t="s">
        <v>255</v>
      </c>
      <c r="C106" t="s">
        <v>101</v>
      </c>
      <c r="D106" t="s">
        <v>100</v>
      </c>
      <c r="E106" s="2">
        <v>41991.55</v>
      </c>
      <c r="F106" s="2">
        <v>1379000</v>
      </c>
      <c r="G106" s="2"/>
      <c r="H106" s="8">
        <f t="shared" si="2"/>
        <v>1379000</v>
      </c>
      <c r="I106" s="10">
        <f t="shared" si="3"/>
        <v>3.0450725163161715E-2</v>
      </c>
      <c r="J106" s="2"/>
      <c r="K106" s="2"/>
      <c r="L106" s="2"/>
    </row>
    <row r="107" spans="1:12" ht="30" customHeight="1" x14ac:dyDescent="0.35">
      <c r="A107" t="s">
        <v>256</v>
      </c>
      <c r="B107" t="s">
        <v>257</v>
      </c>
      <c r="C107" t="s">
        <v>259</v>
      </c>
      <c r="D107" t="s">
        <v>258</v>
      </c>
      <c r="E107" s="2">
        <v>10211.76</v>
      </c>
      <c r="F107" s="2">
        <v>526687.1</v>
      </c>
      <c r="G107" s="2">
        <v>200000</v>
      </c>
      <c r="H107" s="8">
        <f t="shared" si="2"/>
        <v>726687.1</v>
      </c>
      <c r="I107" s="10">
        <f t="shared" si="3"/>
        <v>1.4052485588363962E-2</v>
      </c>
      <c r="J107" s="2"/>
      <c r="K107" s="2"/>
      <c r="L107" s="2"/>
    </row>
    <row r="108" spans="1:12" ht="30" customHeight="1" x14ac:dyDescent="0.35">
      <c r="A108" t="s">
        <v>260</v>
      </c>
      <c r="B108" t="s">
        <v>261</v>
      </c>
      <c r="C108" t="s">
        <v>51</v>
      </c>
      <c r="D108" t="s">
        <v>50</v>
      </c>
      <c r="E108" s="2">
        <v>1149282.3899999999</v>
      </c>
      <c r="F108" s="2"/>
      <c r="G108" s="2"/>
      <c r="H108" s="8" t="str">
        <f t="shared" si="2"/>
        <v/>
      </c>
      <c r="I108" s="10" t="str">
        <f t="shared" si="3"/>
        <v/>
      </c>
      <c r="J108" s="2"/>
      <c r="K108" s="2"/>
      <c r="L108" s="2"/>
    </row>
    <row r="109" spans="1:12" ht="30" customHeight="1" x14ac:dyDescent="0.35">
      <c r="A109" t="s">
        <v>262</v>
      </c>
      <c r="B109" t="s">
        <v>263</v>
      </c>
      <c r="C109" t="s">
        <v>33</v>
      </c>
      <c r="D109" t="s">
        <v>32</v>
      </c>
      <c r="E109" s="2">
        <v>226304.6</v>
      </c>
      <c r="F109" s="2"/>
      <c r="G109" s="2"/>
      <c r="H109" s="8" t="str">
        <f t="shared" si="2"/>
        <v/>
      </c>
      <c r="I109" s="10" t="str">
        <f t="shared" si="3"/>
        <v/>
      </c>
      <c r="J109" s="2"/>
      <c r="K109" s="2"/>
      <c r="L109" s="2"/>
    </row>
    <row r="110" spans="1:12" ht="30" customHeight="1" x14ac:dyDescent="0.35">
      <c r="A110" t="s">
        <v>264</v>
      </c>
      <c r="B110" t="s">
        <v>265</v>
      </c>
      <c r="C110" t="s">
        <v>57</v>
      </c>
      <c r="D110" t="s">
        <v>56</v>
      </c>
      <c r="E110" s="2">
        <v>40</v>
      </c>
      <c r="F110" s="2"/>
      <c r="G110" s="2"/>
      <c r="H110" s="8" t="str">
        <f t="shared" si="2"/>
        <v/>
      </c>
      <c r="I110" s="10" t="str">
        <f t="shared" si="3"/>
        <v/>
      </c>
      <c r="J110" s="2"/>
      <c r="K110" s="2"/>
      <c r="L110" s="2"/>
    </row>
    <row r="111" spans="1:12" ht="30" customHeight="1" x14ac:dyDescent="0.35">
      <c r="A111" t="s">
        <v>266</v>
      </c>
      <c r="B111" t="s">
        <v>267</v>
      </c>
      <c r="C111" t="s">
        <v>77</v>
      </c>
      <c r="D111" t="s">
        <v>76</v>
      </c>
      <c r="E111" s="2">
        <v>77395.69</v>
      </c>
      <c r="F111" s="2"/>
      <c r="G111" s="2"/>
      <c r="H111" s="8" t="str">
        <f t="shared" si="2"/>
        <v/>
      </c>
      <c r="I111" s="10" t="str">
        <f t="shared" si="3"/>
        <v/>
      </c>
      <c r="J111" s="2"/>
      <c r="K111" s="2"/>
      <c r="L111" s="2"/>
    </row>
    <row r="112" spans="1:12" ht="30" customHeight="1" x14ac:dyDescent="0.35">
      <c r="A112" t="s">
        <v>268</v>
      </c>
      <c r="B112" t="s">
        <v>269</v>
      </c>
      <c r="C112" t="s">
        <v>77</v>
      </c>
      <c r="D112" t="s">
        <v>76</v>
      </c>
      <c r="E112" s="2">
        <v>2572.8200000000002</v>
      </c>
      <c r="F112" s="2">
        <v>13749.66</v>
      </c>
      <c r="G112" s="2">
        <v>1000</v>
      </c>
      <c r="H112" s="8">
        <f t="shared" si="2"/>
        <v>14749.66</v>
      </c>
      <c r="I112" s="10">
        <f t="shared" si="3"/>
        <v>0.17443249539311415</v>
      </c>
      <c r="J112" s="2"/>
      <c r="K112" s="2"/>
      <c r="L112" s="2"/>
    </row>
    <row r="113" spans="1:12" ht="30" customHeight="1" x14ac:dyDescent="0.35">
      <c r="A113" t="s">
        <v>270</v>
      </c>
      <c r="B113" t="s">
        <v>271</v>
      </c>
      <c r="C113" t="s">
        <v>51</v>
      </c>
      <c r="D113" t="s">
        <v>50</v>
      </c>
      <c r="E113" s="2">
        <v>83537.73</v>
      </c>
      <c r="F113" s="2"/>
      <c r="G113" s="2"/>
      <c r="H113" s="8" t="str">
        <f t="shared" si="2"/>
        <v/>
      </c>
      <c r="I113" s="10" t="str">
        <f t="shared" si="3"/>
        <v/>
      </c>
      <c r="J113" s="2"/>
      <c r="K113" s="2"/>
      <c r="L113" s="2"/>
    </row>
    <row r="114" spans="1:12" ht="30" customHeight="1" x14ac:dyDescent="0.35">
      <c r="A114" t="s">
        <v>272</v>
      </c>
      <c r="B114" t="s">
        <v>273</v>
      </c>
      <c r="C114" t="s">
        <v>19</v>
      </c>
      <c r="D114" t="s">
        <v>18</v>
      </c>
      <c r="E114" s="2">
        <v>560158.18000000005</v>
      </c>
      <c r="F114" s="2"/>
      <c r="G114" s="2"/>
      <c r="H114" s="8" t="str">
        <f t="shared" si="2"/>
        <v/>
      </c>
      <c r="I114" s="10" t="str">
        <f t="shared" si="3"/>
        <v/>
      </c>
      <c r="J114" s="2"/>
      <c r="K114" s="2"/>
      <c r="L114" s="2"/>
    </row>
    <row r="115" spans="1:12" ht="30" customHeight="1" x14ac:dyDescent="0.35">
      <c r="A115" t="s">
        <v>274</v>
      </c>
      <c r="B115" t="s">
        <v>275</v>
      </c>
      <c r="C115" t="s">
        <v>51</v>
      </c>
      <c r="D115" t="s">
        <v>50</v>
      </c>
      <c r="E115" s="2">
        <v>98515.7</v>
      </c>
      <c r="F115" s="2">
        <v>0</v>
      </c>
      <c r="G115" s="2">
        <v>1000</v>
      </c>
      <c r="H115" s="8">
        <f t="shared" si="2"/>
        <v>1000</v>
      </c>
      <c r="I115" s="10">
        <f t="shared" si="3"/>
        <v>98.515699999999995</v>
      </c>
      <c r="J115" s="2"/>
      <c r="K115" s="2"/>
      <c r="L115" s="2"/>
    </row>
    <row r="116" spans="1:12" ht="30" customHeight="1" x14ac:dyDescent="0.35">
      <c r="A116" t="s">
        <v>276</v>
      </c>
      <c r="B116" t="s">
        <v>277</v>
      </c>
      <c r="C116" t="s">
        <v>51</v>
      </c>
      <c r="D116" t="s">
        <v>50</v>
      </c>
      <c r="E116" s="2">
        <v>1694.41</v>
      </c>
      <c r="F116" s="2">
        <v>100.66</v>
      </c>
      <c r="G116" s="2">
        <v>899.34</v>
      </c>
      <c r="H116" s="8">
        <f t="shared" si="2"/>
        <v>1000</v>
      </c>
      <c r="I116" s="10">
        <f t="shared" si="3"/>
        <v>1.69441</v>
      </c>
      <c r="J116" s="2"/>
      <c r="K116" s="2"/>
      <c r="L116" s="2"/>
    </row>
    <row r="117" spans="1:12" ht="30" customHeight="1" x14ac:dyDescent="0.35">
      <c r="A117" t="s">
        <v>278</v>
      </c>
      <c r="B117" t="s">
        <v>279</v>
      </c>
      <c r="C117" t="s">
        <v>51</v>
      </c>
      <c r="D117" t="s">
        <v>50</v>
      </c>
      <c r="E117" s="2">
        <v>238435.91</v>
      </c>
      <c r="F117" s="2">
        <v>791.93</v>
      </c>
      <c r="G117" s="2">
        <v>208.07</v>
      </c>
      <c r="H117" s="8">
        <f t="shared" si="2"/>
        <v>1000</v>
      </c>
      <c r="I117" s="10">
        <f t="shared" si="3"/>
        <v>238.43591000000001</v>
      </c>
      <c r="J117" s="2"/>
      <c r="K117" s="2"/>
      <c r="L117" s="2"/>
    </row>
    <row r="118" spans="1:12" ht="30" customHeight="1" x14ac:dyDescent="0.35">
      <c r="A118" t="s">
        <v>280</v>
      </c>
      <c r="B118" t="s">
        <v>281</v>
      </c>
      <c r="C118" t="s">
        <v>19</v>
      </c>
      <c r="D118" t="s">
        <v>18</v>
      </c>
      <c r="E118" s="2">
        <v>89640.72</v>
      </c>
      <c r="F118" s="2"/>
      <c r="G118" s="2"/>
      <c r="H118" s="8" t="str">
        <f t="shared" si="2"/>
        <v/>
      </c>
      <c r="I118" s="10" t="str">
        <f t="shared" si="3"/>
        <v/>
      </c>
      <c r="J118" s="2"/>
      <c r="K118" s="2"/>
      <c r="L118" s="2"/>
    </row>
    <row r="119" spans="1:12" ht="30" customHeight="1" x14ac:dyDescent="0.35">
      <c r="A119" t="s">
        <v>282</v>
      </c>
      <c r="B119" t="s">
        <v>283</v>
      </c>
      <c r="C119" t="s">
        <v>19</v>
      </c>
      <c r="D119" t="s">
        <v>18</v>
      </c>
      <c r="E119" s="2">
        <v>11959.39</v>
      </c>
      <c r="F119" s="2"/>
      <c r="G119" s="2"/>
      <c r="H119" s="8" t="str">
        <f t="shared" si="2"/>
        <v/>
      </c>
      <c r="I119" s="10" t="str">
        <f t="shared" si="3"/>
        <v/>
      </c>
      <c r="J119" s="2"/>
      <c r="K119" s="2"/>
      <c r="L119" s="2"/>
    </row>
    <row r="120" spans="1:12" ht="30" customHeight="1" x14ac:dyDescent="0.35">
      <c r="A120" t="s">
        <v>284</v>
      </c>
      <c r="B120" t="s">
        <v>285</v>
      </c>
      <c r="C120" t="s">
        <v>77</v>
      </c>
      <c r="D120" t="s">
        <v>76</v>
      </c>
      <c r="E120" s="2">
        <v>13349.31</v>
      </c>
      <c r="F120" s="2">
        <v>0</v>
      </c>
      <c r="G120" s="2">
        <v>1000</v>
      </c>
      <c r="H120" s="8">
        <f t="shared" si="2"/>
        <v>1000</v>
      </c>
      <c r="I120" s="10">
        <f t="shared" si="3"/>
        <v>13.349309999999999</v>
      </c>
      <c r="J120" s="2"/>
      <c r="K120" s="2"/>
      <c r="L120" s="2"/>
    </row>
    <row r="121" spans="1:12" ht="30" customHeight="1" x14ac:dyDescent="0.35">
      <c r="A121" t="s">
        <v>286</v>
      </c>
      <c r="B121" t="s">
        <v>287</v>
      </c>
      <c r="C121" t="s">
        <v>19</v>
      </c>
      <c r="D121" t="s">
        <v>18</v>
      </c>
      <c r="E121" s="2">
        <v>3122.57</v>
      </c>
      <c r="F121" s="2"/>
      <c r="G121" s="2"/>
      <c r="H121" s="8" t="str">
        <f t="shared" si="2"/>
        <v/>
      </c>
      <c r="I121" s="10" t="str">
        <f t="shared" si="3"/>
        <v/>
      </c>
      <c r="J121" s="2"/>
      <c r="K121" s="2"/>
      <c r="L121" s="2"/>
    </row>
    <row r="122" spans="1:12" ht="30" customHeight="1" x14ac:dyDescent="0.35">
      <c r="A122" t="s">
        <v>288</v>
      </c>
      <c r="B122" t="s">
        <v>289</v>
      </c>
      <c r="C122" t="s">
        <v>109</v>
      </c>
      <c r="D122" t="s">
        <v>108</v>
      </c>
      <c r="E122" s="2">
        <v>7773.29</v>
      </c>
      <c r="F122" s="2"/>
      <c r="G122" s="2"/>
      <c r="H122" s="8" t="str">
        <f t="shared" si="2"/>
        <v/>
      </c>
      <c r="I122" s="10" t="str">
        <f t="shared" si="3"/>
        <v/>
      </c>
      <c r="J122" s="2"/>
      <c r="K122" s="2"/>
      <c r="L122" s="2"/>
    </row>
    <row r="123" spans="1:12" ht="30" customHeight="1" x14ac:dyDescent="0.35">
      <c r="A123" t="s">
        <v>290</v>
      </c>
      <c r="B123" t="s">
        <v>291</v>
      </c>
      <c r="C123" t="s">
        <v>109</v>
      </c>
      <c r="D123" t="s">
        <v>108</v>
      </c>
      <c r="E123" s="2">
        <v>36068.99</v>
      </c>
      <c r="F123" s="2">
        <v>43213.53</v>
      </c>
      <c r="G123" s="2">
        <v>57286.47</v>
      </c>
      <c r="H123" s="8">
        <f t="shared" si="2"/>
        <v>100500</v>
      </c>
      <c r="I123" s="10">
        <f t="shared" si="3"/>
        <v>0.35889542288557214</v>
      </c>
      <c r="J123" s="2"/>
      <c r="K123" s="2"/>
      <c r="L123" s="2"/>
    </row>
    <row r="124" spans="1:12" ht="30" customHeight="1" x14ac:dyDescent="0.35">
      <c r="A124" t="s">
        <v>292</v>
      </c>
      <c r="B124" t="s">
        <v>293</v>
      </c>
      <c r="C124" t="s">
        <v>51</v>
      </c>
      <c r="D124" t="s">
        <v>50</v>
      </c>
      <c r="E124" s="2">
        <v>196537.9</v>
      </c>
      <c r="F124" s="2"/>
      <c r="G124" s="2"/>
      <c r="H124" s="8" t="str">
        <f t="shared" si="2"/>
        <v/>
      </c>
      <c r="I124" s="10" t="str">
        <f t="shared" si="3"/>
        <v/>
      </c>
      <c r="J124" s="2"/>
      <c r="K124" s="2"/>
      <c r="L124" s="2"/>
    </row>
    <row r="125" spans="1:12" ht="30" customHeight="1" x14ac:dyDescent="0.35">
      <c r="A125" t="s">
        <v>294</v>
      </c>
      <c r="B125" t="s">
        <v>295</v>
      </c>
      <c r="C125" t="s">
        <v>19</v>
      </c>
      <c r="D125" t="s">
        <v>18</v>
      </c>
      <c r="E125" s="2">
        <v>1484.98</v>
      </c>
      <c r="F125" s="2"/>
      <c r="G125" s="2"/>
      <c r="H125" s="8" t="str">
        <f t="shared" si="2"/>
        <v/>
      </c>
      <c r="I125" s="10" t="str">
        <f t="shared" si="3"/>
        <v/>
      </c>
      <c r="J125" s="2"/>
      <c r="K125" s="2"/>
      <c r="L125" s="2"/>
    </row>
    <row r="126" spans="1:12" ht="30" customHeight="1" x14ac:dyDescent="0.35">
      <c r="A126" t="s">
        <v>296</v>
      </c>
      <c r="B126" t="s">
        <v>297</v>
      </c>
      <c r="C126" t="s">
        <v>51</v>
      </c>
      <c r="D126" t="s">
        <v>50</v>
      </c>
      <c r="E126" s="2">
        <v>82074.899999999994</v>
      </c>
      <c r="F126" s="2"/>
      <c r="G126" s="2"/>
      <c r="H126" s="8" t="str">
        <f t="shared" si="2"/>
        <v/>
      </c>
      <c r="I126" s="10" t="str">
        <f t="shared" si="3"/>
        <v/>
      </c>
      <c r="J126" s="2"/>
      <c r="K126" s="2"/>
      <c r="L126" s="2"/>
    </row>
    <row r="127" spans="1:12" ht="30" customHeight="1" x14ac:dyDescent="0.35">
      <c r="A127" t="s">
        <v>298</v>
      </c>
      <c r="B127" t="s">
        <v>299</v>
      </c>
      <c r="C127" t="s">
        <v>19</v>
      </c>
      <c r="D127" t="s">
        <v>18</v>
      </c>
      <c r="E127" s="2">
        <v>20406.11</v>
      </c>
      <c r="F127" s="2"/>
      <c r="G127" s="2"/>
      <c r="H127" s="8" t="str">
        <f t="shared" si="2"/>
        <v/>
      </c>
      <c r="I127" s="10" t="str">
        <f t="shared" si="3"/>
        <v/>
      </c>
      <c r="J127" s="2"/>
      <c r="K127" s="2"/>
      <c r="L127" s="2"/>
    </row>
    <row r="128" spans="1:12" ht="30" customHeight="1" x14ac:dyDescent="0.35">
      <c r="A128" t="s">
        <v>300</v>
      </c>
      <c r="B128" t="s">
        <v>301</v>
      </c>
      <c r="C128" t="s">
        <v>11</v>
      </c>
      <c r="D128" t="s">
        <v>10</v>
      </c>
      <c r="E128" s="2">
        <v>6299.11</v>
      </c>
      <c r="F128" s="2">
        <v>614211.34</v>
      </c>
      <c r="G128" s="2">
        <v>0</v>
      </c>
      <c r="H128" s="8">
        <f t="shared" si="2"/>
        <v>614211.34</v>
      </c>
      <c r="I128" s="10">
        <f t="shared" si="3"/>
        <v>1.0255606807910775E-2</v>
      </c>
      <c r="J128" s="2"/>
      <c r="K128" s="2"/>
      <c r="L128" s="2"/>
    </row>
    <row r="129" spans="1:12" ht="30" customHeight="1" x14ac:dyDescent="0.35">
      <c r="A129" t="s">
        <v>302</v>
      </c>
      <c r="B129" t="s">
        <v>303</v>
      </c>
      <c r="C129" t="s">
        <v>77</v>
      </c>
      <c r="D129" t="s">
        <v>76</v>
      </c>
      <c r="E129" s="2">
        <v>92531.57</v>
      </c>
      <c r="F129" s="2"/>
      <c r="G129" s="2"/>
      <c r="H129" s="8" t="str">
        <f t="shared" ref="H129:H191" si="4">IF(ISBLANK(F129), "",(F129+G129))</f>
        <v/>
      </c>
      <c r="I129" s="10" t="str">
        <f t="shared" ref="I129:I191" si="5">IF(ISBLANK(F129), "", E129/H129)</f>
        <v/>
      </c>
      <c r="J129" s="2"/>
      <c r="K129" s="2"/>
      <c r="L129" s="2"/>
    </row>
    <row r="130" spans="1:12" ht="30" customHeight="1" x14ac:dyDescent="0.35">
      <c r="A130" t="s">
        <v>304</v>
      </c>
      <c r="B130" t="s">
        <v>305</v>
      </c>
      <c r="C130" t="s">
        <v>51</v>
      </c>
      <c r="D130" t="s">
        <v>50</v>
      </c>
      <c r="E130" s="2">
        <v>118938.94</v>
      </c>
      <c r="F130" s="2"/>
      <c r="G130" s="2"/>
      <c r="H130" s="8" t="str">
        <f t="shared" si="4"/>
        <v/>
      </c>
      <c r="I130" s="10" t="str">
        <f t="shared" si="5"/>
        <v/>
      </c>
      <c r="J130" s="2"/>
      <c r="K130" s="2"/>
      <c r="L130" s="2"/>
    </row>
    <row r="131" spans="1:12" ht="30" customHeight="1" x14ac:dyDescent="0.35">
      <c r="A131" t="s">
        <v>306</v>
      </c>
      <c r="B131" t="s">
        <v>307</v>
      </c>
      <c r="C131" t="s">
        <v>57</v>
      </c>
      <c r="D131" t="s">
        <v>56</v>
      </c>
      <c r="E131" s="2">
        <v>191809.74</v>
      </c>
      <c r="F131" s="2"/>
      <c r="G131" s="2"/>
      <c r="H131" s="8" t="str">
        <f t="shared" si="4"/>
        <v/>
      </c>
      <c r="I131" s="10" t="str">
        <f t="shared" si="5"/>
        <v/>
      </c>
      <c r="J131" s="2"/>
      <c r="K131" s="2"/>
      <c r="L131" s="2"/>
    </row>
    <row r="132" spans="1:12" ht="30" customHeight="1" x14ac:dyDescent="0.35">
      <c r="A132" t="s">
        <v>308</v>
      </c>
      <c r="B132" t="s">
        <v>309</v>
      </c>
      <c r="C132" t="s">
        <v>19</v>
      </c>
      <c r="D132" t="s">
        <v>18</v>
      </c>
      <c r="E132" s="2">
        <v>185726.4</v>
      </c>
      <c r="F132" s="2"/>
      <c r="G132" s="2"/>
      <c r="H132" s="8" t="str">
        <f t="shared" si="4"/>
        <v/>
      </c>
      <c r="I132" s="10" t="str">
        <f t="shared" si="5"/>
        <v/>
      </c>
      <c r="J132" s="2"/>
      <c r="K132" s="2"/>
      <c r="L132" s="2"/>
    </row>
    <row r="133" spans="1:12" ht="30" customHeight="1" x14ac:dyDescent="0.35">
      <c r="A133" t="s">
        <v>310</v>
      </c>
      <c r="B133" t="s">
        <v>311</v>
      </c>
      <c r="C133" t="s">
        <v>313</v>
      </c>
      <c r="D133" t="s">
        <v>312</v>
      </c>
      <c r="E133" s="2">
        <v>28389.65</v>
      </c>
      <c r="F133" s="2"/>
      <c r="G133" s="2"/>
      <c r="H133" s="8" t="str">
        <f t="shared" si="4"/>
        <v/>
      </c>
      <c r="I133" s="10" t="str">
        <f t="shared" si="5"/>
        <v/>
      </c>
      <c r="J133" s="2"/>
      <c r="K133" s="2"/>
      <c r="L133" s="2"/>
    </row>
    <row r="134" spans="1:12" ht="30" customHeight="1" x14ac:dyDescent="0.35">
      <c r="A134" t="s">
        <v>314</v>
      </c>
      <c r="B134" t="s">
        <v>315</v>
      </c>
      <c r="C134" t="s">
        <v>67</v>
      </c>
      <c r="D134" t="s">
        <v>66</v>
      </c>
      <c r="E134" s="2">
        <v>25183.74</v>
      </c>
      <c r="F134" s="2"/>
      <c r="G134" s="2"/>
      <c r="H134" s="8" t="str">
        <f t="shared" si="4"/>
        <v/>
      </c>
      <c r="I134" s="10" t="str">
        <f t="shared" si="5"/>
        <v/>
      </c>
      <c r="J134" s="2"/>
      <c r="K134" s="2"/>
      <c r="L134" s="2"/>
    </row>
    <row r="135" spans="1:12" ht="30" customHeight="1" x14ac:dyDescent="0.35">
      <c r="A135" t="s">
        <v>316</v>
      </c>
      <c r="B135" t="s">
        <v>317</v>
      </c>
      <c r="C135" t="s">
        <v>67</v>
      </c>
      <c r="D135" t="s">
        <v>66</v>
      </c>
      <c r="E135" s="2">
        <v>75590.87</v>
      </c>
      <c r="F135" s="2">
        <v>245000</v>
      </c>
      <c r="G135" s="2">
        <v>5000</v>
      </c>
      <c r="H135" s="8">
        <f t="shared" si="4"/>
        <v>250000</v>
      </c>
      <c r="I135" s="10">
        <f t="shared" si="5"/>
        <v>0.30236347999999996</v>
      </c>
      <c r="J135" s="2"/>
      <c r="K135" s="2"/>
      <c r="L135" s="2"/>
    </row>
    <row r="136" spans="1:12" ht="30" customHeight="1" x14ac:dyDescent="0.35">
      <c r="A136" t="s">
        <v>318</v>
      </c>
      <c r="B136" t="s">
        <v>319</v>
      </c>
      <c r="C136" t="s">
        <v>77</v>
      </c>
      <c r="D136" t="s">
        <v>76</v>
      </c>
      <c r="E136" s="2">
        <v>379814.38</v>
      </c>
      <c r="F136" s="2"/>
      <c r="G136" s="2"/>
      <c r="H136" s="8" t="str">
        <f t="shared" si="4"/>
        <v/>
      </c>
      <c r="I136" s="10" t="str">
        <f t="shared" si="5"/>
        <v/>
      </c>
      <c r="J136" s="2"/>
      <c r="K136" s="2"/>
      <c r="L136" s="2"/>
    </row>
    <row r="137" spans="1:12" ht="30" customHeight="1" x14ac:dyDescent="0.35">
      <c r="A137" t="s">
        <v>320</v>
      </c>
      <c r="B137" t="s">
        <v>321</v>
      </c>
      <c r="C137" t="s">
        <v>109</v>
      </c>
      <c r="D137" t="s">
        <v>108</v>
      </c>
      <c r="E137" s="2">
        <v>128910.19</v>
      </c>
      <c r="F137" s="2"/>
      <c r="G137" s="2"/>
      <c r="H137" s="8" t="str">
        <f t="shared" si="4"/>
        <v/>
      </c>
      <c r="I137" s="10" t="str">
        <f t="shared" si="5"/>
        <v/>
      </c>
      <c r="J137" s="2"/>
      <c r="K137" s="2"/>
      <c r="L137" s="2"/>
    </row>
    <row r="138" spans="1:12" ht="30" customHeight="1" x14ac:dyDescent="0.35">
      <c r="A138" t="s">
        <v>322</v>
      </c>
      <c r="B138" t="s">
        <v>323</v>
      </c>
      <c r="C138" t="s">
        <v>19</v>
      </c>
      <c r="D138" t="s">
        <v>18</v>
      </c>
      <c r="E138" s="2">
        <v>443.18</v>
      </c>
      <c r="F138" s="2"/>
      <c r="G138" s="2"/>
      <c r="H138" s="8" t="str">
        <f t="shared" si="4"/>
        <v/>
      </c>
      <c r="I138" s="10" t="str">
        <f t="shared" si="5"/>
        <v/>
      </c>
      <c r="J138" s="2"/>
      <c r="K138" s="2"/>
      <c r="L138" s="2"/>
    </row>
    <row r="139" spans="1:12" ht="30" customHeight="1" x14ac:dyDescent="0.35">
      <c r="A139" t="s">
        <v>324</v>
      </c>
      <c r="B139" t="s">
        <v>325</v>
      </c>
      <c r="C139" t="s">
        <v>77</v>
      </c>
      <c r="D139" t="s">
        <v>76</v>
      </c>
      <c r="E139" s="2">
        <v>152474</v>
      </c>
      <c r="F139" s="2"/>
      <c r="G139" s="2"/>
      <c r="H139" s="8" t="str">
        <f t="shared" si="4"/>
        <v/>
      </c>
      <c r="I139" s="10" t="str">
        <f t="shared" si="5"/>
        <v/>
      </c>
      <c r="J139" s="2"/>
      <c r="K139" s="2"/>
      <c r="L139" s="2"/>
    </row>
    <row r="140" spans="1:12" ht="30" customHeight="1" x14ac:dyDescent="0.35">
      <c r="A140" t="s">
        <v>326</v>
      </c>
      <c r="B140" t="s">
        <v>327</v>
      </c>
      <c r="C140" t="s">
        <v>33</v>
      </c>
      <c r="D140" t="s">
        <v>32</v>
      </c>
      <c r="E140" s="2">
        <v>2876833.54</v>
      </c>
      <c r="F140" s="2"/>
      <c r="G140" s="2"/>
      <c r="H140" s="8" t="str">
        <f t="shared" si="4"/>
        <v/>
      </c>
      <c r="I140" s="10" t="str">
        <f t="shared" si="5"/>
        <v/>
      </c>
      <c r="J140" s="2"/>
      <c r="K140" s="2"/>
      <c r="L140" s="2"/>
    </row>
    <row r="141" spans="1:12" ht="30" customHeight="1" x14ac:dyDescent="0.35">
      <c r="A141" t="s">
        <v>328</v>
      </c>
      <c r="B141" t="s">
        <v>329</v>
      </c>
      <c r="C141" t="s">
        <v>29</v>
      </c>
      <c r="D141" t="s">
        <v>28</v>
      </c>
      <c r="E141" s="2">
        <v>244506.91</v>
      </c>
      <c r="F141" s="2"/>
      <c r="G141" s="2"/>
      <c r="H141" s="8" t="str">
        <f t="shared" si="4"/>
        <v/>
      </c>
      <c r="I141" s="10" t="str">
        <f t="shared" si="5"/>
        <v/>
      </c>
      <c r="J141" s="2"/>
      <c r="K141" s="2"/>
      <c r="L141" s="2"/>
    </row>
    <row r="142" spans="1:12" ht="30" customHeight="1" x14ac:dyDescent="0.35">
      <c r="A142" t="s">
        <v>330</v>
      </c>
      <c r="B142" t="s">
        <v>331</v>
      </c>
      <c r="C142" t="s">
        <v>29</v>
      </c>
      <c r="D142" t="s">
        <v>28</v>
      </c>
      <c r="E142" s="2">
        <v>1412.5</v>
      </c>
      <c r="F142" s="2"/>
      <c r="G142" s="2"/>
      <c r="H142" s="8" t="str">
        <f t="shared" si="4"/>
        <v/>
      </c>
      <c r="I142" s="10" t="str">
        <f t="shared" si="5"/>
        <v/>
      </c>
      <c r="J142" s="2"/>
      <c r="K142" s="2"/>
      <c r="L142" s="2"/>
    </row>
    <row r="143" spans="1:12" ht="30" customHeight="1" x14ac:dyDescent="0.35">
      <c r="A143" t="s">
        <v>332</v>
      </c>
      <c r="B143" t="s">
        <v>333</v>
      </c>
      <c r="C143" t="s">
        <v>29</v>
      </c>
      <c r="D143" t="s">
        <v>28</v>
      </c>
      <c r="E143" s="2">
        <v>23014.68</v>
      </c>
      <c r="F143" s="2"/>
      <c r="G143" s="2"/>
      <c r="H143" s="8" t="str">
        <f t="shared" si="4"/>
        <v/>
      </c>
      <c r="I143" s="10" t="str">
        <f t="shared" si="5"/>
        <v/>
      </c>
      <c r="J143" s="2"/>
      <c r="K143" s="2"/>
      <c r="L143" s="2"/>
    </row>
    <row r="144" spans="1:12" ht="30" customHeight="1" x14ac:dyDescent="0.35">
      <c r="A144" t="s">
        <v>334</v>
      </c>
      <c r="B144" t="s">
        <v>335</v>
      </c>
      <c r="C144" t="s">
        <v>33</v>
      </c>
      <c r="D144" t="s">
        <v>32</v>
      </c>
      <c r="E144" s="2">
        <v>42651.46</v>
      </c>
      <c r="F144" s="2"/>
      <c r="G144" s="2"/>
      <c r="H144" s="8" t="str">
        <f t="shared" si="4"/>
        <v/>
      </c>
      <c r="I144" s="10" t="str">
        <f t="shared" si="5"/>
        <v/>
      </c>
      <c r="J144" s="2"/>
      <c r="K144" s="2"/>
      <c r="L144" s="2"/>
    </row>
    <row r="145" spans="1:12" ht="30" customHeight="1" x14ac:dyDescent="0.35">
      <c r="A145" t="s">
        <v>336</v>
      </c>
      <c r="B145" t="s">
        <v>337</v>
      </c>
      <c r="C145" t="s">
        <v>29</v>
      </c>
      <c r="D145" t="s">
        <v>28</v>
      </c>
      <c r="E145" s="2">
        <v>194501.33</v>
      </c>
      <c r="F145" s="2"/>
      <c r="G145" s="2"/>
      <c r="H145" s="8" t="str">
        <f t="shared" si="4"/>
        <v/>
      </c>
      <c r="I145" s="10" t="str">
        <f t="shared" si="5"/>
        <v/>
      </c>
      <c r="J145" s="2"/>
      <c r="K145" s="2"/>
      <c r="L145" s="2"/>
    </row>
    <row r="146" spans="1:12" ht="30" customHeight="1" x14ac:dyDescent="0.35">
      <c r="A146" t="s">
        <v>338</v>
      </c>
      <c r="B146" t="s">
        <v>339</v>
      </c>
      <c r="C146" t="s">
        <v>41</v>
      </c>
      <c r="D146" t="s">
        <v>40</v>
      </c>
      <c r="E146" s="2">
        <v>50558.37</v>
      </c>
      <c r="F146" s="2"/>
      <c r="G146" s="2"/>
      <c r="H146" s="8" t="str">
        <f t="shared" si="4"/>
        <v/>
      </c>
      <c r="I146" s="10" t="str">
        <f t="shared" si="5"/>
        <v/>
      </c>
      <c r="J146" s="2"/>
      <c r="K146" s="2"/>
      <c r="L146" s="2"/>
    </row>
    <row r="147" spans="1:12" ht="30" customHeight="1" x14ac:dyDescent="0.35">
      <c r="A147" t="s">
        <v>340</v>
      </c>
      <c r="B147" t="s">
        <v>341</v>
      </c>
      <c r="C147" t="s">
        <v>51</v>
      </c>
      <c r="D147" t="s">
        <v>50</v>
      </c>
      <c r="E147" s="2">
        <v>142206.56</v>
      </c>
      <c r="F147" s="2"/>
      <c r="G147" s="2"/>
      <c r="H147" s="8" t="str">
        <f t="shared" si="4"/>
        <v/>
      </c>
      <c r="I147" s="10" t="str">
        <f t="shared" si="5"/>
        <v/>
      </c>
      <c r="J147" s="2"/>
      <c r="K147" s="2"/>
      <c r="L147" s="2"/>
    </row>
    <row r="148" spans="1:12" ht="30" customHeight="1" x14ac:dyDescent="0.35">
      <c r="A148" t="s">
        <v>342</v>
      </c>
      <c r="B148" t="s">
        <v>343</v>
      </c>
      <c r="C148" t="s">
        <v>51</v>
      </c>
      <c r="D148" t="s">
        <v>50</v>
      </c>
      <c r="E148" s="2">
        <v>81559.98</v>
      </c>
      <c r="F148" s="2"/>
      <c r="G148" s="2"/>
      <c r="H148" s="8" t="str">
        <f t="shared" si="4"/>
        <v/>
      </c>
      <c r="I148" s="10" t="str">
        <f t="shared" si="5"/>
        <v/>
      </c>
      <c r="J148" s="2"/>
      <c r="K148" s="2"/>
      <c r="L148" s="2"/>
    </row>
    <row r="149" spans="1:12" ht="30" customHeight="1" x14ac:dyDescent="0.35">
      <c r="A149" t="s">
        <v>344</v>
      </c>
      <c r="B149" t="s">
        <v>345</v>
      </c>
      <c r="C149" t="s">
        <v>51</v>
      </c>
      <c r="D149" t="s">
        <v>50</v>
      </c>
      <c r="E149" s="2">
        <v>53342.86</v>
      </c>
      <c r="F149" s="2"/>
      <c r="G149" s="2"/>
      <c r="H149" s="8" t="str">
        <f t="shared" si="4"/>
        <v/>
      </c>
      <c r="I149" s="10" t="str">
        <f t="shared" si="5"/>
        <v/>
      </c>
      <c r="J149" s="2"/>
      <c r="K149" s="2"/>
      <c r="L149" s="2"/>
    </row>
    <row r="150" spans="1:12" ht="30" customHeight="1" x14ac:dyDescent="0.35">
      <c r="A150" t="s">
        <v>346</v>
      </c>
      <c r="B150" t="s">
        <v>347</v>
      </c>
      <c r="C150" t="s">
        <v>41</v>
      </c>
      <c r="D150" t="s">
        <v>40</v>
      </c>
      <c r="E150" s="2">
        <v>54171.79</v>
      </c>
      <c r="F150" s="2"/>
      <c r="G150" s="2"/>
      <c r="H150" s="8" t="str">
        <f t="shared" si="4"/>
        <v/>
      </c>
      <c r="I150" s="10" t="str">
        <f t="shared" si="5"/>
        <v/>
      </c>
      <c r="J150" s="2"/>
      <c r="K150" s="2"/>
      <c r="L150" s="2"/>
    </row>
    <row r="151" spans="1:12" ht="30" customHeight="1" x14ac:dyDescent="0.35">
      <c r="A151" t="s">
        <v>348</v>
      </c>
      <c r="B151" t="s">
        <v>349</v>
      </c>
      <c r="C151" t="s">
        <v>67</v>
      </c>
      <c r="D151" t="s">
        <v>66</v>
      </c>
      <c r="E151" s="2">
        <v>525939.17000000004</v>
      </c>
      <c r="F151" s="2"/>
      <c r="G151" s="2"/>
      <c r="H151" s="8" t="str">
        <f t="shared" si="4"/>
        <v/>
      </c>
      <c r="I151" s="10" t="str">
        <f t="shared" si="5"/>
        <v/>
      </c>
      <c r="J151" s="2"/>
      <c r="K151" s="2"/>
      <c r="L151" s="2"/>
    </row>
    <row r="152" spans="1:12" ht="30" customHeight="1" x14ac:dyDescent="0.35">
      <c r="A152" t="s">
        <v>350</v>
      </c>
      <c r="B152" t="s">
        <v>351</v>
      </c>
      <c r="C152" t="s">
        <v>51</v>
      </c>
      <c r="D152" t="s">
        <v>50</v>
      </c>
      <c r="E152" s="2">
        <v>69833.78</v>
      </c>
      <c r="F152" s="2"/>
      <c r="G152" s="2"/>
      <c r="H152" s="8" t="str">
        <f t="shared" si="4"/>
        <v/>
      </c>
      <c r="I152" s="10" t="str">
        <f t="shared" si="5"/>
        <v/>
      </c>
      <c r="J152" s="2"/>
      <c r="K152" s="2"/>
      <c r="L152" s="2"/>
    </row>
    <row r="153" spans="1:12" ht="30" customHeight="1" x14ac:dyDescent="0.35">
      <c r="A153" t="s">
        <v>352</v>
      </c>
      <c r="B153" t="s">
        <v>353</v>
      </c>
      <c r="C153" t="s">
        <v>77</v>
      </c>
      <c r="D153" t="s">
        <v>76</v>
      </c>
      <c r="E153" s="2">
        <v>20494.77</v>
      </c>
      <c r="F153" s="2"/>
      <c r="G153" s="2"/>
      <c r="H153" s="8" t="str">
        <f t="shared" si="4"/>
        <v/>
      </c>
      <c r="I153" s="10" t="str">
        <f t="shared" si="5"/>
        <v/>
      </c>
      <c r="J153" s="2"/>
      <c r="K153" s="2"/>
      <c r="L153" s="2"/>
    </row>
    <row r="154" spans="1:12" ht="30" customHeight="1" x14ac:dyDescent="0.35">
      <c r="A154" t="s">
        <v>354</v>
      </c>
      <c r="B154" t="s">
        <v>355</v>
      </c>
      <c r="C154" t="s">
        <v>33</v>
      </c>
      <c r="D154" t="s">
        <v>32</v>
      </c>
      <c r="E154" s="2">
        <v>5001.93</v>
      </c>
      <c r="F154" s="2"/>
      <c r="G154" s="2"/>
      <c r="H154" s="8" t="str">
        <f t="shared" si="4"/>
        <v/>
      </c>
      <c r="I154" s="10" t="str">
        <f t="shared" si="5"/>
        <v/>
      </c>
      <c r="J154" s="2"/>
      <c r="K154" s="2"/>
      <c r="L154" s="2"/>
    </row>
    <row r="155" spans="1:12" ht="30" customHeight="1" x14ac:dyDescent="0.35">
      <c r="A155" t="s">
        <v>356</v>
      </c>
      <c r="B155" t="s">
        <v>357</v>
      </c>
      <c r="C155" t="s">
        <v>259</v>
      </c>
      <c r="D155" t="s">
        <v>258</v>
      </c>
      <c r="E155" s="2">
        <v>331.36</v>
      </c>
      <c r="F155" s="2">
        <v>574830.98</v>
      </c>
      <c r="G155" s="2"/>
      <c r="H155" s="8">
        <f t="shared" si="4"/>
        <v>574830.98</v>
      </c>
      <c r="I155" s="10">
        <f t="shared" si="5"/>
        <v>5.7644770641972014E-4</v>
      </c>
      <c r="J155" s="2"/>
      <c r="K155" s="2"/>
      <c r="L155" s="2"/>
    </row>
    <row r="156" spans="1:12" ht="30" customHeight="1" x14ac:dyDescent="0.35">
      <c r="A156" t="s">
        <v>358</v>
      </c>
      <c r="B156" t="s">
        <v>359</v>
      </c>
      <c r="C156" t="s">
        <v>77</v>
      </c>
      <c r="D156" t="s">
        <v>76</v>
      </c>
      <c r="E156" s="2">
        <v>371812.97</v>
      </c>
      <c r="F156" s="2">
        <v>0</v>
      </c>
      <c r="G156" s="2">
        <v>400000</v>
      </c>
      <c r="H156" s="8">
        <f t="shared" si="4"/>
        <v>400000</v>
      </c>
      <c r="I156" s="10">
        <f t="shared" si="5"/>
        <v>0.92953242499999988</v>
      </c>
      <c r="J156" s="2"/>
      <c r="K156" s="2"/>
      <c r="L156" s="2"/>
    </row>
    <row r="157" spans="1:12" ht="30" customHeight="1" x14ac:dyDescent="0.35">
      <c r="A157" t="s">
        <v>360</v>
      </c>
      <c r="B157" t="s">
        <v>361</v>
      </c>
      <c r="C157" t="s">
        <v>41</v>
      </c>
      <c r="D157" t="s">
        <v>40</v>
      </c>
      <c r="E157" s="2">
        <v>14185.57</v>
      </c>
      <c r="F157" s="2"/>
      <c r="G157" s="2"/>
      <c r="H157" s="8" t="str">
        <f t="shared" si="4"/>
        <v/>
      </c>
      <c r="I157" s="10" t="str">
        <f t="shared" si="5"/>
        <v/>
      </c>
      <c r="J157" s="2"/>
      <c r="K157" s="2"/>
      <c r="L157" s="2"/>
    </row>
    <row r="158" spans="1:12" ht="30" customHeight="1" x14ac:dyDescent="0.35">
      <c r="A158" t="s">
        <v>362</v>
      </c>
      <c r="B158" t="s">
        <v>363</v>
      </c>
      <c r="C158" t="s">
        <v>41</v>
      </c>
      <c r="D158" t="s">
        <v>40</v>
      </c>
      <c r="E158" s="2">
        <v>1131.44</v>
      </c>
      <c r="F158" s="2"/>
      <c r="G158" s="2"/>
      <c r="H158" s="8" t="str">
        <f t="shared" si="4"/>
        <v/>
      </c>
      <c r="I158" s="10" t="str">
        <f t="shared" si="5"/>
        <v/>
      </c>
      <c r="J158" s="2"/>
      <c r="K158" s="2"/>
      <c r="L158" s="2"/>
    </row>
    <row r="159" spans="1:12" ht="30" customHeight="1" x14ac:dyDescent="0.35">
      <c r="A159" t="s">
        <v>364</v>
      </c>
      <c r="B159" t="s">
        <v>365</v>
      </c>
      <c r="C159" t="s">
        <v>29</v>
      </c>
      <c r="D159" t="s">
        <v>28</v>
      </c>
      <c r="E159" s="2">
        <v>5152.13</v>
      </c>
      <c r="F159" s="2"/>
      <c r="G159" s="2"/>
      <c r="H159" s="8" t="str">
        <f t="shared" si="4"/>
        <v/>
      </c>
      <c r="I159" s="10" t="str">
        <f t="shared" si="5"/>
        <v/>
      </c>
      <c r="J159" s="2"/>
      <c r="K159" s="2"/>
      <c r="L159" s="2"/>
    </row>
    <row r="160" spans="1:12" ht="30" customHeight="1" x14ac:dyDescent="0.35">
      <c r="A160" t="s">
        <v>366</v>
      </c>
      <c r="B160" t="s">
        <v>367</v>
      </c>
      <c r="C160" t="s">
        <v>51</v>
      </c>
      <c r="D160" t="s">
        <v>50</v>
      </c>
      <c r="E160" s="2">
        <v>78</v>
      </c>
      <c r="F160" s="2"/>
      <c r="G160" s="2"/>
      <c r="H160" s="8" t="str">
        <f t="shared" si="4"/>
        <v/>
      </c>
      <c r="I160" s="10" t="str">
        <f t="shared" si="5"/>
        <v/>
      </c>
      <c r="J160" s="2"/>
      <c r="K160" s="2"/>
      <c r="L160" s="2"/>
    </row>
    <row r="161" spans="1:12" ht="30" customHeight="1" x14ac:dyDescent="0.35">
      <c r="A161" t="s">
        <v>368</v>
      </c>
      <c r="B161" t="s">
        <v>369</v>
      </c>
      <c r="C161" t="s">
        <v>41</v>
      </c>
      <c r="D161" t="s">
        <v>40</v>
      </c>
      <c r="E161" s="2">
        <v>37410.589999999997</v>
      </c>
      <c r="F161" s="2"/>
      <c r="G161" s="2"/>
      <c r="H161" s="8" t="str">
        <f t="shared" si="4"/>
        <v/>
      </c>
      <c r="I161" s="10" t="str">
        <f t="shared" si="5"/>
        <v/>
      </c>
      <c r="J161" s="2"/>
      <c r="K161" s="2"/>
      <c r="L161" s="2"/>
    </row>
    <row r="162" spans="1:12" ht="30" customHeight="1" x14ac:dyDescent="0.35">
      <c r="A162" t="s">
        <v>370</v>
      </c>
      <c r="B162" t="s">
        <v>371</v>
      </c>
      <c r="C162" t="s">
        <v>33</v>
      </c>
      <c r="D162" t="s">
        <v>32</v>
      </c>
      <c r="E162" s="2">
        <v>14115.09</v>
      </c>
      <c r="F162" s="2">
        <v>15306.68</v>
      </c>
      <c r="G162" s="2">
        <v>31693.32</v>
      </c>
      <c r="H162" s="8">
        <f t="shared" si="4"/>
        <v>47000</v>
      </c>
      <c r="I162" s="10">
        <f t="shared" si="5"/>
        <v>0.30032106382978724</v>
      </c>
      <c r="J162" s="2"/>
      <c r="K162" s="2"/>
      <c r="L162" s="2"/>
    </row>
    <row r="163" spans="1:12" ht="30" customHeight="1" x14ac:dyDescent="0.35">
      <c r="A163" t="s">
        <v>372</v>
      </c>
      <c r="B163" t="s">
        <v>373</v>
      </c>
      <c r="C163" t="s">
        <v>15</v>
      </c>
      <c r="D163" t="s">
        <v>14</v>
      </c>
      <c r="E163" s="2">
        <v>98628.24</v>
      </c>
      <c r="F163" s="2">
        <v>883665.03</v>
      </c>
      <c r="G163" s="2">
        <v>226745.88</v>
      </c>
      <c r="H163" s="8">
        <f t="shared" si="4"/>
        <v>1110410.9100000001</v>
      </c>
      <c r="I163" s="10">
        <f t="shared" si="5"/>
        <v>8.8821389552089319E-2</v>
      </c>
      <c r="J163" s="2"/>
      <c r="K163" s="2"/>
      <c r="L163" s="2"/>
    </row>
    <row r="164" spans="1:12" ht="30" customHeight="1" x14ac:dyDescent="0.35">
      <c r="A164" t="s">
        <v>374</v>
      </c>
      <c r="B164" t="s">
        <v>375</v>
      </c>
      <c r="C164" t="s">
        <v>57</v>
      </c>
      <c r="D164" t="s">
        <v>56</v>
      </c>
      <c r="E164" s="2">
        <v>88061.89</v>
      </c>
      <c r="F164" s="2"/>
      <c r="G164" s="2"/>
      <c r="H164" s="8" t="str">
        <f t="shared" si="4"/>
        <v/>
      </c>
      <c r="I164" s="10" t="str">
        <f t="shared" si="5"/>
        <v/>
      </c>
      <c r="J164" s="2"/>
      <c r="K164" s="2"/>
      <c r="L164" s="2"/>
    </row>
    <row r="165" spans="1:12" ht="30" customHeight="1" x14ac:dyDescent="0.35">
      <c r="A165" t="s">
        <v>376</v>
      </c>
      <c r="B165" t="s">
        <v>377</v>
      </c>
      <c r="C165" t="s">
        <v>67</v>
      </c>
      <c r="D165" t="s">
        <v>66</v>
      </c>
      <c r="E165" s="2">
        <v>79026.02</v>
      </c>
      <c r="F165" s="2"/>
      <c r="G165" s="2"/>
      <c r="H165" s="8" t="str">
        <f t="shared" si="4"/>
        <v/>
      </c>
      <c r="I165" s="10" t="str">
        <f t="shared" si="5"/>
        <v/>
      </c>
      <c r="J165" s="2"/>
      <c r="K165" s="2"/>
      <c r="L165" s="2"/>
    </row>
    <row r="166" spans="1:12" ht="30" customHeight="1" x14ac:dyDescent="0.35">
      <c r="A166" t="s">
        <v>378</v>
      </c>
      <c r="B166" t="s">
        <v>379</v>
      </c>
      <c r="C166" t="s">
        <v>57</v>
      </c>
      <c r="D166" t="s">
        <v>56</v>
      </c>
      <c r="E166" s="2">
        <v>11551.89</v>
      </c>
      <c r="F166" s="2"/>
      <c r="G166" s="2"/>
      <c r="H166" s="8" t="str">
        <f t="shared" si="4"/>
        <v/>
      </c>
      <c r="I166" s="10" t="str">
        <f t="shared" si="5"/>
        <v/>
      </c>
      <c r="J166" s="2"/>
      <c r="K166" s="2"/>
      <c r="L166" s="2"/>
    </row>
    <row r="167" spans="1:12" ht="30" customHeight="1" x14ac:dyDescent="0.35">
      <c r="A167" t="s">
        <v>380</v>
      </c>
      <c r="B167" t="s">
        <v>381</v>
      </c>
      <c r="C167" t="s">
        <v>253</v>
      </c>
      <c r="D167" t="s">
        <v>252</v>
      </c>
      <c r="E167" s="2">
        <v>105920.21</v>
      </c>
      <c r="F167" s="2">
        <v>434850.54</v>
      </c>
      <c r="G167" s="2">
        <v>250000</v>
      </c>
      <c r="H167" s="8">
        <f t="shared" si="4"/>
        <v>684850.54</v>
      </c>
      <c r="I167" s="10">
        <f t="shared" si="5"/>
        <v>0.1546617894175859</v>
      </c>
      <c r="J167" s="2"/>
      <c r="K167" s="2"/>
      <c r="L167" s="2"/>
    </row>
    <row r="168" spans="1:12" ht="30" customHeight="1" x14ac:dyDescent="0.35">
      <c r="A168" t="s">
        <v>382</v>
      </c>
      <c r="B168" t="s">
        <v>383</v>
      </c>
      <c r="C168" t="s">
        <v>385</v>
      </c>
      <c r="D168" t="s">
        <v>384</v>
      </c>
      <c r="E168" s="2">
        <v>59.7</v>
      </c>
      <c r="F168" s="2"/>
      <c r="G168" s="2"/>
      <c r="H168" s="8" t="str">
        <f t="shared" si="4"/>
        <v/>
      </c>
      <c r="I168" s="10" t="str">
        <f t="shared" si="5"/>
        <v/>
      </c>
      <c r="J168" s="2"/>
      <c r="K168" s="2"/>
      <c r="L168" s="2"/>
    </row>
    <row r="169" spans="1:12" ht="30" customHeight="1" x14ac:dyDescent="0.35">
      <c r="A169" t="s">
        <v>386</v>
      </c>
      <c r="B169" t="s">
        <v>387</v>
      </c>
      <c r="C169" t="s">
        <v>33</v>
      </c>
      <c r="D169" t="s">
        <v>32</v>
      </c>
      <c r="E169" s="2">
        <v>47337.69</v>
      </c>
      <c r="F169" s="2"/>
      <c r="G169" s="2"/>
      <c r="H169" s="8" t="str">
        <f t="shared" si="4"/>
        <v/>
      </c>
      <c r="I169" s="10" t="str">
        <f t="shared" si="5"/>
        <v/>
      </c>
      <c r="J169" s="2"/>
      <c r="K169" s="2"/>
      <c r="L169" s="2"/>
    </row>
    <row r="170" spans="1:12" ht="30" customHeight="1" x14ac:dyDescent="0.35">
      <c r="A170" t="s">
        <v>388</v>
      </c>
      <c r="B170" t="s">
        <v>389</v>
      </c>
      <c r="C170" t="s">
        <v>19</v>
      </c>
      <c r="D170" t="s">
        <v>18</v>
      </c>
      <c r="E170" s="2">
        <v>40384.01</v>
      </c>
      <c r="F170" s="2"/>
      <c r="G170" s="2"/>
      <c r="H170" s="8" t="str">
        <f t="shared" si="4"/>
        <v/>
      </c>
      <c r="I170" s="10" t="str">
        <f t="shared" si="5"/>
        <v/>
      </c>
      <c r="J170" s="2"/>
      <c r="K170" s="2"/>
      <c r="L170" s="2"/>
    </row>
    <row r="171" spans="1:12" ht="30" customHeight="1" x14ac:dyDescent="0.35">
      <c r="A171" t="s">
        <v>390</v>
      </c>
      <c r="B171" t="s">
        <v>391</v>
      </c>
      <c r="C171" t="s">
        <v>109</v>
      </c>
      <c r="D171" t="s">
        <v>108</v>
      </c>
      <c r="E171" s="2">
        <v>46624.41</v>
      </c>
      <c r="F171" s="2"/>
      <c r="G171" s="2"/>
      <c r="H171" s="8" t="str">
        <f t="shared" si="4"/>
        <v/>
      </c>
      <c r="I171" s="10" t="str">
        <f t="shared" si="5"/>
        <v/>
      </c>
      <c r="J171" s="2"/>
      <c r="K171" s="2"/>
      <c r="L171" s="2"/>
    </row>
    <row r="172" spans="1:12" ht="30" customHeight="1" x14ac:dyDescent="0.35">
      <c r="A172" t="s">
        <v>392</v>
      </c>
      <c r="B172" t="s">
        <v>393</v>
      </c>
      <c r="C172" t="s">
        <v>15</v>
      </c>
      <c r="D172" t="s">
        <v>14</v>
      </c>
      <c r="E172" s="2">
        <v>147983.04000000001</v>
      </c>
      <c r="F172" s="2">
        <v>500000</v>
      </c>
      <c r="G172" s="2">
        <v>0</v>
      </c>
      <c r="H172" s="8">
        <f t="shared" si="4"/>
        <v>500000</v>
      </c>
      <c r="I172" s="10">
        <f t="shared" si="5"/>
        <v>0.29596608000000002</v>
      </c>
      <c r="J172" s="2"/>
      <c r="K172" s="2"/>
      <c r="L172" s="2"/>
    </row>
    <row r="173" spans="1:12" ht="30" customHeight="1" x14ac:dyDescent="0.35">
      <c r="A173" t="s">
        <v>394</v>
      </c>
      <c r="B173" t="s">
        <v>395</v>
      </c>
      <c r="C173" t="s">
        <v>57</v>
      </c>
      <c r="D173" t="s">
        <v>56</v>
      </c>
      <c r="E173" s="2">
        <v>365.35</v>
      </c>
      <c r="F173" s="2"/>
      <c r="G173" s="2"/>
      <c r="H173" s="8" t="str">
        <f t="shared" si="4"/>
        <v/>
      </c>
      <c r="I173" s="10" t="str">
        <f t="shared" si="5"/>
        <v/>
      </c>
      <c r="J173" s="2"/>
      <c r="K173" s="2"/>
      <c r="L173" s="2"/>
    </row>
    <row r="174" spans="1:12" ht="30" customHeight="1" x14ac:dyDescent="0.35">
      <c r="A174" t="s">
        <v>396</v>
      </c>
      <c r="B174" t="s">
        <v>397</v>
      </c>
      <c r="C174" t="s">
        <v>77</v>
      </c>
      <c r="D174" t="s">
        <v>76</v>
      </c>
      <c r="E174" s="2">
        <v>124143.59</v>
      </c>
      <c r="F174" s="2"/>
      <c r="G174" s="2"/>
      <c r="H174" s="8" t="str">
        <f t="shared" si="4"/>
        <v/>
      </c>
      <c r="I174" s="10" t="str">
        <f t="shared" si="5"/>
        <v/>
      </c>
      <c r="J174" s="2"/>
      <c r="K174" s="2"/>
      <c r="L174" s="2"/>
    </row>
    <row r="175" spans="1:12" ht="30" customHeight="1" x14ac:dyDescent="0.35">
      <c r="A175" t="s">
        <v>398</v>
      </c>
      <c r="B175" t="s">
        <v>399</v>
      </c>
      <c r="C175" t="s">
        <v>19</v>
      </c>
      <c r="D175" t="s">
        <v>18</v>
      </c>
      <c r="E175" s="2">
        <v>165774.88</v>
      </c>
      <c r="F175" s="2"/>
      <c r="G175" s="2"/>
      <c r="H175" s="8" t="str">
        <f t="shared" si="4"/>
        <v/>
      </c>
      <c r="I175" s="10" t="str">
        <f t="shared" si="5"/>
        <v/>
      </c>
      <c r="J175" s="2"/>
      <c r="K175" s="2"/>
      <c r="L175" s="2"/>
    </row>
    <row r="176" spans="1:12" ht="30" customHeight="1" x14ac:dyDescent="0.35">
      <c r="A176" t="s">
        <v>400</v>
      </c>
      <c r="B176" t="s">
        <v>401</v>
      </c>
      <c r="C176" t="s">
        <v>101</v>
      </c>
      <c r="D176" t="s">
        <v>100</v>
      </c>
      <c r="E176" s="2"/>
      <c r="F176" s="2">
        <v>2557218.7999999998</v>
      </c>
      <c r="G176" s="2">
        <v>1192781.2</v>
      </c>
      <c r="H176" s="8">
        <f t="shared" si="4"/>
        <v>3750000</v>
      </c>
      <c r="I176" s="10">
        <f t="shared" si="5"/>
        <v>0</v>
      </c>
      <c r="J176" s="2"/>
      <c r="K176" s="2"/>
      <c r="L176" s="2"/>
    </row>
    <row r="177" spans="1:12" ht="30" customHeight="1" x14ac:dyDescent="0.35">
      <c r="A177" t="s">
        <v>402</v>
      </c>
      <c r="B177" t="s">
        <v>403</v>
      </c>
      <c r="C177" t="s">
        <v>1679</v>
      </c>
      <c r="D177" t="s">
        <v>1621</v>
      </c>
      <c r="E177" s="2">
        <v>0</v>
      </c>
      <c r="F177" s="2"/>
      <c r="G177" s="2"/>
      <c r="H177" s="8" t="str">
        <f t="shared" si="4"/>
        <v/>
      </c>
      <c r="I177" s="10" t="str">
        <f t="shared" si="5"/>
        <v/>
      </c>
      <c r="J177" s="2"/>
      <c r="K177" s="2"/>
      <c r="L177" s="2"/>
    </row>
    <row r="178" spans="1:12" ht="30" customHeight="1" x14ac:dyDescent="0.35">
      <c r="A178" t="s">
        <v>406</v>
      </c>
      <c r="B178" t="s">
        <v>407</v>
      </c>
      <c r="C178" t="s">
        <v>29</v>
      </c>
      <c r="D178" t="s">
        <v>28</v>
      </c>
      <c r="E178" s="2">
        <v>181.26</v>
      </c>
      <c r="F178" s="2">
        <v>0</v>
      </c>
      <c r="G178" s="2">
        <v>250000</v>
      </c>
      <c r="H178" s="8">
        <f t="shared" si="4"/>
        <v>250000</v>
      </c>
      <c r="I178" s="10">
        <f t="shared" si="5"/>
        <v>7.2503999999999993E-4</v>
      </c>
      <c r="J178" s="2"/>
      <c r="K178" s="2"/>
      <c r="L178" s="2"/>
    </row>
    <row r="179" spans="1:12" ht="30" customHeight="1" x14ac:dyDescent="0.35">
      <c r="A179" t="s">
        <v>408</v>
      </c>
      <c r="B179" t="s">
        <v>409</v>
      </c>
      <c r="C179" t="s">
        <v>51</v>
      </c>
      <c r="D179" t="s">
        <v>50</v>
      </c>
      <c r="E179" s="2">
        <v>1582.4</v>
      </c>
      <c r="F179" s="2"/>
      <c r="G179" s="2"/>
      <c r="H179" s="8" t="str">
        <f t="shared" si="4"/>
        <v/>
      </c>
      <c r="I179" s="10" t="str">
        <f t="shared" si="5"/>
        <v/>
      </c>
      <c r="J179" s="2"/>
      <c r="K179" s="2"/>
      <c r="L179" s="2"/>
    </row>
    <row r="180" spans="1:12" ht="30" customHeight="1" x14ac:dyDescent="0.35">
      <c r="A180" t="s">
        <v>410</v>
      </c>
      <c r="B180" t="s">
        <v>411</v>
      </c>
      <c r="C180" t="s">
        <v>51</v>
      </c>
      <c r="D180" t="s">
        <v>50</v>
      </c>
      <c r="E180" s="2">
        <v>52216.1</v>
      </c>
      <c r="F180" s="2"/>
      <c r="G180" s="2"/>
      <c r="H180" s="8" t="str">
        <f t="shared" si="4"/>
        <v/>
      </c>
      <c r="I180" s="10" t="str">
        <f t="shared" si="5"/>
        <v/>
      </c>
      <c r="J180" s="2"/>
      <c r="K180" s="2"/>
      <c r="L180" s="2"/>
    </row>
    <row r="181" spans="1:12" ht="30" customHeight="1" x14ac:dyDescent="0.35">
      <c r="A181" t="s">
        <v>412</v>
      </c>
      <c r="B181" t="s">
        <v>413</v>
      </c>
      <c r="C181" t="s">
        <v>67</v>
      </c>
      <c r="D181" t="s">
        <v>66</v>
      </c>
      <c r="E181" s="2">
        <v>25467.09</v>
      </c>
      <c r="F181" s="2"/>
      <c r="G181" s="2"/>
      <c r="H181" s="8" t="str">
        <f t="shared" si="4"/>
        <v/>
      </c>
      <c r="I181" s="10" t="str">
        <f t="shared" si="5"/>
        <v/>
      </c>
      <c r="J181" s="2"/>
      <c r="K181" s="2"/>
      <c r="L181" s="2"/>
    </row>
    <row r="182" spans="1:12" ht="30" customHeight="1" x14ac:dyDescent="0.35">
      <c r="A182" t="s">
        <v>2222</v>
      </c>
      <c r="B182" t="s">
        <v>2223</v>
      </c>
      <c r="C182" t="s">
        <v>109</v>
      </c>
      <c r="D182" t="s">
        <v>108</v>
      </c>
      <c r="E182" s="2">
        <v>656.59</v>
      </c>
      <c r="F182" s="2"/>
      <c r="G182" s="2"/>
      <c r="H182" s="8" t="str">
        <f t="shared" si="4"/>
        <v/>
      </c>
      <c r="I182" s="10" t="str">
        <f t="shared" si="5"/>
        <v/>
      </c>
      <c r="J182" s="2"/>
      <c r="K182" s="2"/>
      <c r="L182" s="2"/>
    </row>
    <row r="183" spans="1:12" ht="30" customHeight="1" x14ac:dyDescent="0.35">
      <c r="A183" t="s">
        <v>414</v>
      </c>
      <c r="B183" t="s">
        <v>415</v>
      </c>
      <c r="C183" t="s">
        <v>19</v>
      </c>
      <c r="D183" t="s">
        <v>18</v>
      </c>
      <c r="E183" s="2">
        <v>8881.94</v>
      </c>
      <c r="F183" s="2"/>
      <c r="G183" s="2"/>
      <c r="H183" s="8" t="str">
        <f t="shared" si="4"/>
        <v/>
      </c>
      <c r="I183" s="10" t="str">
        <f t="shared" si="5"/>
        <v/>
      </c>
      <c r="J183" s="2"/>
      <c r="K183" s="2"/>
      <c r="L183" s="2"/>
    </row>
    <row r="184" spans="1:12" ht="30" customHeight="1" x14ac:dyDescent="0.35">
      <c r="A184" t="s">
        <v>416</v>
      </c>
      <c r="B184" t="s">
        <v>417</v>
      </c>
      <c r="C184" t="s">
        <v>51</v>
      </c>
      <c r="D184" t="s">
        <v>50</v>
      </c>
      <c r="E184" s="2">
        <v>49046</v>
      </c>
      <c r="F184" s="2">
        <v>0</v>
      </c>
      <c r="G184" s="2">
        <v>500</v>
      </c>
      <c r="H184" s="8">
        <f t="shared" si="4"/>
        <v>500</v>
      </c>
      <c r="I184" s="10">
        <f t="shared" si="5"/>
        <v>98.091999999999999</v>
      </c>
      <c r="J184" s="2"/>
      <c r="K184" s="2"/>
      <c r="L184" s="2"/>
    </row>
    <row r="185" spans="1:12" ht="30" customHeight="1" x14ac:dyDescent="0.35">
      <c r="A185" t="s">
        <v>418</v>
      </c>
      <c r="B185" t="s">
        <v>419</v>
      </c>
      <c r="C185" t="s">
        <v>19</v>
      </c>
      <c r="D185" t="s">
        <v>18</v>
      </c>
      <c r="E185" s="2">
        <v>323.57</v>
      </c>
      <c r="F185" s="2"/>
      <c r="G185" s="2"/>
      <c r="H185" s="8" t="str">
        <f t="shared" si="4"/>
        <v/>
      </c>
      <c r="I185" s="10" t="str">
        <f t="shared" si="5"/>
        <v/>
      </c>
      <c r="J185" s="2"/>
      <c r="K185" s="2"/>
      <c r="L185" s="2"/>
    </row>
    <row r="186" spans="1:12" ht="30" customHeight="1" x14ac:dyDescent="0.35">
      <c r="A186" t="s">
        <v>420</v>
      </c>
      <c r="B186" t="s">
        <v>421</v>
      </c>
      <c r="C186" t="s">
        <v>109</v>
      </c>
      <c r="D186" t="s">
        <v>108</v>
      </c>
      <c r="E186" s="2">
        <v>7882.74</v>
      </c>
      <c r="F186" s="2"/>
      <c r="G186" s="2"/>
      <c r="H186" s="8" t="str">
        <f t="shared" si="4"/>
        <v/>
      </c>
      <c r="I186" s="10" t="str">
        <f t="shared" si="5"/>
        <v/>
      </c>
      <c r="J186" s="2"/>
      <c r="K186" s="2"/>
      <c r="L186" s="2"/>
    </row>
    <row r="187" spans="1:12" ht="30" customHeight="1" x14ac:dyDescent="0.35">
      <c r="A187" t="s">
        <v>422</v>
      </c>
      <c r="B187" t="s">
        <v>423</v>
      </c>
      <c r="C187" t="s">
        <v>101</v>
      </c>
      <c r="D187" t="s">
        <v>100</v>
      </c>
      <c r="E187" s="2">
        <v>762477.44</v>
      </c>
      <c r="F187" s="2">
        <v>480827.39</v>
      </c>
      <c r="G187" s="2">
        <v>480586.03</v>
      </c>
      <c r="H187" s="8">
        <f t="shared" si="4"/>
        <v>961413.42</v>
      </c>
      <c r="I187" s="10">
        <f t="shared" si="5"/>
        <v>0.79307967221843012</v>
      </c>
      <c r="J187" s="2"/>
      <c r="K187" s="2"/>
      <c r="L187" s="2"/>
    </row>
    <row r="188" spans="1:12" ht="30" customHeight="1" x14ac:dyDescent="0.35">
      <c r="A188" t="s">
        <v>424</v>
      </c>
      <c r="B188" t="s">
        <v>425</v>
      </c>
      <c r="C188" t="s">
        <v>51</v>
      </c>
      <c r="D188" t="s">
        <v>50</v>
      </c>
      <c r="E188" s="2">
        <v>10386.700000000001</v>
      </c>
      <c r="F188" s="2">
        <v>107626.86</v>
      </c>
      <c r="G188" s="2">
        <v>17373.14</v>
      </c>
      <c r="H188" s="8">
        <f t="shared" si="4"/>
        <v>125000</v>
      </c>
      <c r="I188" s="10">
        <f t="shared" si="5"/>
        <v>8.3093600000000004E-2</v>
      </c>
      <c r="J188" s="2"/>
      <c r="K188" s="2"/>
      <c r="L188" s="2"/>
    </row>
    <row r="189" spans="1:12" ht="30" customHeight="1" x14ac:dyDescent="0.35">
      <c r="A189" t="s">
        <v>426</v>
      </c>
      <c r="B189" t="s">
        <v>427</v>
      </c>
      <c r="C189" t="s">
        <v>19</v>
      </c>
      <c r="D189" t="s">
        <v>18</v>
      </c>
      <c r="E189" s="2">
        <v>33200.9</v>
      </c>
      <c r="F189" s="2">
        <v>4985.2</v>
      </c>
      <c r="G189" s="2"/>
      <c r="H189" s="8">
        <f t="shared" si="4"/>
        <v>4985.2</v>
      </c>
      <c r="I189" s="10">
        <f t="shared" si="5"/>
        <v>6.659893284120999</v>
      </c>
      <c r="J189" s="2"/>
      <c r="K189" s="2"/>
      <c r="L189" s="2"/>
    </row>
    <row r="190" spans="1:12" ht="30" customHeight="1" x14ac:dyDescent="0.35">
      <c r="A190" t="s">
        <v>428</v>
      </c>
      <c r="B190" t="s">
        <v>429</v>
      </c>
      <c r="C190" t="s">
        <v>109</v>
      </c>
      <c r="D190" t="s">
        <v>108</v>
      </c>
      <c r="E190" s="2">
        <v>21377.27</v>
      </c>
      <c r="F190" s="2">
        <v>0</v>
      </c>
      <c r="G190" s="2">
        <v>5000</v>
      </c>
      <c r="H190" s="8">
        <f t="shared" si="4"/>
        <v>5000</v>
      </c>
      <c r="I190" s="10">
        <f t="shared" si="5"/>
        <v>4.2754539999999999</v>
      </c>
      <c r="J190" s="2"/>
      <c r="K190" s="2"/>
      <c r="L190" s="2"/>
    </row>
    <row r="191" spans="1:12" ht="30" customHeight="1" x14ac:dyDescent="0.35">
      <c r="A191" t="s">
        <v>430</v>
      </c>
      <c r="B191" t="s">
        <v>431</v>
      </c>
      <c r="C191" t="s">
        <v>51</v>
      </c>
      <c r="D191" t="s">
        <v>50</v>
      </c>
      <c r="E191" s="2">
        <v>160517.01999999999</v>
      </c>
      <c r="F191" s="2"/>
      <c r="G191" s="2"/>
      <c r="H191" s="8" t="str">
        <f t="shared" si="4"/>
        <v/>
      </c>
      <c r="I191" s="10" t="str">
        <f t="shared" si="5"/>
        <v/>
      </c>
      <c r="J191" s="2"/>
      <c r="K191" s="2"/>
      <c r="L191" s="2"/>
    </row>
    <row r="192" spans="1:12" ht="30" customHeight="1" x14ac:dyDescent="0.35">
      <c r="A192" t="s">
        <v>432</v>
      </c>
      <c r="B192" t="s">
        <v>433</v>
      </c>
      <c r="C192" t="s">
        <v>51</v>
      </c>
      <c r="D192" t="s">
        <v>50</v>
      </c>
      <c r="E192" s="2">
        <v>278541.49</v>
      </c>
      <c r="F192" s="2">
        <v>0</v>
      </c>
      <c r="G192" s="2">
        <v>1000</v>
      </c>
      <c r="H192" s="8">
        <f t="shared" ref="H192:H255" si="6">IF(ISBLANK(F192), "",(F192+G192))</f>
        <v>1000</v>
      </c>
      <c r="I192" s="10">
        <f t="shared" ref="I192:I255" si="7">IF(ISBLANK(F192), "", E192/H192)</f>
        <v>278.54149000000001</v>
      </c>
      <c r="J192" s="2"/>
      <c r="K192" s="2"/>
      <c r="L192" s="2"/>
    </row>
    <row r="193" spans="1:12" ht="30" customHeight="1" x14ac:dyDescent="0.35">
      <c r="A193" t="s">
        <v>434</v>
      </c>
      <c r="B193" t="s">
        <v>435</v>
      </c>
      <c r="C193" t="s">
        <v>109</v>
      </c>
      <c r="D193" t="s">
        <v>108</v>
      </c>
      <c r="E193" s="2">
        <v>21902.02</v>
      </c>
      <c r="F193" s="2"/>
      <c r="G193" s="2"/>
      <c r="H193" s="8" t="str">
        <f t="shared" si="6"/>
        <v/>
      </c>
      <c r="I193" s="10" t="str">
        <f t="shared" si="7"/>
        <v/>
      </c>
      <c r="J193" s="2"/>
      <c r="K193" s="2"/>
      <c r="L193" s="2"/>
    </row>
    <row r="194" spans="1:12" ht="30" customHeight="1" x14ac:dyDescent="0.35">
      <c r="A194" t="s">
        <v>436</v>
      </c>
      <c r="B194" t="s">
        <v>437</v>
      </c>
      <c r="C194" t="s">
        <v>67</v>
      </c>
      <c r="D194" t="s">
        <v>66</v>
      </c>
      <c r="E194" s="2">
        <v>191814.35</v>
      </c>
      <c r="F194" s="2"/>
      <c r="G194" s="2"/>
      <c r="H194" s="8" t="str">
        <f t="shared" si="6"/>
        <v/>
      </c>
      <c r="I194" s="10" t="str">
        <f t="shared" si="7"/>
        <v/>
      </c>
      <c r="J194" s="2"/>
      <c r="K194" s="2"/>
      <c r="L194" s="2"/>
    </row>
    <row r="195" spans="1:12" ht="30" customHeight="1" x14ac:dyDescent="0.35">
      <c r="A195" t="s">
        <v>438</v>
      </c>
      <c r="B195" t="s">
        <v>439</v>
      </c>
      <c r="C195" t="s">
        <v>15</v>
      </c>
      <c r="D195" t="s">
        <v>14</v>
      </c>
      <c r="E195" s="2">
        <v>1025</v>
      </c>
      <c r="F195" s="2"/>
      <c r="G195" s="2"/>
      <c r="H195" s="8" t="str">
        <f t="shared" si="6"/>
        <v/>
      </c>
      <c r="I195" s="10" t="str">
        <f t="shared" si="7"/>
        <v/>
      </c>
      <c r="J195" s="2"/>
      <c r="K195" s="2"/>
      <c r="L195" s="2"/>
    </row>
    <row r="196" spans="1:12" ht="30" customHeight="1" x14ac:dyDescent="0.35">
      <c r="A196" t="s">
        <v>440</v>
      </c>
      <c r="B196" t="s">
        <v>441</v>
      </c>
      <c r="C196" t="s">
        <v>11</v>
      </c>
      <c r="D196" t="s">
        <v>10</v>
      </c>
      <c r="E196" s="2">
        <v>41073.83</v>
      </c>
      <c r="F196" s="2">
        <v>568768.19999999995</v>
      </c>
      <c r="G196" s="2"/>
      <c r="H196" s="8">
        <f t="shared" si="6"/>
        <v>568768.19999999995</v>
      </c>
      <c r="I196" s="10">
        <f t="shared" si="7"/>
        <v>7.2215412183733202E-2</v>
      </c>
      <c r="J196" s="2"/>
      <c r="K196" s="2"/>
      <c r="L196" s="2"/>
    </row>
    <row r="197" spans="1:12" ht="30" customHeight="1" x14ac:dyDescent="0.35">
      <c r="A197" t="s">
        <v>442</v>
      </c>
      <c r="B197" t="s">
        <v>443</v>
      </c>
      <c r="C197" t="s">
        <v>101</v>
      </c>
      <c r="D197" t="s">
        <v>100</v>
      </c>
      <c r="E197" s="2">
        <v>26643.42</v>
      </c>
      <c r="F197" s="2">
        <v>801073.93</v>
      </c>
      <c r="G197" s="2">
        <v>41003.949999999997</v>
      </c>
      <c r="H197" s="8">
        <f t="shared" si="6"/>
        <v>842077.88</v>
      </c>
      <c r="I197" s="10">
        <f t="shared" si="7"/>
        <v>3.1640090106630041E-2</v>
      </c>
      <c r="J197" s="2"/>
      <c r="K197" s="2"/>
      <c r="L197" s="2"/>
    </row>
    <row r="198" spans="1:12" ht="30" customHeight="1" x14ac:dyDescent="0.35">
      <c r="A198" t="s">
        <v>444</v>
      </c>
      <c r="B198" t="s">
        <v>445</v>
      </c>
      <c r="C198" t="s">
        <v>29</v>
      </c>
      <c r="D198" t="s">
        <v>28</v>
      </c>
      <c r="E198" s="2">
        <v>428.7</v>
      </c>
      <c r="F198" s="2">
        <v>245628.54</v>
      </c>
      <c r="G198" s="2">
        <v>4371.46</v>
      </c>
      <c r="H198" s="8">
        <f t="shared" si="6"/>
        <v>250000</v>
      </c>
      <c r="I198" s="10">
        <f t="shared" si="7"/>
        <v>1.7148E-3</v>
      </c>
      <c r="J198" s="2"/>
      <c r="K198" s="2"/>
      <c r="L198" s="2"/>
    </row>
    <row r="199" spans="1:12" ht="30" customHeight="1" x14ac:dyDescent="0.35">
      <c r="A199" t="s">
        <v>446</v>
      </c>
      <c r="B199" t="s">
        <v>447</v>
      </c>
      <c r="C199" t="s">
        <v>15</v>
      </c>
      <c r="D199" t="s">
        <v>14</v>
      </c>
      <c r="E199" s="2">
        <v>128525.66</v>
      </c>
      <c r="F199" s="2">
        <v>7301914.0999999996</v>
      </c>
      <c r="G199" s="2"/>
      <c r="H199" s="8">
        <f t="shared" si="6"/>
        <v>7301914.0999999996</v>
      </c>
      <c r="I199" s="10">
        <f t="shared" si="7"/>
        <v>1.7601639548183674E-2</v>
      </c>
      <c r="J199" s="2"/>
      <c r="K199" s="2"/>
      <c r="L199" s="2"/>
    </row>
    <row r="200" spans="1:12" ht="30" customHeight="1" x14ac:dyDescent="0.35">
      <c r="A200" t="s">
        <v>448</v>
      </c>
      <c r="B200" t="s">
        <v>449</v>
      </c>
      <c r="C200" t="s">
        <v>77</v>
      </c>
      <c r="D200" t="s">
        <v>76</v>
      </c>
      <c r="E200" s="2"/>
      <c r="F200" s="2">
        <v>165091.24</v>
      </c>
      <c r="G200" s="2"/>
      <c r="H200" s="8">
        <f t="shared" si="6"/>
        <v>165091.24</v>
      </c>
      <c r="I200" s="10">
        <f t="shared" si="7"/>
        <v>0</v>
      </c>
      <c r="J200" s="2"/>
      <c r="K200" s="2"/>
      <c r="L200" s="2"/>
    </row>
    <row r="201" spans="1:12" ht="30" customHeight="1" x14ac:dyDescent="0.35">
      <c r="A201" t="s">
        <v>450</v>
      </c>
      <c r="B201" t="s">
        <v>451</v>
      </c>
      <c r="C201" t="s">
        <v>29</v>
      </c>
      <c r="D201" t="s">
        <v>28</v>
      </c>
      <c r="E201" s="2">
        <v>599.42999999999995</v>
      </c>
      <c r="F201" s="2">
        <v>22.04</v>
      </c>
      <c r="G201" s="2">
        <v>249977.96</v>
      </c>
      <c r="H201" s="8">
        <f t="shared" si="6"/>
        <v>250000</v>
      </c>
      <c r="I201" s="10">
        <f t="shared" si="7"/>
        <v>2.3977199999999999E-3</v>
      </c>
      <c r="J201" s="2"/>
      <c r="K201" s="2"/>
      <c r="L201" s="2"/>
    </row>
    <row r="202" spans="1:12" ht="30" customHeight="1" x14ac:dyDescent="0.35">
      <c r="A202" t="s">
        <v>452</v>
      </c>
      <c r="B202" t="s">
        <v>453</v>
      </c>
      <c r="C202" t="s">
        <v>253</v>
      </c>
      <c r="D202" t="s">
        <v>252</v>
      </c>
      <c r="E202" s="2">
        <v>421812.36</v>
      </c>
      <c r="F202" s="2">
        <v>2326320.3199999998</v>
      </c>
      <c r="G202" s="2"/>
      <c r="H202" s="8">
        <f t="shared" si="6"/>
        <v>2326320.3199999998</v>
      </c>
      <c r="I202" s="10">
        <f t="shared" si="7"/>
        <v>0.18132170207755396</v>
      </c>
      <c r="J202" s="2"/>
      <c r="K202" s="2"/>
      <c r="L202" s="2"/>
    </row>
    <row r="203" spans="1:12" ht="30" customHeight="1" x14ac:dyDescent="0.35">
      <c r="A203" t="s">
        <v>454</v>
      </c>
      <c r="B203" t="s">
        <v>455</v>
      </c>
      <c r="C203" t="s">
        <v>457</v>
      </c>
      <c r="D203" t="s">
        <v>456</v>
      </c>
      <c r="E203" s="2">
        <v>30402.27</v>
      </c>
      <c r="F203" s="2">
        <v>587372.28</v>
      </c>
      <c r="G203" s="2"/>
      <c r="H203" s="8">
        <f t="shared" si="6"/>
        <v>587372.28</v>
      </c>
      <c r="I203" s="10">
        <f t="shared" si="7"/>
        <v>5.1759797040473204E-2</v>
      </c>
      <c r="J203" s="2"/>
      <c r="K203" s="2"/>
      <c r="L203" s="2"/>
    </row>
    <row r="204" spans="1:12" ht="30" customHeight="1" x14ac:dyDescent="0.35">
      <c r="A204" t="s">
        <v>458</v>
      </c>
      <c r="B204" t="s">
        <v>459</v>
      </c>
      <c r="C204" t="s">
        <v>461</v>
      </c>
      <c r="D204" t="s">
        <v>460</v>
      </c>
      <c r="E204" s="2">
        <v>0</v>
      </c>
      <c r="F204" s="2"/>
      <c r="G204" s="2"/>
      <c r="H204" s="8" t="str">
        <f t="shared" si="6"/>
        <v/>
      </c>
      <c r="I204" s="10" t="str">
        <f t="shared" si="7"/>
        <v/>
      </c>
      <c r="J204" s="2"/>
      <c r="K204" s="2"/>
      <c r="L204" s="2"/>
    </row>
    <row r="205" spans="1:12" ht="30" customHeight="1" x14ac:dyDescent="0.35">
      <c r="A205" t="s">
        <v>462</v>
      </c>
      <c r="B205" t="s">
        <v>463</v>
      </c>
      <c r="C205" t="s">
        <v>465</v>
      </c>
      <c r="D205" t="s">
        <v>464</v>
      </c>
      <c r="E205" s="2">
        <v>1340513.21</v>
      </c>
      <c r="F205" s="2">
        <v>5805781.1399999997</v>
      </c>
      <c r="G205" s="2"/>
      <c r="H205" s="8">
        <f t="shared" si="6"/>
        <v>5805781.1399999997</v>
      </c>
      <c r="I205" s="10">
        <f t="shared" si="7"/>
        <v>0.2308928252159364</v>
      </c>
      <c r="J205" s="2"/>
      <c r="K205" s="2"/>
      <c r="L205" s="2"/>
    </row>
    <row r="206" spans="1:12" ht="30" customHeight="1" x14ac:dyDescent="0.35">
      <c r="A206" t="s">
        <v>466</v>
      </c>
      <c r="B206" t="s">
        <v>467</v>
      </c>
      <c r="C206" t="s">
        <v>19</v>
      </c>
      <c r="D206" t="s">
        <v>18</v>
      </c>
      <c r="E206" s="2">
        <v>14582.04</v>
      </c>
      <c r="F206" s="2">
        <v>267404.36</v>
      </c>
      <c r="G206" s="2">
        <v>144639.72</v>
      </c>
      <c r="H206" s="8">
        <f t="shared" si="6"/>
        <v>412044.07999999996</v>
      </c>
      <c r="I206" s="10">
        <f t="shared" si="7"/>
        <v>3.5389514636395218E-2</v>
      </c>
      <c r="J206" s="2"/>
      <c r="K206" s="2"/>
      <c r="L206" s="2"/>
    </row>
    <row r="207" spans="1:12" ht="30" customHeight="1" x14ac:dyDescent="0.35">
      <c r="A207" t="s">
        <v>468</v>
      </c>
      <c r="B207" t="s">
        <v>469</v>
      </c>
      <c r="C207" t="s">
        <v>471</v>
      </c>
      <c r="D207" t="s">
        <v>470</v>
      </c>
      <c r="E207" s="2">
        <v>0</v>
      </c>
      <c r="F207" s="2"/>
      <c r="G207" s="2"/>
      <c r="H207" s="8" t="str">
        <f t="shared" si="6"/>
        <v/>
      </c>
      <c r="I207" s="10" t="str">
        <f t="shared" si="7"/>
        <v/>
      </c>
      <c r="J207" s="2"/>
      <c r="K207" s="2"/>
      <c r="L207" s="2"/>
    </row>
    <row r="208" spans="1:12" ht="30" customHeight="1" x14ac:dyDescent="0.35">
      <c r="A208" t="s">
        <v>472</v>
      </c>
      <c r="B208" t="s">
        <v>473</v>
      </c>
      <c r="C208" t="s">
        <v>19</v>
      </c>
      <c r="D208" t="s">
        <v>18</v>
      </c>
      <c r="E208" s="2">
        <v>800</v>
      </c>
      <c r="F208" s="2">
        <v>380252.03</v>
      </c>
      <c r="G208" s="2"/>
      <c r="H208" s="8">
        <f t="shared" si="6"/>
        <v>380252.03</v>
      </c>
      <c r="I208" s="10">
        <f t="shared" si="7"/>
        <v>2.1038677952620001E-3</v>
      </c>
      <c r="J208" s="2"/>
      <c r="K208" s="2"/>
      <c r="L208" s="2"/>
    </row>
    <row r="209" spans="1:12" ht="30" customHeight="1" x14ac:dyDescent="0.35">
      <c r="A209" t="s">
        <v>474</v>
      </c>
      <c r="B209" t="s">
        <v>475</v>
      </c>
      <c r="C209" t="s">
        <v>471</v>
      </c>
      <c r="D209" t="s">
        <v>470</v>
      </c>
      <c r="E209" s="2">
        <v>0</v>
      </c>
      <c r="F209" s="2"/>
      <c r="G209" s="2"/>
      <c r="H209" s="8" t="str">
        <f t="shared" si="6"/>
        <v/>
      </c>
      <c r="I209" s="10" t="str">
        <f t="shared" si="7"/>
        <v/>
      </c>
      <c r="J209" s="2"/>
      <c r="K209" s="2"/>
      <c r="L209" s="2"/>
    </row>
    <row r="210" spans="1:12" ht="30" customHeight="1" x14ac:dyDescent="0.35">
      <c r="A210" t="s">
        <v>476</v>
      </c>
      <c r="B210" t="s">
        <v>477</v>
      </c>
      <c r="C210" t="s">
        <v>461</v>
      </c>
      <c r="D210" t="s">
        <v>460</v>
      </c>
      <c r="E210" s="2">
        <v>0</v>
      </c>
      <c r="F210" s="2"/>
      <c r="G210" s="2"/>
      <c r="H210" s="8" t="str">
        <f t="shared" si="6"/>
        <v/>
      </c>
      <c r="I210" s="10" t="str">
        <f t="shared" si="7"/>
        <v/>
      </c>
      <c r="J210" s="2"/>
      <c r="K210" s="2"/>
      <c r="L210" s="2"/>
    </row>
    <row r="211" spans="1:12" ht="30" customHeight="1" x14ac:dyDescent="0.35">
      <c r="A211" t="s">
        <v>478</v>
      </c>
      <c r="B211" t="s">
        <v>479</v>
      </c>
      <c r="C211" t="s">
        <v>461</v>
      </c>
      <c r="D211" t="s">
        <v>460</v>
      </c>
      <c r="E211" s="2">
        <v>10</v>
      </c>
      <c r="F211" s="2"/>
      <c r="G211" s="2"/>
      <c r="H211" s="8" t="str">
        <f t="shared" si="6"/>
        <v/>
      </c>
      <c r="I211" s="10" t="str">
        <f t="shared" si="7"/>
        <v/>
      </c>
      <c r="J211" s="2"/>
      <c r="K211" s="2"/>
      <c r="L211" s="2"/>
    </row>
    <row r="212" spans="1:12" ht="30" customHeight="1" x14ac:dyDescent="0.35">
      <c r="A212" t="s">
        <v>480</v>
      </c>
      <c r="B212" t="s">
        <v>481</v>
      </c>
      <c r="C212" t="s">
        <v>19</v>
      </c>
      <c r="D212" t="s">
        <v>18</v>
      </c>
      <c r="E212" s="2">
        <v>15191.46</v>
      </c>
      <c r="F212" s="2">
        <v>605502.73</v>
      </c>
      <c r="G212" s="2"/>
      <c r="H212" s="8">
        <f t="shared" si="6"/>
        <v>605502.73</v>
      </c>
      <c r="I212" s="10">
        <f t="shared" si="7"/>
        <v>2.508900331465062E-2</v>
      </c>
      <c r="J212" s="2"/>
      <c r="K212" s="2"/>
      <c r="L212" s="2"/>
    </row>
    <row r="213" spans="1:12" ht="30" customHeight="1" x14ac:dyDescent="0.35">
      <c r="A213" t="s">
        <v>482</v>
      </c>
      <c r="B213" t="s">
        <v>483</v>
      </c>
      <c r="C213" t="s">
        <v>101</v>
      </c>
      <c r="D213" t="s">
        <v>100</v>
      </c>
      <c r="E213" s="2">
        <v>408274.09</v>
      </c>
      <c r="F213" s="2">
        <v>100000</v>
      </c>
      <c r="G213" s="2">
        <v>100000</v>
      </c>
      <c r="H213" s="8">
        <f t="shared" si="6"/>
        <v>200000</v>
      </c>
      <c r="I213" s="10">
        <f t="shared" si="7"/>
        <v>2.0413704500000001</v>
      </c>
      <c r="J213" s="2"/>
      <c r="K213" s="2"/>
      <c r="L213" s="2"/>
    </row>
    <row r="214" spans="1:12" ht="30" customHeight="1" x14ac:dyDescent="0.35">
      <c r="A214" t="s">
        <v>484</v>
      </c>
      <c r="B214" t="s">
        <v>485</v>
      </c>
      <c r="C214" t="s">
        <v>487</v>
      </c>
      <c r="D214" t="s">
        <v>486</v>
      </c>
      <c r="E214" s="2">
        <v>1038657.73</v>
      </c>
      <c r="F214" s="2">
        <v>721229.88</v>
      </c>
      <c r="G214" s="2">
        <v>750000</v>
      </c>
      <c r="H214" s="8">
        <f t="shared" si="6"/>
        <v>1471229.88</v>
      </c>
      <c r="I214" s="10">
        <f t="shared" si="7"/>
        <v>0.70597922467425689</v>
      </c>
      <c r="J214" s="2"/>
      <c r="K214" s="2"/>
      <c r="L214" s="2"/>
    </row>
    <row r="215" spans="1:12" ht="30" customHeight="1" x14ac:dyDescent="0.35">
      <c r="A215" t="s">
        <v>488</v>
      </c>
      <c r="B215" t="s">
        <v>489</v>
      </c>
      <c r="C215" t="s">
        <v>67</v>
      </c>
      <c r="D215" t="s">
        <v>66</v>
      </c>
      <c r="E215" s="2">
        <v>82335.240000000005</v>
      </c>
      <c r="F215" s="2">
        <v>47907.23</v>
      </c>
      <c r="G215" s="2">
        <v>11092.77</v>
      </c>
      <c r="H215" s="8">
        <f t="shared" si="6"/>
        <v>59000</v>
      </c>
      <c r="I215" s="10">
        <f t="shared" si="7"/>
        <v>1.3955125423728814</v>
      </c>
      <c r="J215" s="2"/>
      <c r="K215" s="2"/>
      <c r="L215" s="2"/>
    </row>
    <row r="216" spans="1:12" ht="30" customHeight="1" x14ac:dyDescent="0.35">
      <c r="A216" t="s">
        <v>490</v>
      </c>
      <c r="B216" t="s">
        <v>491</v>
      </c>
      <c r="C216" t="s">
        <v>67</v>
      </c>
      <c r="D216" t="s">
        <v>66</v>
      </c>
      <c r="E216" s="2">
        <v>448016</v>
      </c>
      <c r="F216" s="2"/>
      <c r="G216" s="2"/>
      <c r="H216" s="8" t="str">
        <f t="shared" si="6"/>
        <v/>
      </c>
      <c r="I216" s="10" t="str">
        <f t="shared" si="7"/>
        <v/>
      </c>
      <c r="J216" s="2"/>
      <c r="K216" s="2"/>
      <c r="L216" s="2"/>
    </row>
    <row r="217" spans="1:12" ht="30" customHeight="1" x14ac:dyDescent="0.35">
      <c r="A217" t="s">
        <v>492</v>
      </c>
      <c r="B217" t="s">
        <v>493</v>
      </c>
      <c r="C217" t="s">
        <v>67</v>
      </c>
      <c r="D217" t="s">
        <v>66</v>
      </c>
      <c r="E217" s="2">
        <v>82170.81</v>
      </c>
      <c r="F217" s="2"/>
      <c r="G217" s="2"/>
      <c r="H217" s="8" t="str">
        <f t="shared" si="6"/>
        <v/>
      </c>
      <c r="I217" s="10" t="str">
        <f t="shared" si="7"/>
        <v/>
      </c>
      <c r="J217" s="2"/>
      <c r="K217" s="2"/>
      <c r="L217" s="2"/>
    </row>
    <row r="218" spans="1:12" ht="30" customHeight="1" x14ac:dyDescent="0.35">
      <c r="A218" t="s">
        <v>494</v>
      </c>
      <c r="B218" t="s">
        <v>495</v>
      </c>
      <c r="C218" t="s">
        <v>67</v>
      </c>
      <c r="D218" t="s">
        <v>66</v>
      </c>
      <c r="E218" s="2">
        <v>27887.34</v>
      </c>
      <c r="F218" s="2"/>
      <c r="G218" s="2"/>
      <c r="H218" s="8" t="str">
        <f t="shared" si="6"/>
        <v/>
      </c>
      <c r="I218" s="10" t="str">
        <f t="shared" si="7"/>
        <v/>
      </c>
      <c r="J218" s="2"/>
      <c r="K218" s="2"/>
      <c r="L218" s="2"/>
    </row>
    <row r="219" spans="1:12" ht="30" customHeight="1" x14ac:dyDescent="0.35">
      <c r="A219" t="s">
        <v>496</v>
      </c>
      <c r="B219" t="s">
        <v>497</v>
      </c>
      <c r="C219" t="s">
        <v>465</v>
      </c>
      <c r="D219" t="s">
        <v>464</v>
      </c>
      <c r="E219" s="2">
        <v>176750.53</v>
      </c>
      <c r="F219" s="2">
        <v>386000</v>
      </c>
      <c r="G219" s="2">
        <v>1696000</v>
      </c>
      <c r="H219" s="8">
        <f t="shared" si="6"/>
        <v>2082000</v>
      </c>
      <c r="I219" s="10">
        <f t="shared" si="7"/>
        <v>8.4894586935638811E-2</v>
      </c>
      <c r="J219" s="2"/>
      <c r="K219" s="2"/>
      <c r="L219" s="2"/>
    </row>
    <row r="220" spans="1:12" ht="30" customHeight="1" x14ac:dyDescent="0.35">
      <c r="A220" t="s">
        <v>498</v>
      </c>
      <c r="B220" t="s">
        <v>499</v>
      </c>
      <c r="C220" t="s">
        <v>19</v>
      </c>
      <c r="D220" t="s">
        <v>18</v>
      </c>
      <c r="E220" s="2">
        <v>4600.53</v>
      </c>
      <c r="F220" s="2">
        <v>179678.95</v>
      </c>
      <c r="G220" s="2">
        <v>70321.05</v>
      </c>
      <c r="H220" s="8">
        <f t="shared" si="6"/>
        <v>250000</v>
      </c>
      <c r="I220" s="10">
        <f t="shared" si="7"/>
        <v>1.8402119999999998E-2</v>
      </c>
      <c r="J220" s="2"/>
      <c r="K220" s="2"/>
      <c r="L220" s="2"/>
    </row>
    <row r="221" spans="1:12" ht="30" customHeight="1" x14ac:dyDescent="0.35">
      <c r="A221" t="s">
        <v>500</v>
      </c>
      <c r="B221" t="s">
        <v>501</v>
      </c>
      <c r="C221" t="s">
        <v>57</v>
      </c>
      <c r="D221" t="s">
        <v>56</v>
      </c>
      <c r="E221" s="2">
        <v>106902.18</v>
      </c>
      <c r="F221" s="2">
        <v>257403.74</v>
      </c>
      <c r="G221" s="2">
        <v>25357.06</v>
      </c>
      <c r="H221" s="8">
        <f t="shared" si="6"/>
        <v>282760.8</v>
      </c>
      <c r="I221" s="10">
        <f t="shared" si="7"/>
        <v>0.37806577149307824</v>
      </c>
      <c r="J221" s="2"/>
      <c r="K221" s="2"/>
      <c r="L221" s="2"/>
    </row>
    <row r="222" spans="1:12" ht="30" customHeight="1" x14ac:dyDescent="0.35">
      <c r="A222" t="s">
        <v>502</v>
      </c>
      <c r="B222" t="s">
        <v>503</v>
      </c>
      <c r="C222" t="s">
        <v>253</v>
      </c>
      <c r="D222" t="s">
        <v>252</v>
      </c>
      <c r="E222" s="2">
        <v>6185.42</v>
      </c>
      <c r="F222" s="2">
        <v>68260.45</v>
      </c>
      <c r="G222" s="2"/>
      <c r="H222" s="8">
        <f t="shared" si="6"/>
        <v>68260.45</v>
      </c>
      <c r="I222" s="10">
        <f t="shared" si="7"/>
        <v>9.0614990085767094E-2</v>
      </c>
      <c r="J222" s="2"/>
      <c r="K222" s="2"/>
      <c r="L222" s="2"/>
    </row>
    <row r="223" spans="1:12" ht="30" customHeight="1" x14ac:dyDescent="0.35">
      <c r="A223" t="s">
        <v>504</v>
      </c>
      <c r="B223" t="s">
        <v>505</v>
      </c>
      <c r="C223" t="s">
        <v>259</v>
      </c>
      <c r="D223" t="s">
        <v>258</v>
      </c>
      <c r="E223" s="2">
        <v>195</v>
      </c>
      <c r="F223" s="2"/>
      <c r="G223" s="2"/>
      <c r="H223" s="8" t="str">
        <f t="shared" si="6"/>
        <v/>
      </c>
      <c r="I223" s="10" t="str">
        <f t="shared" si="7"/>
        <v/>
      </c>
      <c r="J223" s="2"/>
      <c r="K223" s="2"/>
      <c r="L223" s="2"/>
    </row>
    <row r="224" spans="1:12" ht="30" customHeight="1" x14ac:dyDescent="0.35">
      <c r="A224" t="s">
        <v>506</v>
      </c>
      <c r="B224" t="s">
        <v>507</v>
      </c>
      <c r="C224" t="s">
        <v>487</v>
      </c>
      <c r="D224" t="s">
        <v>486</v>
      </c>
      <c r="E224" s="2">
        <v>340432.14</v>
      </c>
      <c r="F224" s="2">
        <v>6018831.5800000001</v>
      </c>
      <c r="G224" s="2">
        <v>500000</v>
      </c>
      <c r="H224" s="8">
        <f t="shared" si="6"/>
        <v>6518831.5800000001</v>
      </c>
      <c r="I224" s="10">
        <f t="shared" si="7"/>
        <v>5.2222877032819429E-2</v>
      </c>
      <c r="J224" s="2"/>
      <c r="K224" s="2"/>
      <c r="L224" s="2"/>
    </row>
    <row r="225" spans="1:12" ht="30" customHeight="1" x14ac:dyDescent="0.35">
      <c r="A225" t="s">
        <v>508</v>
      </c>
      <c r="B225" t="s">
        <v>509</v>
      </c>
      <c r="C225" t="s">
        <v>67</v>
      </c>
      <c r="D225" t="s">
        <v>66</v>
      </c>
      <c r="E225" s="2">
        <v>35184.769999999997</v>
      </c>
      <c r="F225" s="2">
        <v>98250</v>
      </c>
      <c r="G225" s="2"/>
      <c r="H225" s="8">
        <f t="shared" si="6"/>
        <v>98250</v>
      </c>
      <c r="I225" s="10">
        <f t="shared" si="7"/>
        <v>0.35811470737913481</v>
      </c>
      <c r="J225" s="2"/>
      <c r="K225" s="2"/>
      <c r="L225" s="2"/>
    </row>
    <row r="226" spans="1:12" ht="30" customHeight="1" x14ac:dyDescent="0.35">
      <c r="A226" t="s">
        <v>510</v>
      </c>
      <c r="B226" t="s">
        <v>511</v>
      </c>
      <c r="C226" t="s">
        <v>41</v>
      </c>
      <c r="D226" t="s">
        <v>40</v>
      </c>
      <c r="E226" s="2">
        <v>211383.43</v>
      </c>
      <c r="F226" s="2">
        <v>342443.11</v>
      </c>
      <c r="G226" s="2"/>
      <c r="H226" s="8">
        <f t="shared" si="6"/>
        <v>342443.11</v>
      </c>
      <c r="I226" s="10">
        <f t="shared" si="7"/>
        <v>0.61728042944125816</v>
      </c>
      <c r="J226" s="2"/>
      <c r="K226" s="2"/>
      <c r="L226" s="2"/>
    </row>
    <row r="227" spans="1:12" ht="30" customHeight="1" x14ac:dyDescent="0.35">
      <c r="A227" t="s">
        <v>512</v>
      </c>
      <c r="B227" t="s">
        <v>513</v>
      </c>
      <c r="C227" t="s">
        <v>457</v>
      </c>
      <c r="D227" t="s">
        <v>456</v>
      </c>
      <c r="E227" s="2">
        <v>76724.759999999995</v>
      </c>
      <c r="F227" s="2">
        <v>862683.76</v>
      </c>
      <c r="G227" s="2"/>
      <c r="H227" s="8">
        <f t="shared" si="6"/>
        <v>862683.76</v>
      </c>
      <c r="I227" s="10">
        <f t="shared" si="7"/>
        <v>8.8937294936443451E-2</v>
      </c>
      <c r="J227" s="2"/>
      <c r="K227" s="2"/>
      <c r="L227" s="2"/>
    </row>
    <row r="228" spans="1:12" ht="30" customHeight="1" x14ac:dyDescent="0.35">
      <c r="A228" t="s">
        <v>514</v>
      </c>
      <c r="B228" t="s">
        <v>515</v>
      </c>
      <c r="C228" t="s">
        <v>101</v>
      </c>
      <c r="D228" t="s">
        <v>100</v>
      </c>
      <c r="E228" s="2">
        <v>176577.02</v>
      </c>
      <c r="F228" s="2">
        <v>8619979.1099999994</v>
      </c>
      <c r="G228" s="2"/>
      <c r="H228" s="8">
        <f t="shared" si="6"/>
        <v>8619979.1099999994</v>
      </c>
      <c r="I228" s="10">
        <f t="shared" si="7"/>
        <v>2.0484622728975499E-2</v>
      </c>
      <c r="J228" s="2"/>
      <c r="K228" s="2"/>
      <c r="L228" s="2"/>
    </row>
    <row r="229" spans="1:12" ht="30" customHeight="1" x14ac:dyDescent="0.35">
      <c r="A229" t="s">
        <v>516</v>
      </c>
      <c r="B229" t="s">
        <v>517</v>
      </c>
      <c r="C229" t="s">
        <v>57</v>
      </c>
      <c r="D229" t="s">
        <v>56</v>
      </c>
      <c r="E229" s="2">
        <v>79801.8</v>
      </c>
      <c r="F229" s="2">
        <v>1917974.8</v>
      </c>
      <c r="G229" s="2"/>
      <c r="H229" s="8">
        <f t="shared" si="6"/>
        <v>1917974.8</v>
      </c>
      <c r="I229" s="10">
        <f t="shared" si="7"/>
        <v>4.1607324559217361E-2</v>
      </c>
      <c r="J229" s="2"/>
      <c r="K229" s="2"/>
      <c r="L229" s="2"/>
    </row>
    <row r="230" spans="1:12" ht="30" customHeight="1" x14ac:dyDescent="0.35">
      <c r="A230" t="s">
        <v>518</v>
      </c>
      <c r="B230" t="s">
        <v>519</v>
      </c>
      <c r="C230" t="s">
        <v>67</v>
      </c>
      <c r="D230" t="s">
        <v>66</v>
      </c>
      <c r="E230" s="2">
        <v>23444.58</v>
      </c>
      <c r="F230" s="2">
        <v>415145.06</v>
      </c>
      <c r="G230" s="2">
        <v>200000</v>
      </c>
      <c r="H230" s="8">
        <f t="shared" si="6"/>
        <v>615145.06000000006</v>
      </c>
      <c r="I230" s="10">
        <f t="shared" si="7"/>
        <v>3.8112278752592113E-2</v>
      </c>
      <c r="J230" s="2"/>
      <c r="K230" s="2"/>
      <c r="L230" s="2"/>
    </row>
    <row r="231" spans="1:12" ht="30" customHeight="1" x14ac:dyDescent="0.35">
      <c r="A231" t="s">
        <v>520</v>
      </c>
      <c r="B231" t="s">
        <v>521</v>
      </c>
      <c r="C231" t="s">
        <v>15</v>
      </c>
      <c r="D231" t="s">
        <v>14</v>
      </c>
      <c r="E231" s="2"/>
      <c r="F231" s="2">
        <v>11090840.890000001</v>
      </c>
      <c r="G231" s="2">
        <v>909159.11</v>
      </c>
      <c r="H231" s="8">
        <f t="shared" si="6"/>
        <v>12000000</v>
      </c>
      <c r="I231" s="10">
        <f t="shared" si="7"/>
        <v>0</v>
      </c>
      <c r="J231" s="2"/>
      <c r="K231" s="2"/>
      <c r="L231" s="2"/>
    </row>
    <row r="232" spans="1:12" ht="30" customHeight="1" x14ac:dyDescent="0.35">
      <c r="A232" t="s">
        <v>522</v>
      </c>
      <c r="B232" t="s">
        <v>523</v>
      </c>
      <c r="C232" t="s">
        <v>19</v>
      </c>
      <c r="D232" t="s">
        <v>18</v>
      </c>
      <c r="E232" s="2">
        <v>86778.53</v>
      </c>
      <c r="F232" s="2"/>
      <c r="G232" s="2"/>
      <c r="H232" s="8" t="str">
        <f t="shared" si="6"/>
        <v/>
      </c>
      <c r="I232" s="10" t="str">
        <f t="shared" si="7"/>
        <v/>
      </c>
      <c r="J232" s="2"/>
      <c r="K232" s="2"/>
      <c r="L232" s="2"/>
    </row>
    <row r="233" spans="1:12" ht="30" customHeight="1" x14ac:dyDescent="0.35">
      <c r="A233" t="s">
        <v>524</v>
      </c>
      <c r="B233" t="s">
        <v>525</v>
      </c>
      <c r="C233" t="s">
        <v>487</v>
      </c>
      <c r="D233" t="s">
        <v>486</v>
      </c>
      <c r="E233" s="2">
        <v>2561.02</v>
      </c>
      <c r="F233" s="2">
        <v>5265000</v>
      </c>
      <c r="G233" s="2">
        <v>0</v>
      </c>
      <c r="H233" s="8">
        <f t="shared" si="6"/>
        <v>5265000</v>
      </c>
      <c r="I233" s="10">
        <f t="shared" si="7"/>
        <v>4.8642355175688507E-4</v>
      </c>
      <c r="J233" s="2"/>
      <c r="K233" s="2"/>
      <c r="L233" s="2"/>
    </row>
    <row r="234" spans="1:12" ht="30" customHeight="1" x14ac:dyDescent="0.35">
      <c r="A234" t="s">
        <v>526</v>
      </c>
      <c r="B234" t="s">
        <v>527</v>
      </c>
      <c r="C234" t="s">
        <v>259</v>
      </c>
      <c r="D234" t="s">
        <v>258</v>
      </c>
      <c r="E234" s="2">
        <v>70203.710000000006</v>
      </c>
      <c r="F234" s="2">
        <v>805868.41</v>
      </c>
      <c r="G234" s="2">
        <v>694131.59</v>
      </c>
      <c r="H234" s="8">
        <f t="shared" si="6"/>
        <v>1500000</v>
      </c>
      <c r="I234" s="10">
        <f t="shared" si="7"/>
        <v>4.6802473333333337E-2</v>
      </c>
      <c r="J234" s="2"/>
      <c r="K234" s="2"/>
      <c r="L234" s="2"/>
    </row>
    <row r="235" spans="1:12" ht="30" customHeight="1" x14ac:dyDescent="0.35">
      <c r="A235" t="s">
        <v>528</v>
      </c>
      <c r="B235" t="s">
        <v>529</v>
      </c>
      <c r="C235" t="s">
        <v>259</v>
      </c>
      <c r="D235" t="s">
        <v>258</v>
      </c>
      <c r="E235" s="2"/>
      <c r="F235" s="2">
        <v>2306976.31</v>
      </c>
      <c r="G235" s="2">
        <v>4693023.6900000004</v>
      </c>
      <c r="H235" s="8">
        <f t="shared" si="6"/>
        <v>7000000</v>
      </c>
      <c r="I235" s="10">
        <f t="shared" si="7"/>
        <v>0</v>
      </c>
      <c r="J235" s="2"/>
      <c r="K235" s="2"/>
      <c r="L235" s="2"/>
    </row>
    <row r="236" spans="1:12" ht="30" customHeight="1" x14ac:dyDescent="0.35">
      <c r="A236" t="s">
        <v>530</v>
      </c>
      <c r="B236" t="s">
        <v>531</v>
      </c>
      <c r="C236" t="s">
        <v>253</v>
      </c>
      <c r="D236" t="s">
        <v>252</v>
      </c>
      <c r="E236" s="2"/>
      <c r="F236" s="2">
        <v>67310.350000000006</v>
      </c>
      <c r="G236" s="2">
        <v>32689.65</v>
      </c>
      <c r="H236" s="8">
        <f t="shared" si="6"/>
        <v>100000</v>
      </c>
      <c r="I236" s="10">
        <f t="shared" si="7"/>
        <v>0</v>
      </c>
      <c r="J236" s="2"/>
      <c r="K236" s="2"/>
      <c r="L236" s="2"/>
    </row>
    <row r="237" spans="1:12" ht="30" customHeight="1" x14ac:dyDescent="0.35">
      <c r="A237" t="s">
        <v>532</v>
      </c>
      <c r="B237" t="s">
        <v>533</v>
      </c>
      <c r="C237" t="s">
        <v>259</v>
      </c>
      <c r="D237" t="s">
        <v>258</v>
      </c>
      <c r="E237" s="2"/>
      <c r="F237" s="2">
        <v>1301250</v>
      </c>
      <c r="G237" s="2">
        <v>1301250</v>
      </c>
      <c r="H237" s="8">
        <f t="shared" si="6"/>
        <v>2602500</v>
      </c>
      <c r="I237" s="10">
        <f t="shared" si="7"/>
        <v>0</v>
      </c>
      <c r="J237" s="2"/>
      <c r="K237" s="2"/>
      <c r="L237" s="2"/>
    </row>
    <row r="238" spans="1:12" ht="30" customHeight="1" x14ac:dyDescent="0.35">
      <c r="A238" t="s">
        <v>534</v>
      </c>
      <c r="B238" t="s">
        <v>535</v>
      </c>
      <c r="C238" t="s">
        <v>487</v>
      </c>
      <c r="D238" t="s">
        <v>486</v>
      </c>
      <c r="E238" s="2">
        <v>2103666.9700000002</v>
      </c>
      <c r="F238" s="2">
        <v>5877470.0199999996</v>
      </c>
      <c r="G238" s="2">
        <v>4436339.08</v>
      </c>
      <c r="H238" s="8">
        <f t="shared" si="6"/>
        <v>10313809.1</v>
      </c>
      <c r="I238" s="10">
        <f t="shared" si="7"/>
        <v>0.20396605653676489</v>
      </c>
      <c r="J238" s="2"/>
      <c r="K238" s="2"/>
      <c r="L238" s="2"/>
    </row>
    <row r="239" spans="1:12" ht="30" customHeight="1" x14ac:dyDescent="0.35">
      <c r="A239" t="s">
        <v>536</v>
      </c>
      <c r="B239" t="s">
        <v>537</v>
      </c>
      <c r="C239" t="s">
        <v>253</v>
      </c>
      <c r="D239" t="s">
        <v>252</v>
      </c>
      <c r="E239" s="2">
        <v>1098158.47</v>
      </c>
      <c r="F239" s="2">
        <v>4797916.6500000004</v>
      </c>
      <c r="G239" s="2"/>
      <c r="H239" s="8">
        <f t="shared" si="6"/>
        <v>4797916.6500000004</v>
      </c>
      <c r="I239" s="10">
        <f t="shared" si="7"/>
        <v>0.22888235667870552</v>
      </c>
      <c r="J239" s="2"/>
      <c r="K239" s="2"/>
      <c r="L239" s="2"/>
    </row>
    <row r="240" spans="1:12" ht="30" customHeight="1" x14ac:dyDescent="0.35">
      <c r="A240" t="s">
        <v>538</v>
      </c>
      <c r="B240" t="s">
        <v>539</v>
      </c>
      <c r="C240" t="s">
        <v>541</v>
      </c>
      <c r="D240" t="s">
        <v>540</v>
      </c>
      <c r="E240" s="2">
        <v>45369.05</v>
      </c>
      <c r="F240" s="2">
        <v>25492.82</v>
      </c>
      <c r="G240" s="2"/>
      <c r="H240" s="8">
        <f t="shared" si="6"/>
        <v>25492.82</v>
      </c>
      <c r="I240" s="10">
        <f t="shared" si="7"/>
        <v>1.779679533296042</v>
      </c>
      <c r="J240" s="2"/>
      <c r="K240" s="2"/>
      <c r="L240" s="2"/>
    </row>
    <row r="241" spans="1:12" ht="30" customHeight="1" x14ac:dyDescent="0.35">
      <c r="A241" t="s">
        <v>542</v>
      </c>
      <c r="B241" t="s">
        <v>543</v>
      </c>
      <c r="C241" t="s">
        <v>487</v>
      </c>
      <c r="D241" t="s">
        <v>486</v>
      </c>
      <c r="E241" s="2">
        <v>503061.87</v>
      </c>
      <c r="F241" s="2">
        <v>0</v>
      </c>
      <c r="G241" s="2">
        <v>1927500</v>
      </c>
      <c r="H241" s="8">
        <f t="shared" si="6"/>
        <v>1927500</v>
      </c>
      <c r="I241" s="10">
        <f t="shared" si="7"/>
        <v>0.26099189105058368</v>
      </c>
      <c r="J241" s="2"/>
      <c r="K241" s="2"/>
      <c r="L241" s="2"/>
    </row>
    <row r="242" spans="1:12" ht="30" customHeight="1" x14ac:dyDescent="0.35">
      <c r="A242" t="s">
        <v>544</v>
      </c>
      <c r="B242" t="s">
        <v>545</v>
      </c>
      <c r="C242" t="s">
        <v>41</v>
      </c>
      <c r="D242" t="s">
        <v>40</v>
      </c>
      <c r="E242" s="2">
        <v>9.2799999999999994</v>
      </c>
      <c r="F242" s="2">
        <v>243899.98</v>
      </c>
      <c r="G242" s="2">
        <v>6100.02</v>
      </c>
      <c r="H242" s="8">
        <f t="shared" si="6"/>
        <v>250000</v>
      </c>
      <c r="I242" s="10">
        <f t="shared" si="7"/>
        <v>3.7119999999999997E-5</v>
      </c>
      <c r="J242" s="2"/>
      <c r="K242" s="2"/>
      <c r="L242" s="2"/>
    </row>
    <row r="243" spans="1:12" ht="30" customHeight="1" x14ac:dyDescent="0.35">
      <c r="A243" t="s">
        <v>546</v>
      </c>
      <c r="B243" t="s">
        <v>547</v>
      </c>
      <c r="C243" t="s">
        <v>487</v>
      </c>
      <c r="D243" t="s">
        <v>486</v>
      </c>
      <c r="E243" s="2">
        <v>1581299.22</v>
      </c>
      <c r="F243" s="2">
        <v>1591587.97</v>
      </c>
      <c r="G243" s="2"/>
      <c r="H243" s="8">
        <f t="shared" si="6"/>
        <v>1591587.97</v>
      </c>
      <c r="I243" s="10">
        <f t="shared" si="7"/>
        <v>0.99353554425270008</v>
      </c>
      <c r="J243" s="2"/>
      <c r="K243" s="2"/>
      <c r="L243" s="2"/>
    </row>
    <row r="244" spans="1:12" ht="30" customHeight="1" x14ac:dyDescent="0.35">
      <c r="A244" t="s">
        <v>548</v>
      </c>
      <c r="B244" t="s">
        <v>549</v>
      </c>
      <c r="C244" t="s">
        <v>101</v>
      </c>
      <c r="D244" t="s">
        <v>100</v>
      </c>
      <c r="E244" s="2">
        <v>15396.16</v>
      </c>
      <c r="F244" s="2"/>
      <c r="G244" s="2"/>
      <c r="H244" s="8" t="str">
        <f t="shared" si="6"/>
        <v/>
      </c>
      <c r="I244" s="10" t="str">
        <f t="shared" si="7"/>
        <v/>
      </c>
      <c r="J244" s="2"/>
      <c r="K244" s="2"/>
      <c r="L244" s="2"/>
    </row>
    <row r="245" spans="1:12" ht="30" customHeight="1" x14ac:dyDescent="0.35">
      <c r="A245" t="s">
        <v>550</v>
      </c>
      <c r="B245" t="s">
        <v>551</v>
      </c>
      <c r="C245" t="s">
        <v>101</v>
      </c>
      <c r="D245" t="s">
        <v>100</v>
      </c>
      <c r="E245" s="2">
        <v>118510.41</v>
      </c>
      <c r="F245" s="2">
        <v>179584.83</v>
      </c>
      <c r="G245" s="2">
        <v>220415.17</v>
      </c>
      <c r="H245" s="8">
        <f t="shared" si="6"/>
        <v>400000</v>
      </c>
      <c r="I245" s="10">
        <f t="shared" si="7"/>
        <v>0.296276025</v>
      </c>
      <c r="J245" s="2"/>
      <c r="K245" s="2"/>
      <c r="L245" s="2"/>
    </row>
    <row r="246" spans="1:12" ht="30" customHeight="1" x14ac:dyDescent="0.35">
      <c r="A246" t="s">
        <v>552</v>
      </c>
      <c r="B246" t="s">
        <v>553</v>
      </c>
      <c r="C246" t="s">
        <v>487</v>
      </c>
      <c r="D246" t="s">
        <v>486</v>
      </c>
      <c r="E246" s="2">
        <v>196175.86</v>
      </c>
      <c r="F246" s="2">
        <v>2500000</v>
      </c>
      <c r="G246" s="2">
        <v>500000</v>
      </c>
      <c r="H246" s="8">
        <f t="shared" si="6"/>
        <v>3000000</v>
      </c>
      <c r="I246" s="10">
        <f t="shared" si="7"/>
        <v>6.5391953333333322E-2</v>
      </c>
      <c r="J246" s="2"/>
      <c r="K246" s="2"/>
      <c r="L246" s="2"/>
    </row>
    <row r="247" spans="1:12" ht="30" customHeight="1" x14ac:dyDescent="0.35">
      <c r="A247" t="s">
        <v>554</v>
      </c>
      <c r="B247" t="s">
        <v>555</v>
      </c>
      <c r="C247" t="s">
        <v>259</v>
      </c>
      <c r="D247" t="s">
        <v>258</v>
      </c>
      <c r="E247" s="2">
        <v>51322.34</v>
      </c>
      <c r="F247" s="2">
        <v>1540850.91</v>
      </c>
      <c r="G247" s="2">
        <v>150000</v>
      </c>
      <c r="H247" s="8">
        <f t="shared" si="6"/>
        <v>1690850.91</v>
      </c>
      <c r="I247" s="10">
        <f t="shared" si="7"/>
        <v>3.0352965892185019E-2</v>
      </c>
      <c r="J247" s="2"/>
      <c r="K247" s="2"/>
      <c r="L247" s="2"/>
    </row>
    <row r="248" spans="1:12" ht="30" customHeight="1" x14ac:dyDescent="0.35">
      <c r="A248" t="s">
        <v>556</v>
      </c>
      <c r="B248" t="s">
        <v>557</v>
      </c>
      <c r="C248" t="s">
        <v>67</v>
      </c>
      <c r="D248" t="s">
        <v>66</v>
      </c>
      <c r="E248" s="2">
        <v>357.61</v>
      </c>
      <c r="F248" s="2">
        <v>150049.87</v>
      </c>
      <c r="G248" s="2">
        <v>149950.13</v>
      </c>
      <c r="H248" s="8">
        <f t="shared" si="6"/>
        <v>300000</v>
      </c>
      <c r="I248" s="10">
        <f t="shared" si="7"/>
        <v>1.1920333333333335E-3</v>
      </c>
      <c r="J248" s="2"/>
      <c r="K248" s="2"/>
      <c r="L248" s="2"/>
    </row>
    <row r="249" spans="1:12" ht="30" customHeight="1" x14ac:dyDescent="0.35">
      <c r="A249" t="s">
        <v>558</v>
      </c>
      <c r="B249" t="s">
        <v>559</v>
      </c>
      <c r="C249" t="s">
        <v>457</v>
      </c>
      <c r="D249" t="s">
        <v>456</v>
      </c>
      <c r="E249" s="2">
        <v>8870.7800000000007</v>
      </c>
      <c r="F249" s="2">
        <v>1197879.69</v>
      </c>
      <c r="G249" s="2"/>
      <c r="H249" s="8">
        <f t="shared" si="6"/>
        <v>1197879.69</v>
      </c>
      <c r="I249" s="10">
        <f t="shared" si="7"/>
        <v>7.4054014556336634E-3</v>
      </c>
      <c r="J249" s="2"/>
      <c r="K249" s="2"/>
      <c r="L249" s="2"/>
    </row>
    <row r="250" spans="1:12" ht="30" customHeight="1" x14ac:dyDescent="0.35">
      <c r="A250" t="s">
        <v>560</v>
      </c>
      <c r="B250" t="s">
        <v>561</v>
      </c>
      <c r="C250" t="s">
        <v>57</v>
      </c>
      <c r="D250" t="s">
        <v>56</v>
      </c>
      <c r="E250" s="2">
        <v>21906.44</v>
      </c>
      <c r="F250" s="2">
        <v>0</v>
      </c>
      <c r="G250" s="2">
        <v>250000</v>
      </c>
      <c r="H250" s="8">
        <f t="shared" si="6"/>
        <v>250000</v>
      </c>
      <c r="I250" s="10">
        <f t="shared" si="7"/>
        <v>8.7625759999999997E-2</v>
      </c>
      <c r="J250" s="2"/>
      <c r="K250" s="2"/>
      <c r="L250" s="2"/>
    </row>
    <row r="251" spans="1:12" ht="30" customHeight="1" x14ac:dyDescent="0.35">
      <c r="A251" t="s">
        <v>562</v>
      </c>
      <c r="B251" t="s">
        <v>563</v>
      </c>
      <c r="C251" t="s">
        <v>457</v>
      </c>
      <c r="D251" t="s">
        <v>456</v>
      </c>
      <c r="E251" s="2">
        <v>1269.8900000000001</v>
      </c>
      <c r="F251" s="2">
        <v>796647.49</v>
      </c>
      <c r="G251" s="2"/>
      <c r="H251" s="8">
        <f t="shared" si="6"/>
        <v>796647.49</v>
      </c>
      <c r="I251" s="10">
        <f t="shared" si="7"/>
        <v>1.5940425545055068E-3</v>
      </c>
      <c r="J251" s="2"/>
      <c r="K251" s="2"/>
      <c r="L251" s="2"/>
    </row>
    <row r="252" spans="1:12" ht="30" customHeight="1" x14ac:dyDescent="0.35">
      <c r="A252" t="s">
        <v>564</v>
      </c>
      <c r="B252" t="s">
        <v>565</v>
      </c>
      <c r="C252" t="s">
        <v>101</v>
      </c>
      <c r="D252" t="s">
        <v>100</v>
      </c>
      <c r="E252" s="2">
        <v>42170.98</v>
      </c>
      <c r="F252" s="2">
        <v>21823</v>
      </c>
      <c r="G252" s="2">
        <v>28177</v>
      </c>
      <c r="H252" s="8">
        <f t="shared" si="6"/>
        <v>50000</v>
      </c>
      <c r="I252" s="10">
        <f t="shared" si="7"/>
        <v>0.84341960000000005</v>
      </c>
      <c r="J252" s="2"/>
      <c r="K252" s="2"/>
      <c r="L252" s="2"/>
    </row>
    <row r="253" spans="1:12" ht="30" customHeight="1" x14ac:dyDescent="0.35">
      <c r="A253" t="s">
        <v>566</v>
      </c>
      <c r="B253" t="s">
        <v>567</v>
      </c>
      <c r="C253" t="s">
        <v>29</v>
      </c>
      <c r="D253" t="s">
        <v>28</v>
      </c>
      <c r="E253" s="2">
        <v>584844.67000000004</v>
      </c>
      <c r="F253" s="2"/>
      <c r="G253" s="2"/>
      <c r="H253" s="8" t="str">
        <f t="shared" si="6"/>
        <v/>
      </c>
      <c r="I253" s="10" t="str">
        <f t="shared" si="7"/>
        <v/>
      </c>
      <c r="J253" s="2"/>
      <c r="K253" s="2"/>
      <c r="L253" s="2"/>
    </row>
    <row r="254" spans="1:12" ht="30" customHeight="1" x14ac:dyDescent="0.35">
      <c r="A254" t="s">
        <v>568</v>
      </c>
      <c r="B254" t="s">
        <v>569</v>
      </c>
      <c r="C254" t="s">
        <v>101</v>
      </c>
      <c r="D254" t="s">
        <v>100</v>
      </c>
      <c r="E254" s="2">
        <v>23831.32</v>
      </c>
      <c r="F254" s="2">
        <v>495826.03</v>
      </c>
      <c r="G254" s="2"/>
      <c r="H254" s="8">
        <f t="shared" si="6"/>
        <v>495826.03</v>
      </c>
      <c r="I254" s="10">
        <f t="shared" si="7"/>
        <v>4.8063874339150769E-2</v>
      </c>
      <c r="J254" s="2"/>
      <c r="K254" s="2"/>
      <c r="L254" s="2"/>
    </row>
    <row r="255" spans="1:12" ht="30" customHeight="1" x14ac:dyDescent="0.35">
      <c r="A255" t="s">
        <v>570</v>
      </c>
      <c r="B255" t="s">
        <v>571</v>
      </c>
      <c r="C255" t="s">
        <v>253</v>
      </c>
      <c r="D255" t="s">
        <v>252</v>
      </c>
      <c r="E255" s="2">
        <v>196059.68</v>
      </c>
      <c r="F255" s="2">
        <v>460712.86</v>
      </c>
      <c r="G255" s="2">
        <v>106457.44</v>
      </c>
      <c r="H255" s="8">
        <f t="shared" si="6"/>
        <v>567170.30000000005</v>
      </c>
      <c r="I255" s="10">
        <f t="shared" si="7"/>
        <v>0.34568044201186132</v>
      </c>
      <c r="J255" s="2"/>
      <c r="K255" s="2"/>
      <c r="L255" s="2"/>
    </row>
    <row r="256" spans="1:12" ht="30" customHeight="1" x14ac:dyDescent="0.35">
      <c r="A256" t="s">
        <v>572</v>
      </c>
      <c r="B256" t="s">
        <v>573</v>
      </c>
      <c r="C256" t="s">
        <v>465</v>
      </c>
      <c r="D256" t="s">
        <v>464</v>
      </c>
      <c r="E256" s="2">
        <v>238988.59</v>
      </c>
      <c r="F256" s="2">
        <v>940000</v>
      </c>
      <c r="G256" s="2"/>
      <c r="H256" s="8">
        <f t="shared" ref="H256:H313" si="8">IF(ISBLANK(F256), "",(F256+G256))</f>
        <v>940000</v>
      </c>
      <c r="I256" s="10">
        <f t="shared" ref="I256:I313" si="9">IF(ISBLANK(F256), "", E256/H256)</f>
        <v>0.25424318085106384</v>
      </c>
      <c r="J256" s="2"/>
      <c r="K256" s="2"/>
      <c r="L256" s="2"/>
    </row>
    <row r="257" spans="1:12" ht="30" customHeight="1" x14ac:dyDescent="0.35">
      <c r="A257" t="s">
        <v>574</v>
      </c>
      <c r="B257" t="s">
        <v>575</v>
      </c>
      <c r="C257" t="s">
        <v>465</v>
      </c>
      <c r="D257" t="s">
        <v>464</v>
      </c>
      <c r="E257" s="2">
        <v>463484.32</v>
      </c>
      <c r="F257" s="2">
        <v>11625000</v>
      </c>
      <c r="G257" s="2"/>
      <c r="H257" s="8">
        <f t="shared" si="8"/>
        <v>11625000</v>
      </c>
      <c r="I257" s="10">
        <f t="shared" si="9"/>
        <v>3.9869618924731183E-2</v>
      </c>
      <c r="J257" s="2"/>
      <c r="K257" s="2"/>
      <c r="L257" s="2"/>
    </row>
    <row r="258" spans="1:12" ht="30" customHeight="1" x14ac:dyDescent="0.35">
      <c r="A258" t="s">
        <v>576</v>
      </c>
      <c r="B258" t="s">
        <v>577</v>
      </c>
      <c r="C258" t="s">
        <v>253</v>
      </c>
      <c r="D258" t="s">
        <v>252</v>
      </c>
      <c r="E258" s="2">
        <v>2634.79</v>
      </c>
      <c r="F258" s="2">
        <v>87323.24</v>
      </c>
      <c r="G258" s="2">
        <v>212676.76</v>
      </c>
      <c r="H258" s="8">
        <f t="shared" si="8"/>
        <v>300000</v>
      </c>
      <c r="I258" s="10">
        <f t="shared" si="9"/>
        <v>8.7826333333333329E-3</v>
      </c>
      <c r="J258" s="2"/>
      <c r="K258" s="2"/>
      <c r="L258" s="2"/>
    </row>
    <row r="259" spans="1:12" ht="30" customHeight="1" x14ac:dyDescent="0.35">
      <c r="A259" t="s">
        <v>578</v>
      </c>
      <c r="B259" t="s">
        <v>579</v>
      </c>
      <c r="C259" t="s">
        <v>457</v>
      </c>
      <c r="D259" t="s">
        <v>456</v>
      </c>
      <c r="E259" s="2">
        <v>3093.29</v>
      </c>
      <c r="F259" s="2">
        <v>236069.47</v>
      </c>
      <c r="G259" s="2"/>
      <c r="H259" s="8">
        <f t="shared" si="8"/>
        <v>236069.47</v>
      </c>
      <c r="I259" s="10">
        <f t="shared" si="9"/>
        <v>1.3103303870678406E-2</v>
      </c>
      <c r="J259" s="2"/>
      <c r="K259" s="2"/>
      <c r="L259" s="2"/>
    </row>
    <row r="260" spans="1:12" ht="30" customHeight="1" x14ac:dyDescent="0.35">
      <c r="A260" t="s">
        <v>580</v>
      </c>
      <c r="B260" t="s">
        <v>581</v>
      </c>
      <c r="C260" t="s">
        <v>29</v>
      </c>
      <c r="D260" t="s">
        <v>28</v>
      </c>
      <c r="E260" s="2">
        <v>11.48</v>
      </c>
      <c r="F260" s="2">
        <v>160000</v>
      </c>
      <c r="G260" s="2"/>
      <c r="H260" s="8">
        <f t="shared" si="8"/>
        <v>160000</v>
      </c>
      <c r="I260" s="10">
        <f t="shared" si="9"/>
        <v>7.1750000000000009E-5</v>
      </c>
      <c r="J260" s="2"/>
      <c r="K260" s="2"/>
      <c r="L260" s="2"/>
    </row>
    <row r="261" spans="1:12" ht="30" customHeight="1" x14ac:dyDescent="0.35">
      <c r="A261" t="s">
        <v>582</v>
      </c>
      <c r="B261" t="s">
        <v>583</v>
      </c>
      <c r="C261" t="s">
        <v>15</v>
      </c>
      <c r="D261" t="s">
        <v>14</v>
      </c>
      <c r="E261" s="2">
        <v>9967.75</v>
      </c>
      <c r="F261" s="2">
        <v>4987004.33</v>
      </c>
      <c r="G261" s="2"/>
      <c r="H261" s="8">
        <f t="shared" si="8"/>
        <v>4987004.33</v>
      </c>
      <c r="I261" s="10">
        <f t="shared" si="9"/>
        <v>1.9987450061026918E-3</v>
      </c>
      <c r="J261" s="2"/>
      <c r="K261" s="2"/>
      <c r="L261" s="2"/>
    </row>
    <row r="262" spans="1:12" ht="30" customHeight="1" x14ac:dyDescent="0.35">
      <c r="A262" t="s">
        <v>584</v>
      </c>
      <c r="B262" t="s">
        <v>585</v>
      </c>
      <c r="C262" t="s">
        <v>15</v>
      </c>
      <c r="D262" t="s">
        <v>14</v>
      </c>
      <c r="E262" s="2">
        <v>209860.58</v>
      </c>
      <c r="F262" s="2">
        <v>169559.84</v>
      </c>
      <c r="G262" s="2"/>
      <c r="H262" s="8">
        <f t="shared" si="8"/>
        <v>169559.84</v>
      </c>
      <c r="I262" s="10">
        <f t="shared" si="9"/>
        <v>1.2376785682270046</v>
      </c>
      <c r="J262" s="2"/>
      <c r="K262" s="2"/>
      <c r="L262" s="2"/>
    </row>
    <row r="263" spans="1:12" ht="30" customHeight="1" x14ac:dyDescent="0.35">
      <c r="A263" t="s">
        <v>32</v>
      </c>
      <c r="B263" t="s">
        <v>586</v>
      </c>
      <c r="C263" t="s">
        <v>109</v>
      </c>
      <c r="D263" t="s">
        <v>108</v>
      </c>
      <c r="E263" s="2">
        <v>333026.94</v>
      </c>
      <c r="F263" s="2">
        <v>7732.98</v>
      </c>
      <c r="G263" s="2"/>
      <c r="H263" s="8">
        <f t="shared" si="8"/>
        <v>7732.98</v>
      </c>
      <c r="I263" s="10">
        <f t="shared" si="9"/>
        <v>43.065796109649838</v>
      </c>
      <c r="J263" s="2"/>
      <c r="K263" s="2"/>
      <c r="L263" s="2"/>
    </row>
    <row r="264" spans="1:12" ht="30" customHeight="1" x14ac:dyDescent="0.35">
      <c r="A264" t="s">
        <v>587</v>
      </c>
      <c r="B264" t="s">
        <v>588</v>
      </c>
      <c r="C264" t="s">
        <v>259</v>
      </c>
      <c r="D264" t="s">
        <v>258</v>
      </c>
      <c r="E264" s="2">
        <v>11897.85</v>
      </c>
      <c r="F264" s="2">
        <v>2229472.71</v>
      </c>
      <c r="G264" s="2">
        <v>432542.51</v>
      </c>
      <c r="H264" s="8">
        <f t="shared" si="8"/>
        <v>2662015.2199999997</v>
      </c>
      <c r="I264" s="10">
        <f t="shared" si="9"/>
        <v>4.4694898476200307E-3</v>
      </c>
      <c r="J264" s="2"/>
      <c r="K264" s="2"/>
      <c r="L264" s="2"/>
    </row>
    <row r="265" spans="1:12" ht="30" customHeight="1" x14ac:dyDescent="0.35">
      <c r="A265" t="s">
        <v>589</v>
      </c>
      <c r="B265" t="s">
        <v>590</v>
      </c>
      <c r="C265" t="s">
        <v>487</v>
      </c>
      <c r="D265" t="s">
        <v>486</v>
      </c>
      <c r="E265" s="2">
        <v>0</v>
      </c>
      <c r="F265" s="2">
        <v>1008000</v>
      </c>
      <c r="G265" s="2"/>
      <c r="H265" s="8">
        <f t="shared" si="8"/>
        <v>1008000</v>
      </c>
      <c r="I265" s="10">
        <f t="shared" si="9"/>
        <v>0</v>
      </c>
      <c r="J265" s="2"/>
      <c r="K265" s="2"/>
      <c r="L265" s="2"/>
    </row>
    <row r="266" spans="1:12" ht="30" customHeight="1" x14ac:dyDescent="0.35">
      <c r="A266" t="s">
        <v>591</v>
      </c>
      <c r="B266" t="s">
        <v>592</v>
      </c>
      <c r="C266" t="s">
        <v>253</v>
      </c>
      <c r="D266" t="s">
        <v>252</v>
      </c>
      <c r="E266" s="2">
        <v>1318816</v>
      </c>
      <c r="F266" s="2">
        <v>1281</v>
      </c>
      <c r="G266" s="2">
        <v>498719</v>
      </c>
      <c r="H266" s="8">
        <f t="shared" si="8"/>
        <v>500000</v>
      </c>
      <c r="I266" s="10">
        <f t="shared" si="9"/>
        <v>2.637632</v>
      </c>
      <c r="J266" s="2"/>
      <c r="K266" s="2"/>
      <c r="L266" s="2"/>
    </row>
    <row r="267" spans="1:12" ht="30" customHeight="1" x14ac:dyDescent="0.35">
      <c r="A267" t="s">
        <v>593</v>
      </c>
      <c r="B267" t="s">
        <v>594</v>
      </c>
      <c r="C267" t="s">
        <v>259</v>
      </c>
      <c r="D267" t="s">
        <v>258</v>
      </c>
      <c r="E267" s="2">
        <v>24985</v>
      </c>
      <c r="F267" s="2">
        <v>1642050</v>
      </c>
      <c r="G267" s="2"/>
      <c r="H267" s="8">
        <f t="shared" si="8"/>
        <v>1642050</v>
      </c>
      <c r="I267" s="10">
        <f t="shared" si="9"/>
        <v>1.5215736427027192E-2</v>
      </c>
      <c r="J267" s="2"/>
      <c r="K267" s="2"/>
      <c r="L267" s="2"/>
    </row>
    <row r="268" spans="1:12" ht="30" customHeight="1" x14ac:dyDescent="0.35">
      <c r="A268" t="s">
        <v>595</v>
      </c>
      <c r="B268" t="s">
        <v>596</v>
      </c>
      <c r="C268" t="s">
        <v>2224</v>
      </c>
      <c r="D268" t="s">
        <v>1673</v>
      </c>
      <c r="E268" s="2">
        <v>971.51</v>
      </c>
      <c r="F268" s="2"/>
      <c r="G268" s="2"/>
      <c r="H268" s="8" t="str">
        <f t="shared" si="8"/>
        <v/>
      </c>
      <c r="I268" s="10" t="str">
        <f t="shared" si="9"/>
        <v/>
      </c>
      <c r="J268" s="2"/>
      <c r="K268" s="2"/>
      <c r="L268" s="2"/>
    </row>
    <row r="269" spans="1:12" ht="30" customHeight="1" x14ac:dyDescent="0.35">
      <c r="A269" t="s">
        <v>597</v>
      </c>
      <c r="B269" t="s">
        <v>598</v>
      </c>
      <c r="C269" t="s">
        <v>1679</v>
      </c>
      <c r="D269" t="s">
        <v>1621</v>
      </c>
      <c r="E269" s="2">
        <v>729035.08</v>
      </c>
      <c r="F269" s="2"/>
      <c r="G269" s="2"/>
      <c r="H269" s="8" t="str">
        <f t="shared" si="8"/>
        <v/>
      </c>
      <c r="I269" s="10" t="str">
        <f t="shared" si="9"/>
        <v/>
      </c>
      <c r="J269" s="2"/>
      <c r="K269" s="2"/>
      <c r="L269" s="2"/>
    </row>
    <row r="270" spans="1:12" ht="30" customHeight="1" x14ac:dyDescent="0.35">
      <c r="A270" t="s">
        <v>601</v>
      </c>
      <c r="B270" t="s">
        <v>602</v>
      </c>
      <c r="C270" t="s">
        <v>1679</v>
      </c>
      <c r="D270" t="s">
        <v>1621</v>
      </c>
      <c r="E270" s="2">
        <v>127162.75</v>
      </c>
      <c r="F270" s="2"/>
      <c r="G270" s="2"/>
      <c r="H270" s="8" t="str">
        <f t="shared" si="8"/>
        <v/>
      </c>
      <c r="I270" s="10" t="str">
        <f t="shared" si="9"/>
        <v/>
      </c>
      <c r="J270" s="2"/>
      <c r="K270" s="2"/>
      <c r="L270" s="2"/>
    </row>
    <row r="271" spans="1:12" ht="30" customHeight="1" x14ac:dyDescent="0.35">
      <c r="A271" t="s">
        <v>603</v>
      </c>
      <c r="B271" t="s">
        <v>604</v>
      </c>
      <c r="C271" t="s">
        <v>51</v>
      </c>
      <c r="D271" t="s">
        <v>50</v>
      </c>
      <c r="E271" s="2">
        <v>2578.2800000000002</v>
      </c>
      <c r="F271" s="2"/>
      <c r="G271" s="2"/>
      <c r="H271" s="8" t="str">
        <f t="shared" si="8"/>
        <v/>
      </c>
      <c r="I271" s="10" t="str">
        <f t="shared" si="9"/>
        <v/>
      </c>
      <c r="J271" s="2"/>
      <c r="K271" s="2"/>
      <c r="L271" s="2"/>
    </row>
    <row r="272" spans="1:12" ht="30" customHeight="1" x14ac:dyDescent="0.35">
      <c r="A272" t="s">
        <v>607</v>
      </c>
      <c r="B272" t="s">
        <v>608</v>
      </c>
      <c r="C272" t="s">
        <v>33</v>
      </c>
      <c r="D272" t="s">
        <v>32</v>
      </c>
      <c r="E272" s="2">
        <v>24816.75</v>
      </c>
      <c r="F272" s="2"/>
      <c r="G272" s="2"/>
      <c r="H272" s="8" t="str">
        <f t="shared" si="8"/>
        <v/>
      </c>
      <c r="I272" s="10" t="str">
        <f t="shared" si="9"/>
        <v/>
      </c>
      <c r="J272" s="2"/>
      <c r="K272" s="2"/>
      <c r="L272" s="2"/>
    </row>
    <row r="273" spans="1:12" ht="30" customHeight="1" x14ac:dyDescent="0.35">
      <c r="A273" t="s">
        <v>609</v>
      </c>
      <c r="B273" t="s">
        <v>610</v>
      </c>
      <c r="C273" t="s">
        <v>385</v>
      </c>
      <c r="D273" t="s">
        <v>384</v>
      </c>
      <c r="E273" s="2">
        <v>265.49</v>
      </c>
      <c r="F273" s="2"/>
      <c r="G273" s="2"/>
      <c r="H273" s="8" t="str">
        <f t="shared" si="8"/>
        <v/>
      </c>
      <c r="I273" s="10" t="str">
        <f t="shared" si="9"/>
        <v/>
      </c>
      <c r="J273" s="2"/>
      <c r="K273" s="2"/>
      <c r="L273" s="2"/>
    </row>
    <row r="274" spans="1:12" ht="30" customHeight="1" x14ac:dyDescent="0.35">
      <c r="A274" t="s">
        <v>611</v>
      </c>
      <c r="B274" t="s">
        <v>612</v>
      </c>
      <c r="C274" t="s">
        <v>11</v>
      </c>
      <c r="D274" t="s">
        <v>10</v>
      </c>
      <c r="E274" s="2">
        <v>23336.91</v>
      </c>
      <c r="F274" s="2"/>
      <c r="G274" s="2"/>
      <c r="H274" s="8" t="str">
        <f t="shared" si="8"/>
        <v/>
      </c>
      <c r="I274" s="10" t="str">
        <f t="shared" si="9"/>
        <v/>
      </c>
      <c r="J274" s="2"/>
      <c r="K274" s="2"/>
      <c r="L274" s="2"/>
    </row>
    <row r="275" spans="1:12" ht="30" customHeight="1" x14ac:dyDescent="0.35">
      <c r="A275" t="s">
        <v>613</v>
      </c>
      <c r="B275" t="s">
        <v>614</v>
      </c>
      <c r="C275" t="s">
        <v>41</v>
      </c>
      <c r="D275" t="s">
        <v>40</v>
      </c>
      <c r="E275" s="2">
        <v>428.06</v>
      </c>
      <c r="F275" s="2"/>
      <c r="G275" s="2"/>
      <c r="H275" s="8" t="str">
        <f t="shared" si="8"/>
        <v/>
      </c>
      <c r="I275" s="10" t="str">
        <f t="shared" si="9"/>
        <v/>
      </c>
      <c r="J275" s="2"/>
      <c r="K275" s="2"/>
      <c r="L275" s="2"/>
    </row>
    <row r="276" spans="1:12" ht="30" customHeight="1" x14ac:dyDescent="0.35">
      <c r="A276" t="s">
        <v>615</v>
      </c>
      <c r="B276" t="s">
        <v>616</v>
      </c>
      <c r="C276" t="s">
        <v>385</v>
      </c>
      <c r="D276" t="s">
        <v>384</v>
      </c>
      <c r="E276" s="2">
        <v>5000</v>
      </c>
      <c r="F276" s="2"/>
      <c r="G276" s="2"/>
      <c r="H276" s="8" t="str">
        <f t="shared" si="8"/>
        <v/>
      </c>
      <c r="I276" s="10" t="str">
        <f t="shared" si="9"/>
        <v/>
      </c>
      <c r="J276" s="2"/>
      <c r="K276" s="2"/>
      <c r="L276" s="2"/>
    </row>
    <row r="277" spans="1:12" ht="30" customHeight="1" x14ac:dyDescent="0.35">
      <c r="A277" t="s">
        <v>617</v>
      </c>
      <c r="B277" t="s">
        <v>618</v>
      </c>
      <c r="C277" t="s">
        <v>620</v>
      </c>
      <c r="D277" t="s">
        <v>619</v>
      </c>
      <c r="E277" s="2">
        <v>100</v>
      </c>
      <c r="F277" s="2"/>
      <c r="G277" s="2"/>
      <c r="H277" s="8" t="str">
        <f t="shared" si="8"/>
        <v/>
      </c>
      <c r="I277" s="10" t="str">
        <f t="shared" si="9"/>
        <v/>
      </c>
      <c r="J277" s="2"/>
      <c r="K277" s="2"/>
      <c r="L277" s="2"/>
    </row>
    <row r="278" spans="1:12" ht="30" customHeight="1" x14ac:dyDescent="0.35">
      <c r="A278" t="s">
        <v>621</v>
      </c>
      <c r="B278" t="s">
        <v>622</v>
      </c>
      <c r="C278" t="s">
        <v>41</v>
      </c>
      <c r="D278" t="s">
        <v>40</v>
      </c>
      <c r="E278" s="2">
        <v>100</v>
      </c>
      <c r="F278" s="2"/>
      <c r="G278" s="2"/>
      <c r="H278" s="8" t="str">
        <f t="shared" si="8"/>
        <v/>
      </c>
      <c r="I278" s="10" t="str">
        <f t="shared" si="9"/>
        <v/>
      </c>
      <c r="J278" s="2"/>
      <c r="K278" s="2"/>
      <c r="L278" s="2"/>
    </row>
    <row r="279" spans="1:12" ht="30" customHeight="1" x14ac:dyDescent="0.35">
      <c r="A279" t="s">
        <v>623</v>
      </c>
      <c r="B279" t="s">
        <v>624</v>
      </c>
      <c r="C279" t="s">
        <v>33</v>
      </c>
      <c r="D279" t="s">
        <v>32</v>
      </c>
      <c r="E279" s="2">
        <v>150001.76999999999</v>
      </c>
      <c r="F279" s="2"/>
      <c r="G279" s="2"/>
      <c r="H279" s="8" t="str">
        <f t="shared" si="8"/>
        <v/>
      </c>
      <c r="I279" s="10" t="str">
        <f t="shared" si="9"/>
        <v/>
      </c>
      <c r="J279" s="2"/>
      <c r="K279" s="2"/>
      <c r="L279" s="2"/>
    </row>
    <row r="280" spans="1:12" ht="30" customHeight="1" x14ac:dyDescent="0.35">
      <c r="A280" t="s">
        <v>629</v>
      </c>
      <c r="B280" t="s">
        <v>630</v>
      </c>
      <c r="C280" t="s">
        <v>57</v>
      </c>
      <c r="D280" t="s">
        <v>56</v>
      </c>
      <c r="E280" s="2">
        <v>88705.44</v>
      </c>
      <c r="F280" s="2"/>
      <c r="G280" s="2"/>
      <c r="H280" s="8" t="str">
        <f t="shared" si="8"/>
        <v/>
      </c>
      <c r="I280" s="10" t="str">
        <f t="shared" si="9"/>
        <v/>
      </c>
      <c r="J280" s="2"/>
      <c r="K280" s="2"/>
      <c r="L280" s="2"/>
    </row>
    <row r="281" spans="1:12" ht="30" customHeight="1" x14ac:dyDescent="0.35">
      <c r="A281" t="s">
        <v>631</v>
      </c>
      <c r="B281" t="s">
        <v>632</v>
      </c>
      <c r="C281" t="s">
        <v>465</v>
      </c>
      <c r="D281" t="s">
        <v>464</v>
      </c>
      <c r="E281" s="2">
        <v>186822.96</v>
      </c>
      <c r="F281" s="2">
        <v>4680595.5999999996</v>
      </c>
      <c r="G281" s="2">
        <v>728000</v>
      </c>
      <c r="H281" s="8">
        <f t="shared" si="8"/>
        <v>5408595.5999999996</v>
      </c>
      <c r="I281" s="10">
        <f t="shared" si="9"/>
        <v>3.4541861476942368E-2</v>
      </c>
      <c r="J281" s="2"/>
      <c r="K281" s="2"/>
      <c r="L281" s="2"/>
    </row>
    <row r="282" spans="1:12" ht="30" customHeight="1" x14ac:dyDescent="0.35">
      <c r="A282" t="s">
        <v>633</v>
      </c>
      <c r="B282" t="s">
        <v>634</v>
      </c>
      <c r="C282" t="s">
        <v>2225</v>
      </c>
      <c r="D282" t="s">
        <v>308</v>
      </c>
      <c r="E282" s="2">
        <v>1600</v>
      </c>
      <c r="F282" s="2">
        <v>48749</v>
      </c>
      <c r="G282" s="2">
        <v>1251</v>
      </c>
      <c r="H282" s="8">
        <f t="shared" si="8"/>
        <v>50000</v>
      </c>
      <c r="I282" s="10">
        <f t="shared" si="9"/>
        <v>3.2000000000000001E-2</v>
      </c>
      <c r="J282" s="2"/>
      <c r="K282" s="2"/>
      <c r="L282" s="2"/>
    </row>
    <row r="283" spans="1:12" ht="30" customHeight="1" x14ac:dyDescent="0.35">
      <c r="A283" t="s">
        <v>635</v>
      </c>
      <c r="B283" t="s">
        <v>636</v>
      </c>
      <c r="C283" t="s">
        <v>109</v>
      </c>
      <c r="D283" t="s">
        <v>108</v>
      </c>
      <c r="E283" s="2">
        <v>18335.48</v>
      </c>
      <c r="F283" s="2"/>
      <c r="G283" s="2"/>
      <c r="H283" s="8" t="str">
        <f t="shared" si="8"/>
        <v/>
      </c>
      <c r="I283" s="10" t="str">
        <f t="shared" si="9"/>
        <v/>
      </c>
      <c r="J283" s="2"/>
      <c r="K283" s="2"/>
      <c r="L283" s="2"/>
    </row>
    <row r="284" spans="1:12" ht="30" customHeight="1" x14ac:dyDescent="0.35">
      <c r="A284" t="s">
        <v>637</v>
      </c>
      <c r="B284" t="s">
        <v>638</v>
      </c>
      <c r="C284" t="s">
        <v>19</v>
      </c>
      <c r="D284" t="s">
        <v>18</v>
      </c>
      <c r="E284" s="2">
        <v>1399654.07</v>
      </c>
      <c r="F284" s="2"/>
      <c r="G284" s="2"/>
      <c r="H284" s="8" t="str">
        <f t="shared" si="8"/>
        <v/>
      </c>
      <c r="I284" s="10" t="str">
        <f t="shared" si="9"/>
        <v/>
      </c>
      <c r="J284" s="2"/>
      <c r="K284" s="2"/>
      <c r="L284" s="2"/>
    </row>
    <row r="285" spans="1:12" ht="30" customHeight="1" x14ac:dyDescent="0.35">
      <c r="A285" t="s">
        <v>639</v>
      </c>
      <c r="B285" t="s">
        <v>640</v>
      </c>
      <c r="C285" t="s">
        <v>642</v>
      </c>
      <c r="D285" t="s">
        <v>641</v>
      </c>
      <c r="E285" s="2">
        <v>53267.85</v>
      </c>
      <c r="F285" s="2">
        <v>30766.75</v>
      </c>
      <c r="G285" s="2"/>
      <c r="H285" s="8">
        <f t="shared" si="8"/>
        <v>30766.75</v>
      </c>
      <c r="I285" s="10">
        <f t="shared" si="9"/>
        <v>1.73134471466762</v>
      </c>
      <c r="J285" s="2"/>
      <c r="K285" s="2"/>
      <c r="L285" s="2"/>
    </row>
    <row r="286" spans="1:12" ht="30" customHeight="1" x14ac:dyDescent="0.35">
      <c r="A286" t="s">
        <v>643</v>
      </c>
      <c r="B286" t="s">
        <v>644</v>
      </c>
      <c r="C286" t="s">
        <v>57</v>
      </c>
      <c r="D286" t="s">
        <v>56</v>
      </c>
      <c r="E286" s="2">
        <v>116.25</v>
      </c>
      <c r="F286" s="2"/>
      <c r="G286" s="2"/>
      <c r="H286" s="8" t="str">
        <f t="shared" si="8"/>
        <v/>
      </c>
      <c r="I286" s="10" t="str">
        <f t="shared" si="9"/>
        <v/>
      </c>
      <c r="J286" s="2"/>
      <c r="K286" s="2"/>
      <c r="L286" s="2"/>
    </row>
    <row r="287" spans="1:12" ht="30" customHeight="1" x14ac:dyDescent="0.35">
      <c r="A287" t="s">
        <v>645</v>
      </c>
      <c r="B287" t="s">
        <v>646</v>
      </c>
      <c r="C287" t="s">
        <v>51</v>
      </c>
      <c r="D287" t="s">
        <v>50</v>
      </c>
      <c r="E287" s="2">
        <v>486864.59</v>
      </c>
      <c r="F287" s="2"/>
      <c r="G287" s="2"/>
      <c r="H287" s="8" t="str">
        <f t="shared" si="8"/>
        <v/>
      </c>
      <c r="I287" s="10" t="str">
        <f t="shared" si="9"/>
        <v/>
      </c>
      <c r="J287" s="2"/>
      <c r="K287" s="2"/>
      <c r="L287" s="2"/>
    </row>
    <row r="288" spans="1:12" ht="30" customHeight="1" x14ac:dyDescent="0.35">
      <c r="A288" t="s">
        <v>647</v>
      </c>
      <c r="B288" t="s">
        <v>648</v>
      </c>
      <c r="C288" t="s">
        <v>19</v>
      </c>
      <c r="D288" t="s">
        <v>18</v>
      </c>
      <c r="E288" s="2">
        <v>19703.64</v>
      </c>
      <c r="F288" s="2"/>
      <c r="G288" s="2"/>
      <c r="H288" s="8" t="str">
        <f t="shared" si="8"/>
        <v/>
      </c>
      <c r="I288" s="10" t="str">
        <f t="shared" si="9"/>
        <v/>
      </c>
      <c r="J288" s="2"/>
      <c r="K288" s="2"/>
      <c r="L288" s="2"/>
    </row>
    <row r="289" spans="1:12" ht="30" customHeight="1" x14ac:dyDescent="0.35">
      <c r="A289" t="s">
        <v>649</v>
      </c>
      <c r="B289" t="s">
        <v>650</v>
      </c>
      <c r="C289" t="s">
        <v>77</v>
      </c>
      <c r="D289" t="s">
        <v>76</v>
      </c>
      <c r="E289" s="2">
        <v>33017.21</v>
      </c>
      <c r="F289" s="2"/>
      <c r="G289" s="2"/>
      <c r="H289" s="8" t="str">
        <f t="shared" si="8"/>
        <v/>
      </c>
      <c r="I289" s="10" t="str">
        <f t="shared" si="9"/>
        <v/>
      </c>
      <c r="J289" s="2"/>
      <c r="K289" s="2"/>
      <c r="L289" s="2"/>
    </row>
    <row r="290" spans="1:12" ht="30" customHeight="1" x14ac:dyDescent="0.35">
      <c r="A290" t="s">
        <v>651</v>
      </c>
      <c r="B290" t="s">
        <v>652</v>
      </c>
      <c r="C290" t="s">
        <v>19</v>
      </c>
      <c r="D290" t="s">
        <v>18</v>
      </c>
      <c r="E290" s="2">
        <v>352716.06</v>
      </c>
      <c r="F290" s="2"/>
      <c r="G290" s="2"/>
      <c r="H290" s="8" t="str">
        <f t="shared" si="8"/>
        <v/>
      </c>
      <c r="I290" s="10" t="str">
        <f t="shared" si="9"/>
        <v/>
      </c>
      <c r="J290" s="2"/>
      <c r="K290" s="2"/>
      <c r="L290" s="2"/>
    </row>
    <row r="291" spans="1:12" ht="30" customHeight="1" x14ac:dyDescent="0.35">
      <c r="A291" t="s">
        <v>653</v>
      </c>
      <c r="B291" t="s">
        <v>654</v>
      </c>
      <c r="C291" t="s">
        <v>57</v>
      </c>
      <c r="D291" t="s">
        <v>56</v>
      </c>
      <c r="E291" s="2">
        <v>484487.65</v>
      </c>
      <c r="F291" s="2"/>
      <c r="G291" s="2"/>
      <c r="H291" s="8" t="str">
        <f t="shared" si="8"/>
        <v/>
      </c>
      <c r="I291" s="10" t="str">
        <f t="shared" si="9"/>
        <v/>
      </c>
      <c r="J291" s="2"/>
      <c r="K291" s="2"/>
      <c r="L291" s="2"/>
    </row>
    <row r="292" spans="1:12" ht="30" customHeight="1" x14ac:dyDescent="0.35">
      <c r="A292" t="s">
        <v>655</v>
      </c>
      <c r="B292" t="s">
        <v>656</v>
      </c>
      <c r="C292" t="s">
        <v>51</v>
      </c>
      <c r="D292" t="s">
        <v>50</v>
      </c>
      <c r="E292" s="2">
        <v>493185.66</v>
      </c>
      <c r="F292" s="2">
        <v>100</v>
      </c>
      <c r="G292" s="2">
        <v>900</v>
      </c>
      <c r="H292" s="8">
        <f t="shared" si="8"/>
        <v>1000</v>
      </c>
      <c r="I292" s="10">
        <f t="shared" si="9"/>
        <v>493.18565999999998</v>
      </c>
      <c r="J292" s="2"/>
      <c r="K292" s="2"/>
      <c r="L292" s="2"/>
    </row>
    <row r="293" spans="1:12" ht="30" customHeight="1" x14ac:dyDescent="0.35">
      <c r="A293" t="s">
        <v>657</v>
      </c>
      <c r="B293" t="s">
        <v>658</v>
      </c>
      <c r="C293" t="s">
        <v>19</v>
      </c>
      <c r="D293" t="s">
        <v>18</v>
      </c>
      <c r="E293" s="2">
        <v>823.46</v>
      </c>
      <c r="F293" s="2"/>
      <c r="G293" s="2"/>
      <c r="H293" s="8" t="str">
        <f t="shared" si="8"/>
        <v/>
      </c>
      <c r="I293" s="10" t="str">
        <f t="shared" si="9"/>
        <v/>
      </c>
      <c r="J293" s="2"/>
      <c r="K293" s="2"/>
      <c r="L293" s="2"/>
    </row>
    <row r="294" spans="1:12" ht="30" customHeight="1" x14ac:dyDescent="0.35">
      <c r="A294" t="s">
        <v>659</v>
      </c>
      <c r="B294" t="s">
        <v>660</v>
      </c>
      <c r="C294" t="s">
        <v>57</v>
      </c>
      <c r="D294" t="s">
        <v>56</v>
      </c>
      <c r="E294" s="2">
        <v>40619.83</v>
      </c>
      <c r="F294" s="2"/>
      <c r="G294" s="2"/>
      <c r="H294" s="8" t="str">
        <f t="shared" si="8"/>
        <v/>
      </c>
      <c r="I294" s="10" t="str">
        <f t="shared" si="9"/>
        <v/>
      </c>
      <c r="J294" s="2"/>
      <c r="K294" s="2"/>
      <c r="L294" s="2"/>
    </row>
    <row r="295" spans="1:12" ht="30" customHeight="1" x14ac:dyDescent="0.35">
      <c r="A295" t="s">
        <v>661</v>
      </c>
      <c r="B295" t="s">
        <v>662</v>
      </c>
      <c r="C295" t="s">
        <v>77</v>
      </c>
      <c r="D295" t="s">
        <v>76</v>
      </c>
      <c r="E295" s="2">
        <v>11293.03</v>
      </c>
      <c r="F295" s="2"/>
      <c r="G295" s="2"/>
      <c r="H295" s="8" t="str">
        <f t="shared" si="8"/>
        <v/>
      </c>
      <c r="I295" s="10" t="str">
        <f t="shared" si="9"/>
        <v/>
      </c>
      <c r="J295" s="2"/>
      <c r="K295" s="2"/>
      <c r="L295" s="2"/>
    </row>
    <row r="296" spans="1:12" ht="30" customHeight="1" x14ac:dyDescent="0.35">
      <c r="A296" t="s">
        <v>663</v>
      </c>
      <c r="B296" t="s">
        <v>664</v>
      </c>
      <c r="C296" t="s">
        <v>51</v>
      </c>
      <c r="D296" t="s">
        <v>50</v>
      </c>
      <c r="E296" s="2">
        <v>334808.84999999998</v>
      </c>
      <c r="F296" s="2"/>
      <c r="G296" s="2"/>
      <c r="H296" s="8" t="str">
        <f t="shared" si="8"/>
        <v/>
      </c>
      <c r="I296" s="10" t="str">
        <f t="shared" si="9"/>
        <v/>
      </c>
      <c r="J296" s="2"/>
      <c r="K296" s="2"/>
      <c r="L296" s="2"/>
    </row>
    <row r="297" spans="1:12" ht="30" customHeight="1" x14ac:dyDescent="0.35">
      <c r="A297" t="s">
        <v>665</v>
      </c>
      <c r="B297" t="s">
        <v>666</v>
      </c>
      <c r="C297" t="s">
        <v>57</v>
      </c>
      <c r="D297" t="s">
        <v>56</v>
      </c>
      <c r="E297" s="2">
        <v>387214.56</v>
      </c>
      <c r="F297" s="2">
        <v>239855.34</v>
      </c>
      <c r="G297" s="2">
        <v>98536.11</v>
      </c>
      <c r="H297" s="8">
        <f t="shared" si="8"/>
        <v>338391.45</v>
      </c>
      <c r="I297" s="10">
        <f t="shared" si="9"/>
        <v>1.1442799751589467</v>
      </c>
      <c r="J297" s="2"/>
      <c r="K297" s="2"/>
      <c r="L297" s="2"/>
    </row>
    <row r="298" spans="1:12" ht="30" customHeight="1" x14ac:dyDescent="0.35">
      <c r="A298" t="s">
        <v>667</v>
      </c>
      <c r="B298" t="s">
        <v>668</v>
      </c>
      <c r="C298" t="s">
        <v>19</v>
      </c>
      <c r="D298" t="s">
        <v>18</v>
      </c>
      <c r="E298" s="2">
        <v>196677.6</v>
      </c>
      <c r="F298" s="2"/>
      <c r="G298" s="2"/>
      <c r="H298" s="8" t="str">
        <f t="shared" si="8"/>
        <v/>
      </c>
      <c r="I298" s="10" t="str">
        <f t="shared" si="9"/>
        <v/>
      </c>
      <c r="J298" s="2"/>
      <c r="K298" s="2"/>
      <c r="L298" s="2"/>
    </row>
    <row r="299" spans="1:12" ht="30" customHeight="1" x14ac:dyDescent="0.35">
      <c r="A299" t="s">
        <v>76</v>
      </c>
      <c r="B299" t="s">
        <v>669</v>
      </c>
      <c r="C299" t="s">
        <v>51</v>
      </c>
      <c r="D299" t="s">
        <v>50</v>
      </c>
      <c r="E299" s="2">
        <v>77392.75</v>
      </c>
      <c r="F299" s="2">
        <v>61874.84</v>
      </c>
      <c r="G299" s="2"/>
      <c r="H299" s="8">
        <f t="shared" si="8"/>
        <v>61874.84</v>
      </c>
      <c r="I299" s="10">
        <f t="shared" si="9"/>
        <v>1.2507951535713062</v>
      </c>
      <c r="J299" s="2"/>
      <c r="K299" s="2"/>
      <c r="L299" s="2"/>
    </row>
    <row r="300" spans="1:12" ht="30" customHeight="1" x14ac:dyDescent="0.35">
      <c r="A300" t="s">
        <v>670</v>
      </c>
      <c r="B300" t="s">
        <v>671</v>
      </c>
      <c r="C300" t="s">
        <v>19</v>
      </c>
      <c r="D300" t="s">
        <v>18</v>
      </c>
      <c r="E300" s="2">
        <v>208908</v>
      </c>
      <c r="F300" s="2"/>
      <c r="G300" s="2"/>
      <c r="H300" s="8" t="str">
        <f t="shared" si="8"/>
        <v/>
      </c>
      <c r="I300" s="10" t="str">
        <f t="shared" si="9"/>
        <v/>
      </c>
      <c r="J300" s="2"/>
      <c r="K300" s="2"/>
      <c r="L300" s="2"/>
    </row>
    <row r="301" spans="1:12" ht="30" customHeight="1" x14ac:dyDescent="0.35">
      <c r="A301" t="s">
        <v>672</v>
      </c>
      <c r="B301" t="s">
        <v>673</v>
      </c>
      <c r="C301" t="s">
        <v>101</v>
      </c>
      <c r="D301" t="s">
        <v>100</v>
      </c>
      <c r="E301" s="2">
        <v>1986653.68</v>
      </c>
      <c r="F301" s="2">
        <v>15820.92</v>
      </c>
      <c r="G301" s="2">
        <v>1000</v>
      </c>
      <c r="H301" s="8">
        <f t="shared" si="8"/>
        <v>16820.919999999998</v>
      </c>
      <c r="I301" s="10">
        <f t="shared" si="9"/>
        <v>118.10612499197428</v>
      </c>
      <c r="J301" s="2"/>
      <c r="K301" s="2"/>
      <c r="L301" s="2"/>
    </row>
    <row r="302" spans="1:12" ht="30" customHeight="1" x14ac:dyDescent="0.35">
      <c r="A302" t="s">
        <v>674</v>
      </c>
      <c r="B302" t="s">
        <v>675</v>
      </c>
      <c r="C302" t="s">
        <v>15</v>
      </c>
      <c r="D302" t="s">
        <v>14</v>
      </c>
      <c r="E302" s="2">
        <v>78873.31</v>
      </c>
      <c r="F302" s="2">
        <v>2046849.34</v>
      </c>
      <c r="G302" s="2">
        <v>183511.66</v>
      </c>
      <c r="H302" s="8">
        <f t="shared" si="8"/>
        <v>2230361</v>
      </c>
      <c r="I302" s="10">
        <f t="shared" si="9"/>
        <v>3.5363472549959397E-2</v>
      </c>
      <c r="J302" s="2"/>
      <c r="K302" s="2"/>
      <c r="L302" s="2"/>
    </row>
    <row r="303" spans="1:12" ht="30" customHeight="1" x14ac:dyDescent="0.35">
      <c r="A303" t="s">
        <v>676</v>
      </c>
      <c r="B303" t="s">
        <v>677</v>
      </c>
      <c r="C303" t="s">
        <v>19</v>
      </c>
      <c r="D303" t="s">
        <v>18</v>
      </c>
      <c r="E303" s="2">
        <v>204084.08</v>
      </c>
      <c r="F303" s="2"/>
      <c r="G303" s="2"/>
      <c r="H303" s="8" t="str">
        <f t="shared" si="8"/>
        <v/>
      </c>
      <c r="I303" s="10" t="str">
        <f t="shared" si="9"/>
        <v/>
      </c>
      <c r="J303" s="2"/>
      <c r="K303" s="2"/>
      <c r="L303" s="2"/>
    </row>
    <row r="304" spans="1:12" ht="30" customHeight="1" x14ac:dyDescent="0.35">
      <c r="A304" t="s">
        <v>678</v>
      </c>
      <c r="B304" t="s">
        <v>679</v>
      </c>
      <c r="C304" t="s">
        <v>19</v>
      </c>
      <c r="D304" t="s">
        <v>18</v>
      </c>
      <c r="E304" s="2">
        <v>16563.3</v>
      </c>
      <c r="F304" s="2">
        <v>18018.7</v>
      </c>
      <c r="G304" s="2">
        <v>500</v>
      </c>
      <c r="H304" s="8">
        <f t="shared" si="8"/>
        <v>18518.7</v>
      </c>
      <c r="I304" s="10">
        <f t="shared" si="9"/>
        <v>0.89440943478753898</v>
      </c>
      <c r="J304" s="2"/>
      <c r="K304" s="2"/>
      <c r="L304" s="2"/>
    </row>
    <row r="305" spans="1:12" ht="30" customHeight="1" x14ac:dyDescent="0.35">
      <c r="A305" t="s">
        <v>50</v>
      </c>
      <c r="B305" t="s">
        <v>680</v>
      </c>
      <c r="C305" t="s">
        <v>19</v>
      </c>
      <c r="D305" t="s">
        <v>18</v>
      </c>
      <c r="E305" s="2">
        <v>294087.24</v>
      </c>
      <c r="F305" s="2"/>
      <c r="G305" s="2"/>
      <c r="H305" s="8" t="str">
        <f t="shared" si="8"/>
        <v/>
      </c>
      <c r="I305" s="10" t="str">
        <f t="shared" si="9"/>
        <v/>
      </c>
      <c r="J305" s="2"/>
      <c r="K305" s="2"/>
      <c r="L305" s="2"/>
    </row>
    <row r="306" spans="1:12" ht="30" customHeight="1" x14ac:dyDescent="0.35">
      <c r="A306" t="s">
        <v>681</v>
      </c>
      <c r="B306" t="s">
        <v>682</v>
      </c>
      <c r="C306" t="s">
        <v>29</v>
      </c>
      <c r="D306" t="s">
        <v>28</v>
      </c>
      <c r="E306" s="2">
        <v>413449.42</v>
      </c>
      <c r="F306" s="2"/>
      <c r="G306" s="2"/>
      <c r="H306" s="8" t="str">
        <f t="shared" si="8"/>
        <v/>
      </c>
      <c r="I306" s="10" t="str">
        <f t="shared" si="9"/>
        <v/>
      </c>
      <c r="J306" s="2"/>
      <c r="K306" s="2"/>
      <c r="L306" s="2"/>
    </row>
    <row r="307" spans="1:12" ht="30" customHeight="1" x14ac:dyDescent="0.35">
      <c r="A307" t="s">
        <v>683</v>
      </c>
      <c r="B307" t="s">
        <v>684</v>
      </c>
      <c r="C307" t="s">
        <v>109</v>
      </c>
      <c r="D307" t="s">
        <v>108</v>
      </c>
      <c r="E307" s="2">
        <v>162816.88</v>
      </c>
      <c r="F307" s="2"/>
      <c r="G307" s="2"/>
      <c r="H307" s="8" t="str">
        <f t="shared" si="8"/>
        <v/>
      </c>
      <c r="I307" s="10" t="str">
        <f t="shared" si="9"/>
        <v/>
      </c>
      <c r="J307" s="2"/>
      <c r="K307" s="2"/>
      <c r="L307" s="2"/>
    </row>
    <row r="308" spans="1:12" ht="30" customHeight="1" x14ac:dyDescent="0.35">
      <c r="A308" t="s">
        <v>685</v>
      </c>
      <c r="B308" t="s">
        <v>686</v>
      </c>
      <c r="C308" t="s">
        <v>57</v>
      </c>
      <c r="D308" t="s">
        <v>56</v>
      </c>
      <c r="E308" s="2">
        <v>71481.58</v>
      </c>
      <c r="F308" s="2">
        <v>171257.91</v>
      </c>
      <c r="G308" s="2">
        <v>28742.09</v>
      </c>
      <c r="H308" s="8">
        <f t="shared" si="8"/>
        <v>200000</v>
      </c>
      <c r="I308" s="10">
        <f t="shared" si="9"/>
        <v>0.3574079</v>
      </c>
      <c r="J308" s="2"/>
      <c r="K308" s="2"/>
      <c r="L308" s="2"/>
    </row>
    <row r="309" spans="1:12" ht="30" customHeight="1" x14ac:dyDescent="0.35">
      <c r="A309" t="s">
        <v>687</v>
      </c>
      <c r="B309" t="s">
        <v>688</v>
      </c>
      <c r="C309" t="s">
        <v>57</v>
      </c>
      <c r="D309" t="s">
        <v>56</v>
      </c>
      <c r="E309" s="2">
        <v>106025.2</v>
      </c>
      <c r="F309" s="2">
        <v>0</v>
      </c>
      <c r="G309" s="2">
        <v>1500</v>
      </c>
      <c r="H309" s="8">
        <f t="shared" si="8"/>
        <v>1500</v>
      </c>
      <c r="I309" s="10">
        <f t="shared" si="9"/>
        <v>70.683466666666661</v>
      </c>
      <c r="J309" s="2"/>
      <c r="K309" s="2"/>
      <c r="L309" s="2"/>
    </row>
    <row r="310" spans="1:12" ht="30" customHeight="1" x14ac:dyDescent="0.35">
      <c r="A310" t="s">
        <v>689</v>
      </c>
      <c r="B310" t="s">
        <v>690</v>
      </c>
      <c r="C310" t="s">
        <v>57</v>
      </c>
      <c r="D310" t="s">
        <v>56</v>
      </c>
      <c r="E310" s="2">
        <v>100549.11</v>
      </c>
      <c r="F310" s="2">
        <v>122533.09</v>
      </c>
      <c r="G310" s="2"/>
      <c r="H310" s="8">
        <f t="shared" si="8"/>
        <v>122533.09</v>
      </c>
      <c r="I310" s="10">
        <f t="shared" si="9"/>
        <v>0.82058740214582038</v>
      </c>
      <c r="J310" s="2"/>
      <c r="K310" s="2"/>
      <c r="L310" s="2"/>
    </row>
    <row r="311" spans="1:12" ht="30" customHeight="1" x14ac:dyDescent="0.35">
      <c r="A311" t="s">
        <v>691</v>
      </c>
      <c r="B311" t="s">
        <v>692</v>
      </c>
      <c r="C311" t="s">
        <v>51</v>
      </c>
      <c r="D311" t="s">
        <v>50</v>
      </c>
      <c r="E311" s="2">
        <v>32057.43</v>
      </c>
      <c r="F311" s="2"/>
      <c r="G311" s="2"/>
      <c r="H311" s="8" t="str">
        <f t="shared" si="8"/>
        <v/>
      </c>
      <c r="I311" s="10" t="str">
        <f t="shared" si="9"/>
        <v/>
      </c>
      <c r="J311" s="2"/>
      <c r="K311" s="2"/>
      <c r="L311" s="2"/>
    </row>
    <row r="312" spans="1:12" ht="30" customHeight="1" x14ac:dyDescent="0.35">
      <c r="A312" t="s">
        <v>693</v>
      </c>
      <c r="B312" t="s">
        <v>694</v>
      </c>
      <c r="C312" t="s">
        <v>67</v>
      </c>
      <c r="D312" t="s">
        <v>66</v>
      </c>
      <c r="E312" s="2">
        <v>1563190.81</v>
      </c>
      <c r="F312" s="2"/>
      <c r="G312" s="2"/>
      <c r="H312" s="8" t="str">
        <f t="shared" si="8"/>
        <v/>
      </c>
      <c r="I312" s="10" t="str">
        <f t="shared" si="9"/>
        <v/>
      </c>
      <c r="J312" s="2"/>
      <c r="K312" s="2"/>
      <c r="L312" s="2"/>
    </row>
    <row r="313" spans="1:12" ht="30" customHeight="1" x14ac:dyDescent="0.35">
      <c r="A313" t="s">
        <v>695</v>
      </c>
      <c r="B313" t="s">
        <v>696</v>
      </c>
      <c r="C313" t="s">
        <v>109</v>
      </c>
      <c r="D313" t="s">
        <v>108</v>
      </c>
      <c r="E313" s="2">
        <v>472952.92</v>
      </c>
      <c r="F313" s="2"/>
      <c r="G313" s="2"/>
      <c r="H313" s="8" t="str">
        <f t="shared" si="8"/>
        <v/>
      </c>
      <c r="I313" s="10" t="str">
        <f t="shared" si="9"/>
        <v/>
      </c>
      <c r="J313" s="2"/>
      <c r="K313" s="2"/>
      <c r="L313" s="2"/>
    </row>
    <row r="314" spans="1:12" ht="30" customHeight="1" x14ac:dyDescent="0.35">
      <c r="A314" t="s">
        <v>697</v>
      </c>
      <c r="B314" t="s">
        <v>698</v>
      </c>
      <c r="C314" t="s">
        <v>19</v>
      </c>
      <c r="D314" t="s">
        <v>18</v>
      </c>
      <c r="E314" s="2">
        <v>8510.94</v>
      </c>
      <c r="F314" s="2">
        <v>0</v>
      </c>
      <c r="G314" s="2">
        <v>3000</v>
      </c>
      <c r="H314" s="8">
        <f t="shared" ref="H314:H376" si="10">IF(ISBLANK(F314), "",(F314+G314))</f>
        <v>3000</v>
      </c>
      <c r="I314" s="10">
        <f t="shared" ref="I314:I376" si="11">IF(ISBLANK(F314), "", E314/H314)</f>
        <v>2.8369800000000001</v>
      </c>
      <c r="J314" s="2"/>
      <c r="K314" s="2"/>
      <c r="L314" s="2"/>
    </row>
    <row r="315" spans="1:12" ht="30" customHeight="1" x14ac:dyDescent="0.35">
      <c r="A315" t="s">
        <v>699</v>
      </c>
      <c r="B315" t="s">
        <v>700</v>
      </c>
      <c r="C315" t="s">
        <v>19</v>
      </c>
      <c r="D315" t="s">
        <v>18</v>
      </c>
      <c r="E315" s="2">
        <v>6216.22</v>
      </c>
      <c r="F315" s="2"/>
      <c r="G315" s="2"/>
      <c r="H315" s="8" t="str">
        <f t="shared" si="10"/>
        <v/>
      </c>
      <c r="I315" s="10" t="str">
        <f t="shared" si="11"/>
        <v/>
      </c>
      <c r="J315" s="2"/>
      <c r="K315" s="2"/>
      <c r="L315" s="2"/>
    </row>
    <row r="316" spans="1:12" ht="30" customHeight="1" x14ac:dyDescent="0.35">
      <c r="A316" t="s">
        <v>701</v>
      </c>
      <c r="B316" t="s">
        <v>702</v>
      </c>
      <c r="C316" t="s">
        <v>67</v>
      </c>
      <c r="D316" t="s">
        <v>66</v>
      </c>
      <c r="E316" s="2">
        <v>23320.6</v>
      </c>
      <c r="F316" s="2">
        <v>22580.27</v>
      </c>
      <c r="G316" s="2">
        <v>77419.73</v>
      </c>
      <c r="H316" s="8">
        <f t="shared" si="10"/>
        <v>100000</v>
      </c>
      <c r="I316" s="10">
        <f t="shared" si="11"/>
        <v>0.233206</v>
      </c>
      <c r="J316" s="2"/>
      <c r="K316" s="2"/>
      <c r="L316" s="2"/>
    </row>
    <row r="317" spans="1:12" ht="30" customHeight="1" x14ac:dyDescent="0.35">
      <c r="A317" t="s">
        <v>703</v>
      </c>
      <c r="B317" t="s">
        <v>704</v>
      </c>
      <c r="C317" t="s">
        <v>213</v>
      </c>
      <c r="D317" t="s">
        <v>212</v>
      </c>
      <c r="E317" s="2"/>
      <c r="F317" s="2">
        <v>3976240.17</v>
      </c>
      <c r="G317" s="2"/>
      <c r="H317" s="8">
        <f t="shared" si="10"/>
        <v>3976240.17</v>
      </c>
      <c r="I317" s="10">
        <f t="shared" si="11"/>
        <v>0</v>
      </c>
      <c r="J317" s="2"/>
      <c r="K317" s="2"/>
      <c r="L317" s="2"/>
    </row>
    <row r="318" spans="1:12" ht="30" customHeight="1" x14ac:dyDescent="0.35">
      <c r="A318" t="s">
        <v>705</v>
      </c>
      <c r="B318" t="s">
        <v>706</v>
      </c>
      <c r="C318" t="s">
        <v>259</v>
      </c>
      <c r="D318" t="s">
        <v>258</v>
      </c>
      <c r="E318" s="2">
        <v>14343.52</v>
      </c>
      <c r="F318" s="2">
        <v>1254353.8799999999</v>
      </c>
      <c r="G318" s="2">
        <v>200000</v>
      </c>
      <c r="H318" s="8">
        <f t="shared" si="10"/>
        <v>1454353.88</v>
      </c>
      <c r="I318" s="10">
        <f t="shared" si="11"/>
        <v>9.8624689611306986E-3</v>
      </c>
      <c r="J318" s="2"/>
      <c r="K318" s="2"/>
      <c r="L318" s="2"/>
    </row>
    <row r="319" spans="1:12" ht="30" customHeight="1" x14ac:dyDescent="0.35">
      <c r="A319" t="s">
        <v>707</v>
      </c>
      <c r="B319" t="s">
        <v>708</v>
      </c>
      <c r="C319" t="s">
        <v>19</v>
      </c>
      <c r="D319" t="s">
        <v>18</v>
      </c>
      <c r="E319" s="2">
        <v>173337.8</v>
      </c>
      <c r="F319" s="2"/>
      <c r="G319" s="2"/>
      <c r="H319" s="8" t="str">
        <f t="shared" si="10"/>
        <v/>
      </c>
      <c r="I319" s="10" t="str">
        <f t="shared" si="11"/>
        <v/>
      </c>
      <c r="J319" s="2"/>
      <c r="K319" s="2"/>
      <c r="L319" s="2"/>
    </row>
    <row r="320" spans="1:12" ht="30" customHeight="1" x14ac:dyDescent="0.35">
      <c r="A320" t="s">
        <v>709</v>
      </c>
      <c r="B320" t="s">
        <v>710</v>
      </c>
      <c r="C320" t="s">
        <v>41</v>
      </c>
      <c r="D320" t="s">
        <v>40</v>
      </c>
      <c r="E320" s="2">
        <v>514870.84</v>
      </c>
      <c r="F320" s="2"/>
      <c r="G320" s="2"/>
      <c r="H320" s="8" t="str">
        <f t="shared" si="10"/>
        <v/>
      </c>
      <c r="I320" s="10" t="str">
        <f t="shared" si="11"/>
        <v/>
      </c>
      <c r="J320" s="2"/>
      <c r="K320" s="2"/>
      <c r="L320" s="2"/>
    </row>
    <row r="321" spans="1:12" ht="30" customHeight="1" x14ac:dyDescent="0.35">
      <c r="A321" t="s">
        <v>711</v>
      </c>
      <c r="B321" t="s">
        <v>712</v>
      </c>
      <c r="C321" t="s">
        <v>51</v>
      </c>
      <c r="D321" t="s">
        <v>50</v>
      </c>
      <c r="E321" s="2">
        <v>591999.80000000005</v>
      </c>
      <c r="F321" s="2">
        <v>111226.78</v>
      </c>
      <c r="G321" s="2"/>
      <c r="H321" s="8">
        <f t="shared" si="10"/>
        <v>111226.78</v>
      </c>
      <c r="I321" s="10">
        <f t="shared" si="11"/>
        <v>5.3224574153814403</v>
      </c>
      <c r="J321" s="2"/>
      <c r="K321" s="2"/>
      <c r="L321" s="2"/>
    </row>
    <row r="322" spans="1:12" ht="30" customHeight="1" x14ac:dyDescent="0.35">
      <c r="A322" t="s">
        <v>713</v>
      </c>
      <c r="B322" t="s">
        <v>714</v>
      </c>
      <c r="C322" t="s">
        <v>67</v>
      </c>
      <c r="D322" t="s">
        <v>66</v>
      </c>
      <c r="E322" s="2">
        <v>795.17</v>
      </c>
      <c r="F322" s="2"/>
      <c r="G322" s="2"/>
      <c r="H322" s="8" t="str">
        <f t="shared" si="10"/>
        <v/>
      </c>
      <c r="I322" s="10" t="str">
        <f t="shared" si="11"/>
        <v/>
      </c>
      <c r="J322" s="2"/>
      <c r="K322" s="2"/>
      <c r="L322" s="2"/>
    </row>
    <row r="323" spans="1:12" ht="30" customHeight="1" x14ac:dyDescent="0.35">
      <c r="A323" t="s">
        <v>715</v>
      </c>
      <c r="B323" t="s">
        <v>716</v>
      </c>
      <c r="C323" t="s">
        <v>19</v>
      </c>
      <c r="D323" t="s">
        <v>18</v>
      </c>
      <c r="E323" s="2">
        <v>539059.31999999995</v>
      </c>
      <c r="F323" s="2">
        <v>0</v>
      </c>
      <c r="G323" s="2">
        <v>3000</v>
      </c>
      <c r="H323" s="8">
        <f t="shared" si="10"/>
        <v>3000</v>
      </c>
      <c r="I323" s="10">
        <f t="shared" si="11"/>
        <v>179.68643999999998</v>
      </c>
      <c r="J323" s="2"/>
      <c r="K323" s="2"/>
      <c r="L323" s="2"/>
    </row>
    <row r="324" spans="1:12" ht="30" customHeight="1" x14ac:dyDescent="0.35">
      <c r="A324" t="s">
        <v>717</v>
      </c>
      <c r="B324" t="s">
        <v>718</v>
      </c>
      <c r="C324" t="s">
        <v>77</v>
      </c>
      <c r="D324" t="s">
        <v>76</v>
      </c>
      <c r="E324" s="2">
        <v>126695.08</v>
      </c>
      <c r="F324" s="2"/>
      <c r="G324" s="2"/>
      <c r="H324" s="8" t="str">
        <f t="shared" si="10"/>
        <v/>
      </c>
      <c r="I324" s="10" t="str">
        <f t="shared" si="11"/>
        <v/>
      </c>
      <c r="J324" s="2"/>
      <c r="K324" s="2"/>
      <c r="L324" s="2"/>
    </row>
    <row r="325" spans="1:12" ht="30" customHeight="1" x14ac:dyDescent="0.35">
      <c r="A325" t="s">
        <v>719</v>
      </c>
      <c r="B325" t="s">
        <v>720</v>
      </c>
      <c r="C325" t="s">
        <v>51</v>
      </c>
      <c r="D325" t="s">
        <v>50</v>
      </c>
      <c r="E325" s="2">
        <v>189292.85</v>
      </c>
      <c r="F325" s="2"/>
      <c r="G325" s="2"/>
      <c r="H325" s="8" t="str">
        <f t="shared" si="10"/>
        <v/>
      </c>
      <c r="I325" s="10" t="str">
        <f t="shared" si="11"/>
        <v/>
      </c>
      <c r="J325" s="2"/>
      <c r="K325" s="2"/>
      <c r="L325" s="2"/>
    </row>
    <row r="326" spans="1:12" ht="30" customHeight="1" x14ac:dyDescent="0.35">
      <c r="A326" t="s">
        <v>721</v>
      </c>
      <c r="B326" t="s">
        <v>722</v>
      </c>
      <c r="C326" t="s">
        <v>253</v>
      </c>
      <c r="D326" t="s">
        <v>252</v>
      </c>
      <c r="E326" s="2">
        <v>72399.11</v>
      </c>
      <c r="F326" s="2">
        <v>3275687.9</v>
      </c>
      <c r="G326" s="2"/>
      <c r="H326" s="8">
        <f t="shared" si="10"/>
        <v>3275687.9</v>
      </c>
      <c r="I326" s="10">
        <f t="shared" si="11"/>
        <v>2.2101956050208569E-2</v>
      </c>
      <c r="J326" s="2"/>
      <c r="K326" s="2"/>
      <c r="L326" s="2"/>
    </row>
    <row r="327" spans="1:12" ht="30" customHeight="1" x14ac:dyDescent="0.35">
      <c r="A327" t="s">
        <v>723</v>
      </c>
      <c r="B327" t="s">
        <v>724</v>
      </c>
      <c r="C327" t="s">
        <v>77</v>
      </c>
      <c r="D327" t="s">
        <v>76</v>
      </c>
      <c r="E327" s="2">
        <v>238132.46</v>
      </c>
      <c r="F327" s="2"/>
      <c r="G327" s="2"/>
      <c r="H327" s="8" t="str">
        <f t="shared" si="10"/>
        <v/>
      </c>
      <c r="I327" s="10" t="str">
        <f t="shared" si="11"/>
        <v/>
      </c>
      <c r="J327" s="2"/>
      <c r="K327" s="2"/>
      <c r="L327" s="2"/>
    </row>
    <row r="328" spans="1:12" ht="30" customHeight="1" x14ac:dyDescent="0.35">
      <c r="A328" t="s">
        <v>725</v>
      </c>
      <c r="B328" t="s">
        <v>726</v>
      </c>
      <c r="C328" t="s">
        <v>109</v>
      </c>
      <c r="D328" t="s">
        <v>108</v>
      </c>
      <c r="E328" s="2">
        <v>4148815.52</v>
      </c>
      <c r="F328" s="2"/>
      <c r="G328" s="2"/>
      <c r="H328" s="8" t="str">
        <f t="shared" si="10"/>
        <v/>
      </c>
      <c r="I328" s="10" t="str">
        <f t="shared" si="11"/>
        <v/>
      </c>
      <c r="J328" s="2"/>
      <c r="K328" s="2"/>
      <c r="L328" s="2"/>
    </row>
    <row r="329" spans="1:12" ht="30" customHeight="1" x14ac:dyDescent="0.35">
      <c r="A329" t="s">
        <v>727</v>
      </c>
      <c r="B329" t="s">
        <v>728</v>
      </c>
      <c r="C329" t="s">
        <v>57</v>
      </c>
      <c r="D329" t="s">
        <v>56</v>
      </c>
      <c r="E329" s="2">
        <v>18354.09</v>
      </c>
      <c r="F329" s="2"/>
      <c r="G329" s="2"/>
      <c r="H329" s="8" t="str">
        <f t="shared" si="10"/>
        <v/>
      </c>
      <c r="I329" s="10" t="str">
        <f t="shared" si="11"/>
        <v/>
      </c>
      <c r="J329" s="2"/>
      <c r="K329" s="2"/>
      <c r="L329" s="2"/>
    </row>
    <row r="330" spans="1:12" ht="30" customHeight="1" x14ac:dyDescent="0.35">
      <c r="A330" t="s">
        <v>729</v>
      </c>
      <c r="B330" t="s">
        <v>730</v>
      </c>
      <c r="C330" t="s">
        <v>77</v>
      </c>
      <c r="D330" t="s">
        <v>76</v>
      </c>
      <c r="E330" s="2">
        <v>44566.87</v>
      </c>
      <c r="F330" s="2"/>
      <c r="G330" s="2"/>
      <c r="H330" s="8" t="str">
        <f t="shared" si="10"/>
        <v/>
      </c>
      <c r="I330" s="10" t="str">
        <f t="shared" si="11"/>
        <v/>
      </c>
      <c r="J330" s="2"/>
      <c r="K330" s="2"/>
      <c r="L330" s="2"/>
    </row>
    <row r="331" spans="1:12" ht="30" customHeight="1" x14ac:dyDescent="0.35">
      <c r="A331" t="s">
        <v>731</v>
      </c>
      <c r="B331" t="s">
        <v>732</v>
      </c>
      <c r="C331" t="s">
        <v>457</v>
      </c>
      <c r="D331" t="s">
        <v>456</v>
      </c>
      <c r="E331" s="2">
        <v>92054.01</v>
      </c>
      <c r="F331" s="2">
        <v>5245321.0599999996</v>
      </c>
      <c r="G331" s="2"/>
      <c r="H331" s="8">
        <f t="shared" si="10"/>
        <v>5245321.0599999996</v>
      </c>
      <c r="I331" s="10">
        <f t="shared" si="11"/>
        <v>1.7549737937299876E-2</v>
      </c>
      <c r="J331" s="2"/>
      <c r="K331" s="2"/>
      <c r="L331" s="2"/>
    </row>
    <row r="332" spans="1:12" ht="30" customHeight="1" x14ac:dyDescent="0.35">
      <c r="A332" t="s">
        <v>733</v>
      </c>
      <c r="B332" t="s">
        <v>734</v>
      </c>
      <c r="C332" t="s">
        <v>19</v>
      </c>
      <c r="D332" t="s">
        <v>18</v>
      </c>
      <c r="E332" s="2">
        <v>239533.21</v>
      </c>
      <c r="F332" s="2"/>
      <c r="G332" s="2"/>
      <c r="H332" s="8" t="str">
        <f t="shared" si="10"/>
        <v/>
      </c>
      <c r="I332" s="10" t="str">
        <f t="shared" si="11"/>
        <v/>
      </c>
      <c r="J332" s="2"/>
      <c r="K332" s="2"/>
      <c r="L332" s="2"/>
    </row>
    <row r="333" spans="1:12" ht="30" customHeight="1" x14ac:dyDescent="0.35">
      <c r="A333" t="s">
        <v>735</v>
      </c>
      <c r="B333" t="s">
        <v>736</v>
      </c>
      <c r="C333" t="s">
        <v>487</v>
      </c>
      <c r="D333" t="s">
        <v>486</v>
      </c>
      <c r="E333" s="2">
        <v>205641.41</v>
      </c>
      <c r="F333" s="2">
        <v>438148.64</v>
      </c>
      <c r="G333" s="2">
        <v>2561851.36</v>
      </c>
      <c r="H333" s="8">
        <f t="shared" si="10"/>
        <v>3000000</v>
      </c>
      <c r="I333" s="10">
        <f t="shared" si="11"/>
        <v>6.8547136666666661E-2</v>
      </c>
      <c r="J333" s="2"/>
      <c r="K333" s="2"/>
      <c r="L333" s="2"/>
    </row>
    <row r="334" spans="1:12" ht="30" customHeight="1" x14ac:dyDescent="0.35">
      <c r="A334" t="s">
        <v>737</v>
      </c>
      <c r="B334" t="s">
        <v>738</v>
      </c>
      <c r="C334" t="s">
        <v>33</v>
      </c>
      <c r="D334" t="s">
        <v>32</v>
      </c>
      <c r="E334" s="2">
        <v>3568.3</v>
      </c>
      <c r="F334" s="2"/>
      <c r="G334" s="2"/>
      <c r="H334" s="8" t="str">
        <f t="shared" si="10"/>
        <v/>
      </c>
      <c r="I334" s="10" t="str">
        <f t="shared" si="11"/>
        <v/>
      </c>
      <c r="J334" s="2"/>
      <c r="K334" s="2"/>
      <c r="L334" s="2"/>
    </row>
    <row r="335" spans="1:12" ht="30" customHeight="1" x14ac:dyDescent="0.35">
      <c r="A335" t="s">
        <v>739</v>
      </c>
      <c r="B335" t="s">
        <v>740</v>
      </c>
      <c r="C335" t="s">
        <v>77</v>
      </c>
      <c r="D335" t="s">
        <v>76</v>
      </c>
      <c r="E335" s="2">
        <v>65411.79</v>
      </c>
      <c r="F335" s="2"/>
      <c r="G335" s="2"/>
      <c r="H335" s="8" t="str">
        <f t="shared" si="10"/>
        <v/>
      </c>
      <c r="I335" s="10" t="str">
        <f t="shared" si="11"/>
        <v/>
      </c>
      <c r="J335" s="2"/>
      <c r="K335" s="2"/>
      <c r="L335" s="2"/>
    </row>
    <row r="336" spans="1:12" ht="30" customHeight="1" x14ac:dyDescent="0.35">
      <c r="A336" t="s">
        <v>741</v>
      </c>
      <c r="B336" t="s">
        <v>742</v>
      </c>
      <c r="C336" t="s">
        <v>109</v>
      </c>
      <c r="D336" t="s">
        <v>108</v>
      </c>
      <c r="E336" s="2">
        <v>45633.83</v>
      </c>
      <c r="F336" s="2"/>
      <c r="G336" s="2"/>
      <c r="H336" s="8" t="str">
        <f t="shared" si="10"/>
        <v/>
      </c>
      <c r="I336" s="10" t="str">
        <f t="shared" si="11"/>
        <v/>
      </c>
      <c r="J336" s="2"/>
      <c r="K336" s="2"/>
      <c r="L336" s="2"/>
    </row>
    <row r="337" spans="1:12" ht="30" customHeight="1" x14ac:dyDescent="0.35">
      <c r="A337" t="s">
        <v>743</v>
      </c>
      <c r="B337" t="s">
        <v>744</v>
      </c>
      <c r="C337" t="s">
        <v>29</v>
      </c>
      <c r="D337" t="s">
        <v>28</v>
      </c>
      <c r="E337" s="2">
        <v>5370.11</v>
      </c>
      <c r="F337" s="2">
        <v>18083.88</v>
      </c>
      <c r="G337" s="2"/>
      <c r="H337" s="8">
        <f t="shared" si="10"/>
        <v>18083.88</v>
      </c>
      <c r="I337" s="10">
        <f t="shared" si="11"/>
        <v>0.29695563120303825</v>
      </c>
      <c r="J337" s="2"/>
      <c r="K337" s="2"/>
      <c r="L337" s="2"/>
    </row>
    <row r="338" spans="1:12" ht="30" customHeight="1" x14ac:dyDescent="0.35">
      <c r="A338" t="s">
        <v>745</v>
      </c>
      <c r="B338" t="s">
        <v>746</v>
      </c>
      <c r="C338" t="s">
        <v>213</v>
      </c>
      <c r="D338" t="s">
        <v>212</v>
      </c>
      <c r="E338" s="2">
        <v>48223.85</v>
      </c>
      <c r="F338" s="2">
        <v>47424.15</v>
      </c>
      <c r="G338" s="2"/>
      <c r="H338" s="8">
        <f t="shared" si="10"/>
        <v>47424.15</v>
      </c>
      <c r="I338" s="10">
        <f t="shared" si="11"/>
        <v>1.0168627165695114</v>
      </c>
      <c r="J338" s="2"/>
      <c r="K338" s="2"/>
      <c r="L338" s="2"/>
    </row>
    <row r="339" spans="1:12" ht="30" customHeight="1" x14ac:dyDescent="0.35">
      <c r="A339" t="s">
        <v>747</v>
      </c>
      <c r="B339" t="s">
        <v>748</v>
      </c>
      <c r="C339" t="s">
        <v>15</v>
      </c>
      <c r="D339" t="s">
        <v>14</v>
      </c>
      <c r="E339" s="2">
        <v>4489320.4800000004</v>
      </c>
      <c r="F339" s="2">
        <v>416281.25</v>
      </c>
      <c r="G339" s="2">
        <v>1000000</v>
      </c>
      <c r="H339" s="8">
        <f t="shared" si="10"/>
        <v>1416281.25</v>
      </c>
      <c r="I339" s="10">
        <f t="shared" si="11"/>
        <v>3.1697944740848616</v>
      </c>
      <c r="J339" s="2"/>
      <c r="K339" s="2"/>
      <c r="L339" s="2"/>
    </row>
    <row r="340" spans="1:12" ht="30" customHeight="1" x14ac:dyDescent="0.35">
      <c r="A340" t="s">
        <v>749</v>
      </c>
      <c r="B340" t="s">
        <v>750</v>
      </c>
      <c r="C340" t="s">
        <v>51</v>
      </c>
      <c r="D340" t="s">
        <v>50</v>
      </c>
      <c r="E340" s="2">
        <v>32871.32</v>
      </c>
      <c r="F340" s="2"/>
      <c r="G340" s="2"/>
      <c r="H340" s="8" t="str">
        <f t="shared" si="10"/>
        <v/>
      </c>
      <c r="I340" s="10" t="str">
        <f t="shared" si="11"/>
        <v/>
      </c>
      <c r="J340" s="2"/>
      <c r="K340" s="2"/>
      <c r="L340" s="2"/>
    </row>
    <row r="341" spans="1:12" ht="30" customHeight="1" x14ac:dyDescent="0.35">
      <c r="A341" t="s">
        <v>751</v>
      </c>
      <c r="B341" t="s">
        <v>752</v>
      </c>
      <c r="C341" t="s">
        <v>77</v>
      </c>
      <c r="D341" t="s">
        <v>76</v>
      </c>
      <c r="E341" s="2">
        <v>64309.61</v>
      </c>
      <c r="F341" s="2"/>
      <c r="G341" s="2"/>
      <c r="H341" s="8" t="str">
        <f t="shared" si="10"/>
        <v/>
      </c>
      <c r="I341" s="10" t="str">
        <f t="shared" si="11"/>
        <v/>
      </c>
      <c r="J341" s="2"/>
      <c r="K341" s="2"/>
      <c r="L341" s="2"/>
    </row>
    <row r="342" spans="1:12" ht="30" customHeight="1" x14ac:dyDescent="0.35">
      <c r="A342" t="s">
        <v>753</v>
      </c>
      <c r="B342" t="s">
        <v>754</v>
      </c>
      <c r="C342" t="s">
        <v>465</v>
      </c>
      <c r="D342" t="s">
        <v>464</v>
      </c>
      <c r="E342" s="2">
        <v>1479071.93</v>
      </c>
      <c r="F342" s="2">
        <v>3855020.29</v>
      </c>
      <c r="G342" s="2"/>
      <c r="H342" s="8">
        <f t="shared" si="10"/>
        <v>3855020.29</v>
      </c>
      <c r="I342" s="10">
        <f t="shared" si="11"/>
        <v>0.38367422704278425</v>
      </c>
      <c r="J342" s="2"/>
      <c r="K342" s="2"/>
      <c r="L342" s="2"/>
    </row>
    <row r="343" spans="1:12" ht="30" customHeight="1" x14ac:dyDescent="0.35">
      <c r="A343" t="s">
        <v>755</v>
      </c>
      <c r="B343" t="s">
        <v>756</v>
      </c>
      <c r="C343" t="s">
        <v>77</v>
      </c>
      <c r="D343" t="s">
        <v>76</v>
      </c>
      <c r="E343" s="2">
        <v>49168.71</v>
      </c>
      <c r="F343" s="2"/>
      <c r="G343" s="2"/>
      <c r="H343" s="8" t="str">
        <f t="shared" si="10"/>
        <v/>
      </c>
      <c r="I343" s="10" t="str">
        <f t="shared" si="11"/>
        <v/>
      </c>
      <c r="J343" s="2"/>
      <c r="K343" s="2"/>
      <c r="L343" s="2"/>
    </row>
    <row r="344" spans="1:12" ht="30" customHeight="1" x14ac:dyDescent="0.35">
      <c r="A344" t="s">
        <v>757</v>
      </c>
      <c r="B344" t="s">
        <v>758</v>
      </c>
      <c r="C344" t="s">
        <v>41</v>
      </c>
      <c r="D344" t="s">
        <v>40</v>
      </c>
      <c r="E344" s="2">
        <v>139647.67999999999</v>
      </c>
      <c r="F344" s="2"/>
      <c r="G344" s="2"/>
      <c r="H344" s="8" t="str">
        <f t="shared" si="10"/>
        <v/>
      </c>
      <c r="I344" s="10" t="str">
        <f t="shared" si="11"/>
        <v/>
      </c>
      <c r="J344" s="2"/>
      <c r="K344" s="2"/>
      <c r="L344" s="2"/>
    </row>
    <row r="345" spans="1:12" ht="30" customHeight="1" x14ac:dyDescent="0.35">
      <c r="A345" t="s">
        <v>759</v>
      </c>
      <c r="B345" t="s">
        <v>760</v>
      </c>
      <c r="C345" t="s">
        <v>33</v>
      </c>
      <c r="D345" t="s">
        <v>32</v>
      </c>
      <c r="E345" s="2">
        <v>319.52999999999997</v>
      </c>
      <c r="F345" s="2"/>
      <c r="G345" s="2"/>
      <c r="H345" s="8" t="str">
        <f t="shared" si="10"/>
        <v/>
      </c>
      <c r="I345" s="10" t="str">
        <f t="shared" si="11"/>
        <v/>
      </c>
      <c r="J345" s="2"/>
      <c r="K345" s="2"/>
      <c r="L345" s="2"/>
    </row>
    <row r="346" spans="1:12" ht="30" customHeight="1" x14ac:dyDescent="0.35">
      <c r="A346" t="s">
        <v>761</v>
      </c>
      <c r="B346" t="s">
        <v>762</v>
      </c>
      <c r="C346" t="s">
        <v>19</v>
      </c>
      <c r="D346" t="s">
        <v>18</v>
      </c>
      <c r="E346" s="2">
        <v>6490.04</v>
      </c>
      <c r="F346" s="2">
        <v>0</v>
      </c>
      <c r="G346" s="2">
        <v>3000</v>
      </c>
      <c r="H346" s="8">
        <f t="shared" si="10"/>
        <v>3000</v>
      </c>
      <c r="I346" s="10">
        <f t="shared" si="11"/>
        <v>2.1633466666666665</v>
      </c>
      <c r="J346" s="2"/>
      <c r="K346" s="2"/>
      <c r="L346" s="2"/>
    </row>
    <row r="347" spans="1:12" ht="30" customHeight="1" x14ac:dyDescent="0.35">
      <c r="A347" t="s">
        <v>763</v>
      </c>
      <c r="B347" t="s">
        <v>764</v>
      </c>
      <c r="C347" t="s">
        <v>51</v>
      </c>
      <c r="D347" t="s">
        <v>50</v>
      </c>
      <c r="E347" s="2">
        <v>1205990.8400000001</v>
      </c>
      <c r="F347" s="2"/>
      <c r="G347" s="2"/>
      <c r="H347" s="8" t="str">
        <f t="shared" si="10"/>
        <v/>
      </c>
      <c r="I347" s="10" t="str">
        <f t="shared" si="11"/>
        <v/>
      </c>
      <c r="J347" s="2"/>
      <c r="K347" s="2"/>
      <c r="L347" s="2"/>
    </row>
    <row r="348" spans="1:12" ht="30" customHeight="1" x14ac:dyDescent="0.35">
      <c r="A348" t="s">
        <v>765</v>
      </c>
      <c r="B348" t="s">
        <v>766</v>
      </c>
      <c r="C348" t="s">
        <v>67</v>
      </c>
      <c r="D348" t="s">
        <v>66</v>
      </c>
      <c r="E348" s="2">
        <v>1597.38</v>
      </c>
      <c r="F348" s="2"/>
      <c r="G348" s="2"/>
      <c r="H348" s="8" t="str">
        <f t="shared" si="10"/>
        <v/>
      </c>
      <c r="I348" s="10" t="str">
        <f t="shared" si="11"/>
        <v/>
      </c>
      <c r="J348" s="2"/>
      <c r="K348" s="2"/>
      <c r="L348" s="2"/>
    </row>
    <row r="349" spans="1:12" ht="30" customHeight="1" x14ac:dyDescent="0.35">
      <c r="A349" t="s">
        <v>767</v>
      </c>
      <c r="B349" t="s">
        <v>768</v>
      </c>
      <c r="C349" t="s">
        <v>51</v>
      </c>
      <c r="D349" t="s">
        <v>50</v>
      </c>
      <c r="E349" s="2">
        <v>381819.89</v>
      </c>
      <c r="F349" s="2">
        <v>300</v>
      </c>
      <c r="G349" s="2">
        <v>700</v>
      </c>
      <c r="H349" s="8">
        <f t="shared" si="10"/>
        <v>1000</v>
      </c>
      <c r="I349" s="10">
        <f t="shared" si="11"/>
        <v>381.81988999999999</v>
      </c>
      <c r="J349" s="2"/>
      <c r="K349" s="2"/>
      <c r="L349" s="2"/>
    </row>
    <row r="350" spans="1:12" ht="30" customHeight="1" x14ac:dyDescent="0.35">
      <c r="A350" t="s">
        <v>769</v>
      </c>
      <c r="B350" t="s">
        <v>770</v>
      </c>
      <c r="C350" t="s">
        <v>33</v>
      </c>
      <c r="D350" t="s">
        <v>32</v>
      </c>
      <c r="E350" s="2">
        <v>2351993.79</v>
      </c>
      <c r="F350" s="2"/>
      <c r="G350" s="2"/>
      <c r="H350" s="8" t="str">
        <f t="shared" si="10"/>
        <v/>
      </c>
      <c r="I350" s="10" t="str">
        <f t="shared" si="11"/>
        <v/>
      </c>
      <c r="J350" s="2"/>
      <c r="K350" s="2"/>
      <c r="L350" s="2"/>
    </row>
    <row r="351" spans="1:12" ht="30" customHeight="1" x14ac:dyDescent="0.35">
      <c r="A351" t="s">
        <v>771</v>
      </c>
      <c r="B351" t="s">
        <v>772</v>
      </c>
      <c r="C351" t="s">
        <v>19</v>
      </c>
      <c r="D351" t="s">
        <v>18</v>
      </c>
      <c r="E351" s="2">
        <v>47261.279999999999</v>
      </c>
      <c r="F351" s="2"/>
      <c r="G351" s="2"/>
      <c r="H351" s="8" t="str">
        <f t="shared" si="10"/>
        <v/>
      </c>
      <c r="I351" s="10" t="str">
        <f t="shared" si="11"/>
        <v/>
      </c>
      <c r="J351" s="2"/>
      <c r="K351" s="2"/>
      <c r="L351" s="2"/>
    </row>
    <row r="352" spans="1:12" ht="30" customHeight="1" x14ac:dyDescent="0.35">
      <c r="A352" t="s">
        <v>773</v>
      </c>
      <c r="B352" t="s">
        <v>774</v>
      </c>
      <c r="C352" t="s">
        <v>213</v>
      </c>
      <c r="D352" t="s">
        <v>212</v>
      </c>
      <c r="E352" s="2"/>
      <c r="F352" s="2">
        <v>204495.3</v>
      </c>
      <c r="G352" s="2"/>
      <c r="H352" s="8">
        <f t="shared" si="10"/>
        <v>204495.3</v>
      </c>
      <c r="I352" s="10">
        <f t="shared" si="11"/>
        <v>0</v>
      </c>
      <c r="J352" s="2"/>
      <c r="K352" s="2"/>
      <c r="L352" s="2"/>
    </row>
    <row r="353" spans="1:12" ht="30" customHeight="1" x14ac:dyDescent="0.35">
      <c r="A353" t="s">
        <v>775</v>
      </c>
      <c r="B353" t="s">
        <v>776</v>
      </c>
      <c r="C353" t="s">
        <v>457</v>
      </c>
      <c r="D353" t="s">
        <v>456</v>
      </c>
      <c r="E353" s="2">
        <v>16887.05</v>
      </c>
      <c r="F353" s="2">
        <v>421383.44</v>
      </c>
      <c r="G353" s="2"/>
      <c r="H353" s="8">
        <f t="shared" si="10"/>
        <v>421383.44</v>
      </c>
      <c r="I353" s="10">
        <f t="shared" si="11"/>
        <v>4.0075257822186842E-2</v>
      </c>
      <c r="J353" s="2"/>
      <c r="K353" s="2"/>
      <c r="L353" s="2"/>
    </row>
    <row r="354" spans="1:12" ht="30" customHeight="1" x14ac:dyDescent="0.35">
      <c r="A354" t="s">
        <v>777</v>
      </c>
      <c r="B354" t="s">
        <v>778</v>
      </c>
      <c r="C354" t="s">
        <v>213</v>
      </c>
      <c r="D354" t="s">
        <v>212</v>
      </c>
      <c r="E354" s="2">
        <v>101494.71</v>
      </c>
      <c r="F354" s="2">
        <v>1641656.15</v>
      </c>
      <c r="G354" s="2"/>
      <c r="H354" s="8">
        <f t="shared" si="10"/>
        <v>1641656.15</v>
      </c>
      <c r="I354" s="10">
        <f t="shared" si="11"/>
        <v>6.1824584886427045E-2</v>
      </c>
      <c r="J354" s="2"/>
      <c r="K354" s="2"/>
      <c r="L354" s="2"/>
    </row>
    <row r="355" spans="1:12" ht="30" customHeight="1" x14ac:dyDescent="0.35">
      <c r="A355" t="s">
        <v>779</v>
      </c>
      <c r="B355" t="s">
        <v>780</v>
      </c>
      <c r="C355" t="s">
        <v>19</v>
      </c>
      <c r="D355" t="s">
        <v>18</v>
      </c>
      <c r="E355" s="2">
        <v>60821.16</v>
      </c>
      <c r="F355" s="2"/>
      <c r="G355" s="2"/>
      <c r="H355" s="8" t="str">
        <f t="shared" si="10"/>
        <v/>
      </c>
      <c r="I355" s="10" t="str">
        <f t="shared" si="11"/>
        <v/>
      </c>
      <c r="J355" s="2"/>
      <c r="K355" s="2"/>
      <c r="L355" s="2"/>
    </row>
    <row r="356" spans="1:12" ht="30" customHeight="1" x14ac:dyDescent="0.35">
      <c r="A356" t="s">
        <v>781</v>
      </c>
      <c r="B356" t="s">
        <v>782</v>
      </c>
      <c r="C356" t="s">
        <v>19</v>
      </c>
      <c r="D356" t="s">
        <v>18</v>
      </c>
      <c r="E356" s="2">
        <v>12241069.710000001</v>
      </c>
      <c r="F356" s="2"/>
      <c r="G356" s="2"/>
      <c r="H356" s="8" t="str">
        <f t="shared" si="10"/>
        <v/>
      </c>
      <c r="I356" s="10" t="str">
        <f t="shared" si="11"/>
        <v/>
      </c>
      <c r="J356" s="2"/>
      <c r="K356" s="2"/>
      <c r="L356" s="2"/>
    </row>
    <row r="357" spans="1:12" ht="30" customHeight="1" x14ac:dyDescent="0.35">
      <c r="A357" t="s">
        <v>783</v>
      </c>
      <c r="B357" t="s">
        <v>784</v>
      </c>
      <c r="C357" t="s">
        <v>51</v>
      </c>
      <c r="D357" t="s">
        <v>50</v>
      </c>
      <c r="E357" s="2">
        <v>674192</v>
      </c>
      <c r="F357" s="2"/>
      <c r="G357" s="2"/>
      <c r="H357" s="8" t="str">
        <f t="shared" si="10"/>
        <v/>
      </c>
      <c r="I357" s="10" t="str">
        <f t="shared" si="11"/>
        <v/>
      </c>
      <c r="J357" s="2"/>
      <c r="K357" s="2"/>
      <c r="L357" s="2"/>
    </row>
    <row r="358" spans="1:12" ht="30" customHeight="1" x14ac:dyDescent="0.35">
      <c r="A358" t="s">
        <v>785</v>
      </c>
      <c r="B358" t="s">
        <v>786</v>
      </c>
      <c r="C358" t="s">
        <v>19</v>
      </c>
      <c r="D358" t="s">
        <v>18</v>
      </c>
      <c r="E358" s="2">
        <v>61309.440000000002</v>
      </c>
      <c r="F358" s="2">
        <v>0</v>
      </c>
      <c r="G358" s="2">
        <v>1000</v>
      </c>
      <c r="H358" s="8">
        <f t="shared" si="10"/>
        <v>1000</v>
      </c>
      <c r="I358" s="10">
        <f t="shared" si="11"/>
        <v>61.309440000000002</v>
      </c>
      <c r="J358" s="2"/>
      <c r="K358" s="2"/>
      <c r="L358" s="2"/>
    </row>
    <row r="359" spans="1:12" ht="30" customHeight="1" x14ac:dyDescent="0.35">
      <c r="A359" t="s">
        <v>787</v>
      </c>
      <c r="B359" t="s">
        <v>788</v>
      </c>
      <c r="C359" t="s">
        <v>109</v>
      </c>
      <c r="D359" t="s">
        <v>108</v>
      </c>
      <c r="E359" s="2">
        <v>2289.4699999999998</v>
      </c>
      <c r="F359" s="2"/>
      <c r="G359" s="2"/>
      <c r="H359" s="8" t="str">
        <f t="shared" si="10"/>
        <v/>
      </c>
      <c r="I359" s="10" t="str">
        <f t="shared" si="11"/>
        <v/>
      </c>
      <c r="J359" s="2"/>
      <c r="K359" s="2"/>
      <c r="L359" s="2"/>
    </row>
    <row r="360" spans="1:12" ht="30" customHeight="1" x14ac:dyDescent="0.35">
      <c r="A360" t="s">
        <v>789</v>
      </c>
      <c r="B360" t="s">
        <v>790</v>
      </c>
      <c r="C360" t="s">
        <v>253</v>
      </c>
      <c r="D360" t="s">
        <v>252</v>
      </c>
      <c r="E360" s="2">
        <v>266507.51</v>
      </c>
      <c r="F360" s="2">
        <v>1962827.73</v>
      </c>
      <c r="G360" s="2"/>
      <c r="H360" s="8">
        <f t="shared" si="10"/>
        <v>1962827.73</v>
      </c>
      <c r="I360" s="10">
        <f t="shared" si="11"/>
        <v>0.13577733080019203</v>
      </c>
      <c r="J360" s="2"/>
      <c r="K360" s="2"/>
      <c r="L360" s="2"/>
    </row>
    <row r="361" spans="1:12" ht="30" customHeight="1" x14ac:dyDescent="0.35">
      <c r="A361" t="s">
        <v>791</v>
      </c>
      <c r="B361" t="s">
        <v>792</v>
      </c>
      <c r="C361" t="s">
        <v>19</v>
      </c>
      <c r="D361" t="s">
        <v>18</v>
      </c>
      <c r="E361" s="2">
        <v>967795.29</v>
      </c>
      <c r="F361" s="2">
        <v>0</v>
      </c>
      <c r="G361" s="2">
        <v>500</v>
      </c>
      <c r="H361" s="8">
        <f t="shared" si="10"/>
        <v>500</v>
      </c>
      <c r="I361" s="10">
        <f t="shared" si="11"/>
        <v>1935.59058</v>
      </c>
      <c r="J361" s="2"/>
      <c r="K361" s="2"/>
      <c r="L361" s="2"/>
    </row>
    <row r="362" spans="1:12" ht="30" customHeight="1" x14ac:dyDescent="0.35">
      <c r="A362" t="s">
        <v>793</v>
      </c>
      <c r="B362" t="s">
        <v>794</v>
      </c>
      <c r="C362" t="s">
        <v>57</v>
      </c>
      <c r="D362" t="s">
        <v>56</v>
      </c>
      <c r="E362" s="2">
        <v>6438473.4199999999</v>
      </c>
      <c r="F362" s="2"/>
      <c r="G362" s="2"/>
      <c r="H362" s="8" t="str">
        <f t="shared" si="10"/>
        <v/>
      </c>
      <c r="I362" s="10" t="str">
        <f t="shared" si="11"/>
        <v/>
      </c>
      <c r="J362" s="2"/>
      <c r="K362" s="2"/>
      <c r="L362" s="2"/>
    </row>
    <row r="363" spans="1:12" ht="30" customHeight="1" x14ac:dyDescent="0.35">
      <c r="A363" t="s">
        <v>795</v>
      </c>
      <c r="B363" t="s">
        <v>796</v>
      </c>
      <c r="C363" t="s">
        <v>19</v>
      </c>
      <c r="D363" t="s">
        <v>18</v>
      </c>
      <c r="E363" s="2">
        <v>298217.51</v>
      </c>
      <c r="F363" s="2"/>
      <c r="G363" s="2"/>
      <c r="H363" s="8" t="str">
        <f t="shared" si="10"/>
        <v/>
      </c>
      <c r="I363" s="10" t="str">
        <f t="shared" si="11"/>
        <v/>
      </c>
      <c r="J363" s="2"/>
      <c r="K363" s="2"/>
      <c r="L363" s="2"/>
    </row>
    <row r="364" spans="1:12" ht="30" customHeight="1" x14ac:dyDescent="0.35">
      <c r="A364" t="s">
        <v>797</v>
      </c>
      <c r="B364" t="s">
        <v>798</v>
      </c>
      <c r="C364" t="s">
        <v>15</v>
      </c>
      <c r="D364" t="s">
        <v>14</v>
      </c>
      <c r="E364" s="2">
        <v>722209.3</v>
      </c>
      <c r="F364" s="2">
        <v>1978214.23</v>
      </c>
      <c r="G364" s="2">
        <v>1000500</v>
      </c>
      <c r="H364" s="8">
        <f t="shared" si="10"/>
        <v>2978714.23</v>
      </c>
      <c r="I364" s="10">
        <f t="shared" si="11"/>
        <v>0.24245672603511215</v>
      </c>
      <c r="J364" s="2"/>
      <c r="K364" s="2"/>
      <c r="L364" s="2"/>
    </row>
    <row r="365" spans="1:12" ht="30" customHeight="1" x14ac:dyDescent="0.35">
      <c r="A365" t="s">
        <v>799</v>
      </c>
      <c r="B365" t="s">
        <v>800</v>
      </c>
      <c r="C365" t="s">
        <v>19</v>
      </c>
      <c r="D365" t="s">
        <v>18</v>
      </c>
      <c r="E365" s="2">
        <v>1025594.11</v>
      </c>
      <c r="F365" s="2"/>
      <c r="G365" s="2"/>
      <c r="H365" s="8" t="str">
        <f t="shared" si="10"/>
        <v/>
      </c>
      <c r="I365" s="10" t="str">
        <f t="shared" si="11"/>
        <v/>
      </c>
      <c r="J365" s="2"/>
      <c r="K365" s="2"/>
      <c r="L365" s="2"/>
    </row>
    <row r="366" spans="1:12" ht="30" customHeight="1" x14ac:dyDescent="0.35">
      <c r="A366" t="s">
        <v>801</v>
      </c>
      <c r="B366" t="s">
        <v>802</v>
      </c>
      <c r="C366" t="s">
        <v>259</v>
      </c>
      <c r="D366" t="s">
        <v>258</v>
      </c>
      <c r="E366" s="2">
        <v>219835.42</v>
      </c>
      <c r="F366" s="2">
        <v>640012.78</v>
      </c>
      <c r="G366" s="2">
        <v>800000</v>
      </c>
      <c r="H366" s="8">
        <f t="shared" si="10"/>
        <v>1440012.78</v>
      </c>
      <c r="I366" s="10">
        <f t="shared" si="11"/>
        <v>0.15266213123469641</v>
      </c>
      <c r="J366" s="2"/>
      <c r="K366" s="2"/>
      <c r="L366" s="2"/>
    </row>
    <row r="367" spans="1:12" ht="30" customHeight="1" x14ac:dyDescent="0.35">
      <c r="A367" t="s">
        <v>803</v>
      </c>
      <c r="B367" t="s">
        <v>804</v>
      </c>
      <c r="C367" t="s">
        <v>57</v>
      </c>
      <c r="D367" t="s">
        <v>56</v>
      </c>
      <c r="E367" s="2">
        <v>59472</v>
      </c>
      <c r="F367" s="2"/>
      <c r="G367" s="2"/>
      <c r="H367" s="8" t="str">
        <f t="shared" si="10"/>
        <v/>
      </c>
      <c r="I367" s="10" t="str">
        <f t="shared" si="11"/>
        <v/>
      </c>
      <c r="J367" s="2"/>
      <c r="K367" s="2"/>
      <c r="L367" s="2"/>
    </row>
    <row r="368" spans="1:12" ht="30" customHeight="1" x14ac:dyDescent="0.35">
      <c r="A368" t="s">
        <v>805</v>
      </c>
      <c r="B368" t="s">
        <v>806</v>
      </c>
      <c r="C368" t="s">
        <v>51</v>
      </c>
      <c r="D368" t="s">
        <v>50</v>
      </c>
      <c r="E368" s="2">
        <v>228016.74</v>
      </c>
      <c r="F368" s="2"/>
      <c r="G368" s="2"/>
      <c r="H368" s="8" t="str">
        <f t="shared" si="10"/>
        <v/>
      </c>
      <c r="I368" s="10" t="str">
        <f t="shared" si="11"/>
        <v/>
      </c>
      <c r="J368" s="2"/>
      <c r="K368" s="2"/>
      <c r="L368" s="2"/>
    </row>
    <row r="369" spans="1:12" ht="30" customHeight="1" x14ac:dyDescent="0.35">
      <c r="A369" t="s">
        <v>807</v>
      </c>
      <c r="B369" t="s">
        <v>808</v>
      </c>
      <c r="C369" t="s">
        <v>77</v>
      </c>
      <c r="D369" t="s">
        <v>76</v>
      </c>
      <c r="E369" s="2">
        <v>6596795.54</v>
      </c>
      <c r="F369" s="2"/>
      <c r="G369" s="2"/>
      <c r="H369" s="8" t="str">
        <f t="shared" si="10"/>
        <v/>
      </c>
      <c r="I369" s="10" t="str">
        <f t="shared" si="11"/>
        <v/>
      </c>
      <c r="J369" s="2"/>
      <c r="K369" s="2"/>
      <c r="L369" s="2"/>
    </row>
    <row r="370" spans="1:12" ht="30" customHeight="1" x14ac:dyDescent="0.35">
      <c r="A370" t="s">
        <v>809</v>
      </c>
      <c r="B370" t="s">
        <v>810</v>
      </c>
      <c r="C370" t="s">
        <v>77</v>
      </c>
      <c r="D370" t="s">
        <v>76</v>
      </c>
      <c r="E370" s="2">
        <v>196661.97</v>
      </c>
      <c r="F370" s="2"/>
      <c r="G370" s="2"/>
      <c r="H370" s="8" t="str">
        <f t="shared" si="10"/>
        <v/>
      </c>
      <c r="I370" s="10" t="str">
        <f t="shared" si="11"/>
        <v/>
      </c>
      <c r="J370" s="2"/>
      <c r="K370" s="2"/>
      <c r="L370" s="2"/>
    </row>
    <row r="371" spans="1:12" ht="30" customHeight="1" x14ac:dyDescent="0.35">
      <c r="A371" t="s">
        <v>811</v>
      </c>
      <c r="B371" t="s">
        <v>812</v>
      </c>
      <c r="C371" t="s">
        <v>19</v>
      </c>
      <c r="D371" t="s">
        <v>18</v>
      </c>
      <c r="E371" s="2">
        <v>8023.75</v>
      </c>
      <c r="F371" s="2"/>
      <c r="G371" s="2"/>
      <c r="H371" s="8" t="str">
        <f t="shared" si="10"/>
        <v/>
      </c>
      <c r="I371" s="10" t="str">
        <f t="shared" si="11"/>
        <v/>
      </c>
      <c r="J371" s="2"/>
      <c r="K371" s="2"/>
      <c r="L371" s="2"/>
    </row>
    <row r="372" spans="1:12" ht="30" customHeight="1" x14ac:dyDescent="0.35">
      <c r="A372" t="s">
        <v>813</v>
      </c>
      <c r="B372" t="s">
        <v>814</v>
      </c>
      <c r="C372" t="s">
        <v>73</v>
      </c>
      <c r="D372" t="s">
        <v>72</v>
      </c>
      <c r="E372" s="2">
        <v>7208.29</v>
      </c>
      <c r="F372" s="2">
        <v>338962.9</v>
      </c>
      <c r="G372" s="2">
        <v>6037.1</v>
      </c>
      <c r="H372" s="8">
        <f t="shared" si="10"/>
        <v>345000</v>
      </c>
      <c r="I372" s="10">
        <f t="shared" si="11"/>
        <v>2.089359420289855E-2</v>
      </c>
      <c r="J372" s="2"/>
      <c r="K372" s="2"/>
      <c r="L372" s="2"/>
    </row>
    <row r="373" spans="1:12" ht="30" customHeight="1" x14ac:dyDescent="0.35">
      <c r="A373" t="s">
        <v>815</v>
      </c>
      <c r="B373" t="s">
        <v>816</v>
      </c>
      <c r="C373" t="s">
        <v>67</v>
      </c>
      <c r="D373" t="s">
        <v>66</v>
      </c>
      <c r="E373" s="2">
        <v>267413.08</v>
      </c>
      <c r="F373" s="2"/>
      <c r="G373" s="2"/>
      <c r="H373" s="8" t="str">
        <f t="shared" si="10"/>
        <v/>
      </c>
      <c r="I373" s="10" t="str">
        <f t="shared" si="11"/>
        <v/>
      </c>
      <c r="J373" s="2"/>
      <c r="K373" s="2"/>
      <c r="L373" s="2"/>
    </row>
    <row r="374" spans="1:12" ht="30" customHeight="1" x14ac:dyDescent="0.35">
      <c r="A374" t="s">
        <v>817</v>
      </c>
      <c r="B374" t="s">
        <v>818</v>
      </c>
      <c r="C374" t="s">
        <v>19</v>
      </c>
      <c r="D374" t="s">
        <v>18</v>
      </c>
      <c r="E374" s="2">
        <v>22362.959999999999</v>
      </c>
      <c r="F374" s="2"/>
      <c r="G374" s="2"/>
      <c r="H374" s="8" t="str">
        <f t="shared" si="10"/>
        <v/>
      </c>
      <c r="I374" s="10" t="str">
        <f t="shared" si="11"/>
        <v/>
      </c>
      <c r="J374" s="2"/>
      <c r="K374" s="2"/>
      <c r="L374" s="2"/>
    </row>
    <row r="375" spans="1:12" ht="30" customHeight="1" x14ac:dyDescent="0.35">
      <c r="A375" t="s">
        <v>819</v>
      </c>
      <c r="B375" t="s">
        <v>820</v>
      </c>
      <c r="C375" t="s">
        <v>19</v>
      </c>
      <c r="D375" t="s">
        <v>18</v>
      </c>
      <c r="E375" s="2">
        <v>172044.58</v>
      </c>
      <c r="F375" s="2"/>
      <c r="G375" s="2"/>
      <c r="H375" s="8" t="str">
        <f t="shared" si="10"/>
        <v/>
      </c>
      <c r="I375" s="10" t="str">
        <f t="shared" si="11"/>
        <v/>
      </c>
      <c r="J375" s="2"/>
      <c r="K375" s="2"/>
      <c r="L375" s="2"/>
    </row>
    <row r="376" spans="1:12" ht="30" customHeight="1" x14ac:dyDescent="0.35">
      <c r="A376" t="s">
        <v>821</v>
      </c>
      <c r="B376" t="s">
        <v>822</v>
      </c>
      <c r="C376" t="s">
        <v>19</v>
      </c>
      <c r="D376" t="s">
        <v>18</v>
      </c>
      <c r="E376" s="2">
        <v>206844.33</v>
      </c>
      <c r="F376" s="2"/>
      <c r="G376" s="2"/>
      <c r="H376" s="8" t="str">
        <f t="shared" si="10"/>
        <v/>
      </c>
      <c r="I376" s="10" t="str">
        <f t="shared" si="11"/>
        <v/>
      </c>
      <c r="J376" s="2"/>
      <c r="K376" s="2"/>
      <c r="L376" s="2"/>
    </row>
    <row r="377" spans="1:12" ht="30" customHeight="1" x14ac:dyDescent="0.35">
      <c r="A377" t="s">
        <v>823</v>
      </c>
      <c r="B377" t="s">
        <v>824</v>
      </c>
      <c r="C377" t="s">
        <v>11</v>
      </c>
      <c r="D377" t="s">
        <v>10</v>
      </c>
      <c r="E377" s="2">
        <v>102310038</v>
      </c>
      <c r="F377" s="2">
        <v>0</v>
      </c>
      <c r="G377" s="2">
        <v>2250000</v>
      </c>
      <c r="H377" s="8">
        <f t="shared" ref="H377:H439" si="12">IF(ISBLANK(F377), "",(F377+G377))</f>
        <v>2250000</v>
      </c>
      <c r="I377" s="10">
        <f t="shared" ref="I377:I439" si="13">IF(ISBLANK(F377), "", E377/H377)</f>
        <v>45.471128</v>
      </c>
      <c r="J377" s="2"/>
      <c r="K377" s="2"/>
      <c r="L377" s="2"/>
    </row>
    <row r="378" spans="1:12" ht="30" customHeight="1" x14ac:dyDescent="0.35">
      <c r="A378" t="s">
        <v>825</v>
      </c>
      <c r="B378" t="s">
        <v>826</v>
      </c>
      <c r="C378" t="s">
        <v>57</v>
      </c>
      <c r="D378" t="s">
        <v>56</v>
      </c>
      <c r="E378" s="2">
        <v>162450.81</v>
      </c>
      <c r="F378" s="2"/>
      <c r="G378" s="2"/>
      <c r="H378" s="8" t="str">
        <f t="shared" si="12"/>
        <v/>
      </c>
      <c r="I378" s="10" t="str">
        <f t="shared" si="13"/>
        <v/>
      </c>
      <c r="J378" s="2"/>
      <c r="K378" s="2"/>
      <c r="L378" s="2"/>
    </row>
    <row r="379" spans="1:12" ht="30" customHeight="1" x14ac:dyDescent="0.35">
      <c r="A379" t="s">
        <v>827</v>
      </c>
      <c r="B379" t="s">
        <v>828</v>
      </c>
      <c r="C379" t="s">
        <v>109</v>
      </c>
      <c r="D379" t="s">
        <v>108</v>
      </c>
      <c r="E379" s="2">
        <v>97902.39</v>
      </c>
      <c r="F379" s="2"/>
      <c r="G379" s="2"/>
      <c r="H379" s="8" t="str">
        <f t="shared" si="12"/>
        <v/>
      </c>
      <c r="I379" s="10" t="str">
        <f t="shared" si="13"/>
        <v/>
      </c>
      <c r="J379" s="2"/>
      <c r="K379" s="2"/>
      <c r="L379" s="2"/>
    </row>
    <row r="380" spans="1:12" ht="30" customHeight="1" x14ac:dyDescent="0.35">
      <c r="A380" t="s">
        <v>829</v>
      </c>
      <c r="B380" t="s">
        <v>830</v>
      </c>
      <c r="C380" t="s">
        <v>77</v>
      </c>
      <c r="D380" t="s">
        <v>76</v>
      </c>
      <c r="E380" s="2">
        <v>356298.49</v>
      </c>
      <c r="F380" s="2"/>
      <c r="G380" s="2"/>
      <c r="H380" s="8" t="str">
        <f t="shared" si="12"/>
        <v/>
      </c>
      <c r="I380" s="10" t="str">
        <f t="shared" si="13"/>
        <v/>
      </c>
      <c r="J380" s="2"/>
      <c r="K380" s="2"/>
      <c r="L380" s="2"/>
    </row>
    <row r="381" spans="1:12" ht="30" customHeight="1" x14ac:dyDescent="0.35">
      <c r="A381" t="s">
        <v>831</v>
      </c>
      <c r="B381" t="s">
        <v>832</v>
      </c>
      <c r="C381" t="s">
        <v>19</v>
      </c>
      <c r="D381" t="s">
        <v>18</v>
      </c>
      <c r="E381" s="2">
        <v>144919.25</v>
      </c>
      <c r="F381" s="2"/>
      <c r="G381" s="2"/>
      <c r="H381" s="8" t="str">
        <f t="shared" si="12"/>
        <v/>
      </c>
      <c r="I381" s="10" t="str">
        <f t="shared" si="13"/>
        <v/>
      </c>
      <c r="J381" s="2"/>
      <c r="K381" s="2"/>
      <c r="L381" s="2"/>
    </row>
    <row r="382" spans="1:12" ht="30" customHeight="1" x14ac:dyDescent="0.35">
      <c r="A382" t="s">
        <v>833</v>
      </c>
      <c r="B382" t="s">
        <v>834</v>
      </c>
      <c r="C382" t="s">
        <v>57</v>
      </c>
      <c r="D382" t="s">
        <v>56</v>
      </c>
      <c r="E382" s="2">
        <v>91634.25</v>
      </c>
      <c r="F382" s="2"/>
      <c r="G382" s="2"/>
      <c r="H382" s="8" t="str">
        <f t="shared" si="12"/>
        <v/>
      </c>
      <c r="I382" s="10" t="str">
        <f t="shared" si="13"/>
        <v/>
      </c>
      <c r="J382" s="2"/>
      <c r="K382" s="2"/>
      <c r="L382" s="2"/>
    </row>
    <row r="383" spans="1:12" ht="30" customHeight="1" x14ac:dyDescent="0.35">
      <c r="A383" t="s">
        <v>835</v>
      </c>
      <c r="B383" t="s">
        <v>836</v>
      </c>
      <c r="C383" t="s">
        <v>19</v>
      </c>
      <c r="D383" t="s">
        <v>18</v>
      </c>
      <c r="E383" s="2">
        <v>193253.21</v>
      </c>
      <c r="F383" s="2"/>
      <c r="G383" s="2"/>
      <c r="H383" s="8" t="str">
        <f t="shared" si="12"/>
        <v/>
      </c>
      <c r="I383" s="10" t="str">
        <f t="shared" si="13"/>
        <v/>
      </c>
      <c r="J383" s="2"/>
      <c r="K383" s="2"/>
      <c r="L383" s="2"/>
    </row>
    <row r="384" spans="1:12" ht="30" customHeight="1" x14ac:dyDescent="0.35">
      <c r="A384" t="s">
        <v>837</v>
      </c>
      <c r="B384" t="s">
        <v>838</v>
      </c>
      <c r="C384" t="s">
        <v>11</v>
      </c>
      <c r="D384" t="s">
        <v>10</v>
      </c>
      <c r="E384" s="2">
        <v>7662342.9199999999</v>
      </c>
      <c r="F384" s="2"/>
      <c r="G384" s="2"/>
      <c r="H384" s="8" t="str">
        <f t="shared" si="12"/>
        <v/>
      </c>
      <c r="I384" s="10" t="str">
        <f t="shared" si="13"/>
        <v/>
      </c>
      <c r="J384" s="2"/>
      <c r="K384" s="2"/>
      <c r="L384" s="2"/>
    </row>
    <row r="385" spans="1:12" ht="30" customHeight="1" x14ac:dyDescent="0.35">
      <c r="A385" t="s">
        <v>839</v>
      </c>
      <c r="B385" t="s">
        <v>840</v>
      </c>
      <c r="C385" t="s">
        <v>51</v>
      </c>
      <c r="D385" t="s">
        <v>50</v>
      </c>
      <c r="E385" s="2">
        <v>716026.98</v>
      </c>
      <c r="F385" s="2"/>
      <c r="G385" s="2"/>
      <c r="H385" s="8" t="str">
        <f t="shared" si="12"/>
        <v/>
      </c>
      <c r="I385" s="10" t="str">
        <f t="shared" si="13"/>
        <v/>
      </c>
      <c r="J385" s="2"/>
      <c r="K385" s="2"/>
      <c r="L385" s="2"/>
    </row>
    <row r="386" spans="1:12" ht="30" customHeight="1" x14ac:dyDescent="0.35">
      <c r="A386" t="s">
        <v>841</v>
      </c>
      <c r="B386" t="s">
        <v>842</v>
      </c>
      <c r="C386" t="s">
        <v>253</v>
      </c>
      <c r="D386" t="s">
        <v>252</v>
      </c>
      <c r="E386" s="2">
        <v>186287.55</v>
      </c>
      <c r="F386" s="2">
        <v>3822161.34</v>
      </c>
      <c r="G386" s="2"/>
      <c r="H386" s="8">
        <f t="shared" si="12"/>
        <v>3822161.34</v>
      </c>
      <c r="I386" s="10">
        <f t="shared" si="13"/>
        <v>4.8738798137704986E-2</v>
      </c>
      <c r="J386" s="2"/>
      <c r="K386" s="2"/>
      <c r="L386" s="2"/>
    </row>
    <row r="387" spans="1:12" ht="30" customHeight="1" x14ac:dyDescent="0.35">
      <c r="A387" t="s">
        <v>843</v>
      </c>
      <c r="B387" t="s">
        <v>844</v>
      </c>
      <c r="C387" t="s">
        <v>67</v>
      </c>
      <c r="D387" t="s">
        <v>66</v>
      </c>
      <c r="E387" s="2">
        <v>612855.09</v>
      </c>
      <c r="F387" s="2"/>
      <c r="G387" s="2"/>
      <c r="H387" s="8" t="str">
        <f t="shared" si="12"/>
        <v/>
      </c>
      <c r="I387" s="10" t="str">
        <f t="shared" si="13"/>
        <v/>
      </c>
      <c r="J387" s="2"/>
      <c r="K387" s="2"/>
      <c r="L387" s="2"/>
    </row>
    <row r="388" spans="1:12" ht="30" customHeight="1" x14ac:dyDescent="0.35">
      <c r="A388" t="s">
        <v>845</v>
      </c>
      <c r="B388" t="s">
        <v>846</v>
      </c>
      <c r="C388" t="s">
        <v>109</v>
      </c>
      <c r="D388" t="s">
        <v>108</v>
      </c>
      <c r="E388" s="2">
        <v>3013766.65</v>
      </c>
      <c r="F388" s="2"/>
      <c r="G388" s="2"/>
      <c r="H388" s="8" t="str">
        <f t="shared" si="12"/>
        <v/>
      </c>
      <c r="I388" s="10" t="str">
        <f t="shared" si="13"/>
        <v/>
      </c>
      <c r="J388" s="2"/>
      <c r="K388" s="2"/>
      <c r="L388" s="2"/>
    </row>
    <row r="389" spans="1:12" ht="30" customHeight="1" x14ac:dyDescent="0.35">
      <c r="A389" t="s">
        <v>18</v>
      </c>
      <c r="B389" t="s">
        <v>847</v>
      </c>
      <c r="C389" t="s">
        <v>41</v>
      </c>
      <c r="D389" t="s">
        <v>40</v>
      </c>
      <c r="E389" s="2">
        <v>44236.9</v>
      </c>
      <c r="F389" s="2"/>
      <c r="G389" s="2"/>
      <c r="H389" s="8" t="str">
        <f t="shared" si="12"/>
        <v/>
      </c>
      <c r="I389" s="10" t="str">
        <f t="shared" si="13"/>
        <v/>
      </c>
      <c r="J389" s="2"/>
      <c r="K389" s="2"/>
      <c r="L389" s="2"/>
    </row>
    <row r="390" spans="1:12" ht="30" customHeight="1" x14ac:dyDescent="0.35">
      <c r="A390" t="s">
        <v>848</v>
      </c>
      <c r="B390" t="s">
        <v>849</v>
      </c>
      <c r="C390" t="s">
        <v>77</v>
      </c>
      <c r="D390" t="s">
        <v>76</v>
      </c>
      <c r="E390" s="2">
        <v>45760.6</v>
      </c>
      <c r="F390" s="2"/>
      <c r="G390" s="2"/>
      <c r="H390" s="8" t="str">
        <f t="shared" si="12"/>
        <v/>
      </c>
      <c r="I390" s="10" t="str">
        <f t="shared" si="13"/>
        <v/>
      </c>
      <c r="J390" s="2"/>
      <c r="K390" s="2"/>
      <c r="L390" s="2"/>
    </row>
    <row r="391" spans="1:12" ht="30" customHeight="1" x14ac:dyDescent="0.35">
      <c r="A391" t="s">
        <v>850</v>
      </c>
      <c r="B391" t="s">
        <v>851</v>
      </c>
      <c r="C391" t="s">
        <v>213</v>
      </c>
      <c r="D391" t="s">
        <v>212</v>
      </c>
      <c r="E391" s="2">
        <v>3219.35</v>
      </c>
      <c r="F391" s="2">
        <v>121754.79</v>
      </c>
      <c r="G391" s="2"/>
      <c r="H391" s="8">
        <f t="shared" si="12"/>
        <v>121754.79</v>
      </c>
      <c r="I391" s="10">
        <f t="shared" si="13"/>
        <v>2.6441259518414018E-2</v>
      </c>
      <c r="J391" s="2"/>
      <c r="K391" s="2"/>
      <c r="L391" s="2"/>
    </row>
    <row r="392" spans="1:12" ht="30" customHeight="1" x14ac:dyDescent="0.35">
      <c r="A392" t="s">
        <v>852</v>
      </c>
      <c r="B392" t="s">
        <v>853</v>
      </c>
      <c r="C392" t="s">
        <v>19</v>
      </c>
      <c r="D392" t="s">
        <v>18</v>
      </c>
      <c r="E392" s="2">
        <v>451486.95</v>
      </c>
      <c r="F392" s="2">
        <v>41693.25</v>
      </c>
      <c r="G392" s="2">
        <v>10806.75</v>
      </c>
      <c r="H392" s="8">
        <f t="shared" si="12"/>
        <v>52500</v>
      </c>
      <c r="I392" s="10">
        <f t="shared" si="13"/>
        <v>8.5997514285714285</v>
      </c>
      <c r="J392" s="2"/>
      <c r="K392" s="2"/>
      <c r="L392" s="2"/>
    </row>
    <row r="393" spans="1:12" ht="30" customHeight="1" x14ac:dyDescent="0.35">
      <c r="A393" t="s">
        <v>854</v>
      </c>
      <c r="B393" t="s">
        <v>855</v>
      </c>
      <c r="C393" t="s">
        <v>19</v>
      </c>
      <c r="D393" t="s">
        <v>18</v>
      </c>
      <c r="E393" s="2">
        <v>126387.5</v>
      </c>
      <c r="F393" s="2"/>
      <c r="G393" s="2"/>
      <c r="H393" s="8" t="str">
        <f t="shared" si="12"/>
        <v/>
      </c>
      <c r="I393" s="10" t="str">
        <f t="shared" si="13"/>
        <v/>
      </c>
      <c r="J393" s="2"/>
      <c r="K393" s="2"/>
      <c r="L393" s="2"/>
    </row>
    <row r="394" spans="1:12" ht="30" customHeight="1" x14ac:dyDescent="0.35">
      <c r="A394" t="s">
        <v>856</v>
      </c>
      <c r="B394" t="s">
        <v>857</v>
      </c>
      <c r="C394" t="s">
        <v>67</v>
      </c>
      <c r="D394" t="s">
        <v>66</v>
      </c>
      <c r="E394" s="2">
        <v>7189.49</v>
      </c>
      <c r="F394" s="2">
        <v>58023.08</v>
      </c>
      <c r="G394" s="2"/>
      <c r="H394" s="8">
        <f t="shared" si="12"/>
        <v>58023.08</v>
      </c>
      <c r="I394" s="10">
        <f t="shared" si="13"/>
        <v>0.12390741753109279</v>
      </c>
      <c r="J394" s="2"/>
      <c r="K394" s="2"/>
      <c r="L394" s="2"/>
    </row>
    <row r="395" spans="1:12" ht="30" customHeight="1" x14ac:dyDescent="0.35">
      <c r="A395" t="s">
        <v>858</v>
      </c>
      <c r="B395" t="s">
        <v>859</v>
      </c>
      <c r="C395" t="s">
        <v>19</v>
      </c>
      <c r="D395" t="s">
        <v>18</v>
      </c>
      <c r="E395" s="2">
        <v>740091.83</v>
      </c>
      <c r="F395" s="2"/>
      <c r="G395" s="2"/>
      <c r="H395" s="8" t="str">
        <f t="shared" si="12"/>
        <v/>
      </c>
      <c r="I395" s="10" t="str">
        <f t="shared" si="13"/>
        <v/>
      </c>
      <c r="J395" s="2"/>
      <c r="K395" s="2"/>
      <c r="L395" s="2"/>
    </row>
    <row r="396" spans="1:12" ht="30" customHeight="1" x14ac:dyDescent="0.35">
      <c r="A396" t="s">
        <v>860</v>
      </c>
      <c r="B396" t="s">
        <v>861</v>
      </c>
      <c r="C396" t="s">
        <v>213</v>
      </c>
      <c r="D396" t="s">
        <v>212</v>
      </c>
      <c r="E396" s="2">
        <v>18615.28</v>
      </c>
      <c r="F396" s="2">
        <v>349313.01</v>
      </c>
      <c r="G396" s="2"/>
      <c r="H396" s="8">
        <f t="shared" si="12"/>
        <v>349313.01</v>
      </c>
      <c r="I396" s="10">
        <f t="shared" si="13"/>
        <v>5.3291115610036965E-2</v>
      </c>
      <c r="J396" s="2"/>
      <c r="K396" s="2"/>
      <c r="L396" s="2"/>
    </row>
    <row r="397" spans="1:12" ht="30" customHeight="1" x14ac:dyDescent="0.35">
      <c r="A397" t="s">
        <v>862</v>
      </c>
      <c r="B397" t="s">
        <v>863</v>
      </c>
      <c r="C397" t="s">
        <v>33</v>
      </c>
      <c r="D397" t="s">
        <v>32</v>
      </c>
      <c r="E397" s="2">
        <v>82481.31</v>
      </c>
      <c r="F397" s="2"/>
      <c r="G397" s="2"/>
      <c r="H397" s="8" t="str">
        <f t="shared" si="12"/>
        <v/>
      </c>
      <c r="I397" s="10" t="str">
        <f t="shared" si="13"/>
        <v/>
      </c>
      <c r="J397" s="2"/>
      <c r="K397" s="2"/>
      <c r="L397" s="2"/>
    </row>
    <row r="398" spans="1:12" ht="30" customHeight="1" x14ac:dyDescent="0.35">
      <c r="A398" t="s">
        <v>864</v>
      </c>
      <c r="B398" t="s">
        <v>865</v>
      </c>
      <c r="C398" t="s">
        <v>77</v>
      </c>
      <c r="D398" t="s">
        <v>76</v>
      </c>
      <c r="E398" s="2">
        <v>166970.75</v>
      </c>
      <c r="F398" s="2"/>
      <c r="G398" s="2"/>
      <c r="H398" s="8" t="str">
        <f t="shared" si="12"/>
        <v/>
      </c>
      <c r="I398" s="10" t="str">
        <f t="shared" si="13"/>
        <v/>
      </c>
      <c r="J398" s="2"/>
      <c r="K398" s="2"/>
      <c r="L398" s="2"/>
    </row>
    <row r="399" spans="1:12" ht="30" customHeight="1" x14ac:dyDescent="0.35">
      <c r="A399" t="s">
        <v>866</v>
      </c>
      <c r="B399" t="s">
        <v>867</v>
      </c>
      <c r="C399" t="s">
        <v>457</v>
      </c>
      <c r="D399" t="s">
        <v>456</v>
      </c>
      <c r="E399" s="2">
        <v>400843.86</v>
      </c>
      <c r="F399" s="2">
        <v>1130261.8899999999</v>
      </c>
      <c r="G399" s="2"/>
      <c r="H399" s="8">
        <f t="shared" si="12"/>
        <v>1130261.8899999999</v>
      </c>
      <c r="I399" s="10">
        <f t="shared" si="13"/>
        <v>0.35464688630703106</v>
      </c>
      <c r="J399" s="2"/>
      <c r="K399" s="2"/>
      <c r="L399" s="2"/>
    </row>
    <row r="400" spans="1:12" ht="30" customHeight="1" x14ac:dyDescent="0.35">
      <c r="A400" t="s">
        <v>868</v>
      </c>
      <c r="B400" t="s">
        <v>869</v>
      </c>
      <c r="C400" t="s">
        <v>19</v>
      </c>
      <c r="D400" t="s">
        <v>18</v>
      </c>
      <c r="E400" s="2">
        <v>5256.87</v>
      </c>
      <c r="F400" s="2"/>
      <c r="G400" s="2"/>
      <c r="H400" s="8" t="str">
        <f t="shared" si="12"/>
        <v/>
      </c>
      <c r="I400" s="10" t="str">
        <f t="shared" si="13"/>
        <v/>
      </c>
      <c r="J400" s="2"/>
      <c r="K400" s="2"/>
      <c r="L400" s="2"/>
    </row>
    <row r="401" spans="1:12" ht="30" customHeight="1" x14ac:dyDescent="0.35">
      <c r="A401" t="s">
        <v>870</v>
      </c>
      <c r="B401" t="s">
        <v>871</v>
      </c>
      <c r="C401" t="s">
        <v>19</v>
      </c>
      <c r="D401" t="s">
        <v>18</v>
      </c>
      <c r="E401" s="2">
        <v>162269.85</v>
      </c>
      <c r="F401" s="2"/>
      <c r="G401" s="2"/>
      <c r="H401" s="8" t="str">
        <f t="shared" si="12"/>
        <v/>
      </c>
      <c r="I401" s="10" t="str">
        <f t="shared" si="13"/>
        <v/>
      </c>
      <c r="J401" s="2"/>
      <c r="K401" s="2"/>
      <c r="L401" s="2"/>
    </row>
    <row r="402" spans="1:12" ht="30" customHeight="1" x14ac:dyDescent="0.35">
      <c r="A402" t="s">
        <v>872</v>
      </c>
      <c r="B402" t="s">
        <v>873</v>
      </c>
      <c r="C402" t="s">
        <v>77</v>
      </c>
      <c r="D402" t="s">
        <v>76</v>
      </c>
      <c r="E402" s="2">
        <v>291723.63</v>
      </c>
      <c r="F402" s="2"/>
      <c r="G402" s="2"/>
      <c r="H402" s="8" t="str">
        <f t="shared" si="12"/>
        <v/>
      </c>
      <c r="I402" s="10" t="str">
        <f t="shared" si="13"/>
        <v/>
      </c>
      <c r="J402" s="2"/>
      <c r="K402" s="2"/>
      <c r="L402" s="2"/>
    </row>
    <row r="403" spans="1:12" ht="30" customHeight="1" x14ac:dyDescent="0.35">
      <c r="A403" t="s">
        <v>874</v>
      </c>
      <c r="B403" t="s">
        <v>875</v>
      </c>
      <c r="C403" t="s">
        <v>213</v>
      </c>
      <c r="D403" t="s">
        <v>212</v>
      </c>
      <c r="E403" s="2">
        <v>152970.81</v>
      </c>
      <c r="F403" s="2">
        <v>1199710</v>
      </c>
      <c r="G403" s="2"/>
      <c r="H403" s="8">
        <f t="shared" si="12"/>
        <v>1199710</v>
      </c>
      <c r="I403" s="10">
        <f t="shared" si="13"/>
        <v>0.12750648906819148</v>
      </c>
      <c r="J403" s="2"/>
      <c r="K403" s="2"/>
      <c r="L403" s="2"/>
    </row>
    <row r="404" spans="1:12" ht="30" customHeight="1" x14ac:dyDescent="0.35">
      <c r="A404" t="s">
        <v>876</v>
      </c>
      <c r="B404" t="s">
        <v>877</v>
      </c>
      <c r="C404" t="s">
        <v>109</v>
      </c>
      <c r="D404" t="s">
        <v>108</v>
      </c>
      <c r="E404" s="2">
        <v>551979.38</v>
      </c>
      <c r="F404" s="2"/>
      <c r="G404" s="2"/>
      <c r="H404" s="8" t="str">
        <f t="shared" si="12"/>
        <v/>
      </c>
      <c r="I404" s="10" t="str">
        <f t="shared" si="13"/>
        <v/>
      </c>
      <c r="J404" s="2"/>
      <c r="K404" s="2"/>
      <c r="L404" s="2"/>
    </row>
    <row r="405" spans="1:12" ht="30" customHeight="1" x14ac:dyDescent="0.35">
      <c r="A405" t="s">
        <v>878</v>
      </c>
      <c r="B405" t="s">
        <v>879</v>
      </c>
      <c r="C405" t="s">
        <v>51</v>
      </c>
      <c r="D405" t="s">
        <v>50</v>
      </c>
      <c r="E405" s="2">
        <v>421660.76</v>
      </c>
      <c r="F405" s="2">
        <v>0</v>
      </c>
      <c r="G405" s="2">
        <v>1500</v>
      </c>
      <c r="H405" s="8">
        <f t="shared" si="12"/>
        <v>1500</v>
      </c>
      <c r="I405" s="10">
        <f t="shared" si="13"/>
        <v>281.10717333333332</v>
      </c>
      <c r="J405" s="2"/>
      <c r="K405" s="2"/>
      <c r="L405" s="2"/>
    </row>
    <row r="406" spans="1:12" ht="30" customHeight="1" x14ac:dyDescent="0.35">
      <c r="A406" t="s">
        <v>880</v>
      </c>
      <c r="B406" t="s">
        <v>881</v>
      </c>
      <c r="C406" t="s">
        <v>77</v>
      </c>
      <c r="D406" t="s">
        <v>76</v>
      </c>
      <c r="E406" s="2">
        <v>4082.41</v>
      </c>
      <c r="F406" s="2">
        <v>0</v>
      </c>
      <c r="G406" s="2">
        <v>2000</v>
      </c>
      <c r="H406" s="8">
        <f t="shared" si="12"/>
        <v>2000</v>
      </c>
      <c r="I406" s="10">
        <f t="shared" si="13"/>
        <v>2.0412049999999997</v>
      </c>
      <c r="J406" s="2"/>
      <c r="K406" s="2"/>
      <c r="L406" s="2"/>
    </row>
    <row r="407" spans="1:12" ht="30" customHeight="1" x14ac:dyDescent="0.35">
      <c r="A407" t="s">
        <v>605</v>
      </c>
      <c r="B407" t="s">
        <v>882</v>
      </c>
      <c r="C407" t="s">
        <v>19</v>
      </c>
      <c r="D407" t="s">
        <v>18</v>
      </c>
      <c r="E407" s="2">
        <v>70362.23</v>
      </c>
      <c r="F407" s="2">
        <v>0</v>
      </c>
      <c r="G407" s="2">
        <v>1500</v>
      </c>
      <c r="H407" s="8">
        <f t="shared" si="12"/>
        <v>1500</v>
      </c>
      <c r="I407" s="10">
        <f t="shared" si="13"/>
        <v>46.908153333333331</v>
      </c>
      <c r="J407" s="2"/>
      <c r="K407" s="2"/>
      <c r="L407" s="2"/>
    </row>
    <row r="408" spans="1:12" ht="30" customHeight="1" x14ac:dyDescent="0.35">
      <c r="A408" t="s">
        <v>56</v>
      </c>
      <c r="B408" t="s">
        <v>883</v>
      </c>
      <c r="C408" t="s">
        <v>19</v>
      </c>
      <c r="D408" t="s">
        <v>18</v>
      </c>
      <c r="E408" s="2">
        <v>3162361.24</v>
      </c>
      <c r="F408" s="2"/>
      <c r="G408" s="2"/>
      <c r="H408" s="8" t="str">
        <f t="shared" si="12"/>
        <v/>
      </c>
      <c r="I408" s="10" t="str">
        <f t="shared" si="13"/>
        <v/>
      </c>
      <c r="J408" s="2"/>
      <c r="K408" s="2"/>
      <c r="L408" s="2"/>
    </row>
    <row r="409" spans="1:12" ht="30" customHeight="1" x14ac:dyDescent="0.35">
      <c r="A409" t="s">
        <v>884</v>
      </c>
      <c r="B409" t="s">
        <v>885</v>
      </c>
      <c r="C409" t="s">
        <v>19</v>
      </c>
      <c r="D409" t="s">
        <v>18</v>
      </c>
      <c r="E409" s="2">
        <v>223166.45</v>
      </c>
      <c r="F409" s="2"/>
      <c r="G409" s="2"/>
      <c r="H409" s="8" t="str">
        <f t="shared" si="12"/>
        <v/>
      </c>
      <c r="I409" s="10" t="str">
        <f t="shared" si="13"/>
        <v/>
      </c>
      <c r="J409" s="2"/>
      <c r="K409" s="2"/>
      <c r="L409" s="2"/>
    </row>
    <row r="410" spans="1:12" ht="30" customHeight="1" x14ac:dyDescent="0.35">
      <c r="A410" t="s">
        <v>886</v>
      </c>
      <c r="B410" t="s">
        <v>887</v>
      </c>
      <c r="C410" t="s">
        <v>213</v>
      </c>
      <c r="D410" t="s">
        <v>212</v>
      </c>
      <c r="E410" s="2"/>
      <c r="F410" s="2">
        <v>434418.5</v>
      </c>
      <c r="G410" s="2"/>
      <c r="H410" s="8">
        <f t="shared" si="12"/>
        <v>434418.5</v>
      </c>
      <c r="I410" s="10">
        <f t="shared" si="13"/>
        <v>0</v>
      </c>
      <c r="J410" s="2"/>
      <c r="K410" s="2"/>
      <c r="L410" s="2"/>
    </row>
    <row r="411" spans="1:12" ht="30" customHeight="1" x14ac:dyDescent="0.35">
      <c r="A411" t="s">
        <v>888</v>
      </c>
      <c r="B411" t="s">
        <v>889</v>
      </c>
      <c r="C411" t="s">
        <v>51</v>
      </c>
      <c r="D411" t="s">
        <v>50</v>
      </c>
      <c r="E411" s="2">
        <v>257946.27</v>
      </c>
      <c r="F411" s="2"/>
      <c r="G411" s="2"/>
      <c r="H411" s="8" t="str">
        <f t="shared" si="12"/>
        <v/>
      </c>
      <c r="I411" s="10" t="str">
        <f t="shared" si="13"/>
        <v/>
      </c>
      <c r="J411" s="2"/>
      <c r="K411" s="2"/>
      <c r="L411" s="2"/>
    </row>
    <row r="412" spans="1:12" ht="30" customHeight="1" x14ac:dyDescent="0.35">
      <c r="A412" t="s">
        <v>890</v>
      </c>
      <c r="B412" t="s">
        <v>891</v>
      </c>
      <c r="C412" t="s">
        <v>57</v>
      </c>
      <c r="D412" t="s">
        <v>56</v>
      </c>
      <c r="E412" s="2">
        <v>125.5</v>
      </c>
      <c r="F412" s="2"/>
      <c r="G412" s="2"/>
      <c r="H412" s="8" t="str">
        <f t="shared" si="12"/>
        <v/>
      </c>
      <c r="I412" s="10" t="str">
        <f t="shared" si="13"/>
        <v/>
      </c>
      <c r="J412" s="2"/>
      <c r="K412" s="2"/>
      <c r="L412" s="2"/>
    </row>
    <row r="413" spans="1:12" ht="30" customHeight="1" x14ac:dyDescent="0.35">
      <c r="A413" t="s">
        <v>892</v>
      </c>
      <c r="B413" t="s">
        <v>893</v>
      </c>
      <c r="C413" t="s">
        <v>77</v>
      </c>
      <c r="D413" t="s">
        <v>76</v>
      </c>
      <c r="E413" s="2">
        <v>517735.37</v>
      </c>
      <c r="F413" s="2"/>
      <c r="G413" s="2"/>
      <c r="H413" s="8" t="str">
        <f t="shared" si="12"/>
        <v/>
      </c>
      <c r="I413" s="10" t="str">
        <f t="shared" si="13"/>
        <v/>
      </c>
      <c r="J413" s="2"/>
      <c r="K413" s="2"/>
      <c r="L413" s="2"/>
    </row>
    <row r="414" spans="1:12" ht="30" customHeight="1" x14ac:dyDescent="0.35">
      <c r="A414" t="s">
        <v>894</v>
      </c>
      <c r="B414" t="s">
        <v>895</v>
      </c>
      <c r="C414" t="s">
        <v>19</v>
      </c>
      <c r="D414" t="s">
        <v>18</v>
      </c>
      <c r="E414" s="2">
        <v>134887.46</v>
      </c>
      <c r="F414" s="2"/>
      <c r="G414" s="2"/>
      <c r="H414" s="8" t="str">
        <f t="shared" si="12"/>
        <v/>
      </c>
      <c r="I414" s="10" t="str">
        <f t="shared" si="13"/>
        <v/>
      </c>
      <c r="J414" s="2"/>
      <c r="K414" s="2"/>
      <c r="L414" s="2"/>
    </row>
    <row r="415" spans="1:12" ht="30" customHeight="1" x14ac:dyDescent="0.35">
      <c r="A415" t="s">
        <v>896</v>
      </c>
      <c r="B415" t="s">
        <v>897</v>
      </c>
      <c r="C415" t="s">
        <v>109</v>
      </c>
      <c r="D415" t="s">
        <v>108</v>
      </c>
      <c r="E415" s="2">
        <v>145575.07</v>
      </c>
      <c r="F415" s="2"/>
      <c r="G415" s="2"/>
      <c r="H415" s="8" t="str">
        <f t="shared" si="12"/>
        <v/>
      </c>
      <c r="I415" s="10" t="str">
        <f t="shared" si="13"/>
        <v/>
      </c>
      <c r="J415" s="2"/>
      <c r="K415" s="2"/>
      <c r="L415" s="2"/>
    </row>
    <row r="416" spans="1:12" ht="30" customHeight="1" x14ac:dyDescent="0.35">
      <c r="A416" t="s">
        <v>898</v>
      </c>
      <c r="B416" t="s">
        <v>899</v>
      </c>
      <c r="C416" t="s">
        <v>19</v>
      </c>
      <c r="D416" t="s">
        <v>18</v>
      </c>
      <c r="E416" s="2">
        <v>6182.75</v>
      </c>
      <c r="F416" s="2">
        <v>761.78</v>
      </c>
      <c r="G416" s="2">
        <v>238.22</v>
      </c>
      <c r="H416" s="8">
        <f t="shared" si="12"/>
        <v>1000</v>
      </c>
      <c r="I416" s="10">
        <f t="shared" si="13"/>
        <v>6.1827500000000004</v>
      </c>
      <c r="J416" s="2"/>
      <c r="K416" s="2"/>
      <c r="L416" s="2"/>
    </row>
    <row r="417" spans="1:12" ht="30" customHeight="1" x14ac:dyDescent="0.35">
      <c r="A417" t="s">
        <v>900</v>
      </c>
      <c r="B417" t="s">
        <v>901</v>
      </c>
      <c r="C417" t="s">
        <v>19</v>
      </c>
      <c r="D417" t="s">
        <v>18</v>
      </c>
      <c r="E417" s="2">
        <v>5343.31</v>
      </c>
      <c r="F417" s="2"/>
      <c r="G417" s="2"/>
      <c r="H417" s="8" t="str">
        <f t="shared" si="12"/>
        <v/>
      </c>
      <c r="I417" s="10" t="str">
        <f t="shared" si="13"/>
        <v/>
      </c>
      <c r="J417" s="2"/>
      <c r="K417" s="2"/>
      <c r="L417" s="2"/>
    </row>
    <row r="418" spans="1:12" ht="30" customHeight="1" x14ac:dyDescent="0.35">
      <c r="A418" t="s">
        <v>902</v>
      </c>
      <c r="B418" t="s">
        <v>903</v>
      </c>
      <c r="C418" t="s">
        <v>51</v>
      </c>
      <c r="D418" t="s">
        <v>50</v>
      </c>
      <c r="E418" s="2">
        <v>915171.08</v>
      </c>
      <c r="F418" s="2"/>
      <c r="G418" s="2"/>
      <c r="H418" s="8" t="str">
        <f t="shared" si="12"/>
        <v/>
      </c>
      <c r="I418" s="10" t="str">
        <f t="shared" si="13"/>
        <v/>
      </c>
      <c r="J418" s="2"/>
      <c r="K418" s="2"/>
      <c r="L418" s="2"/>
    </row>
    <row r="419" spans="1:12" ht="30" customHeight="1" x14ac:dyDescent="0.35">
      <c r="A419" t="s">
        <v>904</v>
      </c>
      <c r="B419" t="s">
        <v>905</v>
      </c>
      <c r="C419" t="s">
        <v>51</v>
      </c>
      <c r="D419" t="s">
        <v>50</v>
      </c>
      <c r="E419" s="2">
        <v>167169.68</v>
      </c>
      <c r="F419" s="2"/>
      <c r="G419" s="2"/>
      <c r="H419" s="8" t="str">
        <f t="shared" si="12"/>
        <v/>
      </c>
      <c r="I419" s="10" t="str">
        <f t="shared" si="13"/>
        <v/>
      </c>
      <c r="J419" s="2"/>
      <c r="K419" s="2"/>
      <c r="L419" s="2"/>
    </row>
    <row r="420" spans="1:12" ht="30" customHeight="1" x14ac:dyDescent="0.35">
      <c r="A420" t="s">
        <v>906</v>
      </c>
      <c r="B420" t="s">
        <v>907</v>
      </c>
      <c r="C420" t="s">
        <v>213</v>
      </c>
      <c r="D420" t="s">
        <v>212</v>
      </c>
      <c r="E420" s="2">
        <v>1814.1</v>
      </c>
      <c r="F420" s="2">
        <v>511592.08</v>
      </c>
      <c r="G420" s="2"/>
      <c r="H420" s="8">
        <f t="shared" si="12"/>
        <v>511592.08</v>
      </c>
      <c r="I420" s="10">
        <f t="shared" si="13"/>
        <v>3.5459892185977543E-3</v>
      </c>
      <c r="J420" s="2"/>
      <c r="K420" s="2"/>
      <c r="L420" s="2"/>
    </row>
    <row r="421" spans="1:12" ht="30" customHeight="1" x14ac:dyDescent="0.35">
      <c r="A421" t="s">
        <v>908</v>
      </c>
      <c r="B421" t="s">
        <v>909</v>
      </c>
      <c r="C421" t="s">
        <v>51</v>
      </c>
      <c r="D421" t="s">
        <v>50</v>
      </c>
      <c r="E421" s="2">
        <v>9743.43</v>
      </c>
      <c r="F421" s="2"/>
      <c r="G421" s="2"/>
      <c r="H421" s="8" t="str">
        <f t="shared" si="12"/>
        <v/>
      </c>
      <c r="I421" s="10" t="str">
        <f t="shared" si="13"/>
        <v/>
      </c>
      <c r="J421" s="2"/>
      <c r="K421" s="2"/>
      <c r="L421" s="2"/>
    </row>
    <row r="422" spans="1:12" ht="30" customHeight="1" x14ac:dyDescent="0.35">
      <c r="A422" t="s">
        <v>910</v>
      </c>
      <c r="B422" t="s">
        <v>911</v>
      </c>
      <c r="C422" t="s">
        <v>19</v>
      </c>
      <c r="D422" t="s">
        <v>18</v>
      </c>
      <c r="E422" s="2">
        <v>1212445.46</v>
      </c>
      <c r="F422" s="2">
        <v>0</v>
      </c>
      <c r="G422" s="2">
        <v>2000</v>
      </c>
      <c r="H422" s="8">
        <f t="shared" si="12"/>
        <v>2000</v>
      </c>
      <c r="I422" s="10">
        <f t="shared" si="13"/>
        <v>606.22272999999996</v>
      </c>
      <c r="J422" s="2"/>
      <c r="K422" s="2"/>
      <c r="L422" s="2"/>
    </row>
    <row r="423" spans="1:12" ht="30" customHeight="1" x14ac:dyDescent="0.35">
      <c r="A423" t="s">
        <v>912</v>
      </c>
      <c r="B423" t="s">
        <v>913</v>
      </c>
      <c r="C423" t="s">
        <v>457</v>
      </c>
      <c r="D423" t="s">
        <v>456</v>
      </c>
      <c r="E423" s="2">
        <v>37854.92</v>
      </c>
      <c r="F423" s="2">
        <v>1202751.3700000001</v>
      </c>
      <c r="G423" s="2"/>
      <c r="H423" s="8">
        <f t="shared" si="12"/>
        <v>1202751.3700000001</v>
      </c>
      <c r="I423" s="10">
        <f t="shared" si="13"/>
        <v>3.1473603725764202E-2</v>
      </c>
      <c r="J423" s="2"/>
      <c r="K423" s="2"/>
      <c r="L423" s="2"/>
    </row>
    <row r="424" spans="1:12" ht="30" customHeight="1" x14ac:dyDescent="0.35">
      <c r="A424" t="s">
        <v>914</v>
      </c>
      <c r="B424" t="s">
        <v>915</v>
      </c>
      <c r="C424" t="s">
        <v>259</v>
      </c>
      <c r="D424" t="s">
        <v>258</v>
      </c>
      <c r="E424" s="2">
        <v>580760.17000000004</v>
      </c>
      <c r="F424" s="2"/>
      <c r="G424" s="2"/>
      <c r="H424" s="8" t="str">
        <f t="shared" si="12"/>
        <v/>
      </c>
      <c r="I424" s="10" t="str">
        <f t="shared" si="13"/>
        <v/>
      </c>
      <c r="J424" s="2"/>
      <c r="K424" s="2"/>
      <c r="L424" s="2"/>
    </row>
    <row r="425" spans="1:12" ht="30" customHeight="1" x14ac:dyDescent="0.35">
      <c r="A425" t="s">
        <v>916</v>
      </c>
      <c r="B425" t="s">
        <v>917</v>
      </c>
      <c r="C425" t="s">
        <v>101</v>
      </c>
      <c r="D425" t="s">
        <v>100</v>
      </c>
      <c r="E425" s="2">
        <v>2119358.73</v>
      </c>
      <c r="F425" s="2">
        <v>9430009.2200000007</v>
      </c>
      <c r="G425" s="2">
        <v>1122321.8600000001</v>
      </c>
      <c r="H425" s="8">
        <f t="shared" si="12"/>
        <v>10552331.08</v>
      </c>
      <c r="I425" s="10">
        <f t="shared" si="13"/>
        <v>0.20084270612176433</v>
      </c>
      <c r="J425" s="2"/>
      <c r="K425" s="2"/>
      <c r="L425" s="2"/>
    </row>
    <row r="426" spans="1:12" ht="30" customHeight="1" x14ac:dyDescent="0.35">
      <c r="A426" t="s">
        <v>918</v>
      </c>
      <c r="B426" t="s">
        <v>919</v>
      </c>
      <c r="C426" t="s">
        <v>259</v>
      </c>
      <c r="D426" t="s">
        <v>258</v>
      </c>
      <c r="E426" s="2">
        <v>30763.88</v>
      </c>
      <c r="F426" s="2"/>
      <c r="G426" s="2"/>
      <c r="H426" s="8" t="str">
        <f t="shared" si="12"/>
        <v/>
      </c>
      <c r="I426" s="10" t="str">
        <f t="shared" si="13"/>
        <v/>
      </c>
      <c r="J426" s="2"/>
      <c r="K426" s="2"/>
      <c r="L426" s="2"/>
    </row>
    <row r="427" spans="1:12" ht="30" customHeight="1" x14ac:dyDescent="0.35">
      <c r="A427" t="s">
        <v>920</v>
      </c>
      <c r="B427" t="s">
        <v>921</v>
      </c>
      <c r="C427" t="s">
        <v>77</v>
      </c>
      <c r="D427" t="s">
        <v>76</v>
      </c>
      <c r="E427" s="2">
        <v>206028.76</v>
      </c>
      <c r="F427" s="2"/>
      <c r="G427" s="2"/>
      <c r="H427" s="8" t="str">
        <f t="shared" si="12"/>
        <v/>
      </c>
      <c r="I427" s="10" t="str">
        <f t="shared" si="13"/>
        <v/>
      </c>
      <c r="J427" s="2"/>
      <c r="K427" s="2"/>
      <c r="L427" s="2"/>
    </row>
    <row r="428" spans="1:12" ht="30" customHeight="1" x14ac:dyDescent="0.35">
      <c r="A428" t="s">
        <v>922</v>
      </c>
      <c r="B428" t="s">
        <v>923</v>
      </c>
      <c r="C428" t="s">
        <v>77</v>
      </c>
      <c r="D428" t="s">
        <v>76</v>
      </c>
      <c r="E428" s="2">
        <v>96299.77</v>
      </c>
      <c r="F428" s="2"/>
      <c r="G428" s="2"/>
      <c r="H428" s="8" t="str">
        <f t="shared" si="12"/>
        <v/>
      </c>
      <c r="I428" s="10" t="str">
        <f t="shared" si="13"/>
        <v/>
      </c>
      <c r="J428" s="2"/>
      <c r="K428" s="2"/>
      <c r="L428" s="2"/>
    </row>
    <row r="429" spans="1:12" ht="30" customHeight="1" x14ac:dyDescent="0.35">
      <c r="A429" t="s">
        <v>924</v>
      </c>
      <c r="B429" t="s">
        <v>925</v>
      </c>
      <c r="C429" t="s">
        <v>33</v>
      </c>
      <c r="D429" t="s">
        <v>32</v>
      </c>
      <c r="E429" s="2">
        <v>161813.95000000001</v>
      </c>
      <c r="F429" s="2"/>
      <c r="G429" s="2"/>
      <c r="H429" s="8" t="str">
        <f t="shared" si="12"/>
        <v/>
      </c>
      <c r="I429" s="10" t="str">
        <f t="shared" si="13"/>
        <v/>
      </c>
      <c r="J429" s="2"/>
      <c r="K429" s="2"/>
      <c r="L429" s="2"/>
    </row>
    <row r="430" spans="1:12" ht="30" customHeight="1" x14ac:dyDescent="0.35">
      <c r="A430" t="s">
        <v>926</v>
      </c>
      <c r="B430" t="s">
        <v>927</v>
      </c>
      <c r="C430" t="s">
        <v>259</v>
      </c>
      <c r="D430" t="s">
        <v>258</v>
      </c>
      <c r="E430" s="2">
        <v>840433.2</v>
      </c>
      <c r="F430" s="2"/>
      <c r="G430" s="2"/>
      <c r="H430" s="8" t="str">
        <f t="shared" si="12"/>
        <v/>
      </c>
      <c r="I430" s="10" t="str">
        <f t="shared" si="13"/>
        <v/>
      </c>
      <c r="J430" s="2"/>
      <c r="K430" s="2"/>
      <c r="L430" s="2"/>
    </row>
    <row r="431" spans="1:12" ht="30" customHeight="1" x14ac:dyDescent="0.35">
      <c r="A431" t="s">
        <v>928</v>
      </c>
      <c r="B431" t="s">
        <v>929</v>
      </c>
      <c r="C431" t="s">
        <v>19</v>
      </c>
      <c r="D431" t="s">
        <v>18</v>
      </c>
      <c r="E431" s="2">
        <v>15657.72</v>
      </c>
      <c r="F431" s="2"/>
      <c r="G431" s="2"/>
      <c r="H431" s="8" t="str">
        <f t="shared" si="12"/>
        <v/>
      </c>
      <c r="I431" s="10" t="str">
        <f t="shared" si="13"/>
        <v/>
      </c>
      <c r="J431" s="2"/>
      <c r="K431" s="2"/>
      <c r="L431" s="2"/>
    </row>
    <row r="432" spans="1:12" ht="30" customHeight="1" x14ac:dyDescent="0.35">
      <c r="A432" t="s">
        <v>930</v>
      </c>
      <c r="B432" t="s">
        <v>931</v>
      </c>
      <c r="C432" t="s">
        <v>253</v>
      </c>
      <c r="D432" t="s">
        <v>252</v>
      </c>
      <c r="E432" s="2">
        <v>450939.66</v>
      </c>
      <c r="F432" s="2">
        <v>948481.53</v>
      </c>
      <c r="G432" s="2"/>
      <c r="H432" s="8">
        <f t="shared" si="12"/>
        <v>948481.53</v>
      </c>
      <c r="I432" s="10">
        <f t="shared" si="13"/>
        <v>0.47543325382414137</v>
      </c>
      <c r="J432" s="2"/>
      <c r="K432" s="2"/>
      <c r="L432" s="2"/>
    </row>
    <row r="433" spans="1:12" ht="30" customHeight="1" x14ac:dyDescent="0.35">
      <c r="A433" t="s">
        <v>932</v>
      </c>
      <c r="B433" t="s">
        <v>933</v>
      </c>
      <c r="C433" t="s">
        <v>57</v>
      </c>
      <c r="D433" t="s">
        <v>56</v>
      </c>
      <c r="E433" s="2">
        <v>220906.68</v>
      </c>
      <c r="F433" s="2"/>
      <c r="G433" s="2"/>
      <c r="H433" s="8" t="str">
        <f t="shared" si="12"/>
        <v/>
      </c>
      <c r="I433" s="10" t="str">
        <f t="shared" si="13"/>
        <v/>
      </c>
      <c r="J433" s="2"/>
      <c r="K433" s="2"/>
      <c r="L433" s="2"/>
    </row>
    <row r="434" spans="1:12" ht="30" customHeight="1" x14ac:dyDescent="0.35">
      <c r="A434" t="s">
        <v>934</v>
      </c>
      <c r="B434" t="s">
        <v>935</v>
      </c>
      <c r="C434" t="s">
        <v>33</v>
      </c>
      <c r="D434" t="s">
        <v>32</v>
      </c>
      <c r="E434" s="2">
        <v>209920.69</v>
      </c>
      <c r="F434" s="2"/>
      <c r="G434" s="2"/>
      <c r="H434" s="8" t="str">
        <f t="shared" si="12"/>
        <v/>
      </c>
      <c r="I434" s="10" t="str">
        <f t="shared" si="13"/>
        <v/>
      </c>
      <c r="J434" s="2"/>
      <c r="K434" s="2"/>
      <c r="L434" s="2"/>
    </row>
    <row r="435" spans="1:12" ht="30" customHeight="1" x14ac:dyDescent="0.35">
      <c r="A435" t="s">
        <v>936</v>
      </c>
      <c r="B435" t="s">
        <v>937</v>
      </c>
      <c r="C435" t="s">
        <v>259</v>
      </c>
      <c r="D435" t="s">
        <v>258</v>
      </c>
      <c r="E435" s="2">
        <v>228616.95999999999</v>
      </c>
      <c r="F435" s="2">
        <v>3365973.6</v>
      </c>
      <c r="G435" s="2"/>
      <c r="H435" s="8">
        <f t="shared" si="12"/>
        <v>3365973.6</v>
      </c>
      <c r="I435" s="10">
        <f t="shared" si="13"/>
        <v>6.7920009830142458E-2</v>
      </c>
      <c r="J435" s="2"/>
      <c r="K435" s="2"/>
      <c r="L435" s="2"/>
    </row>
    <row r="436" spans="1:12" ht="30" customHeight="1" x14ac:dyDescent="0.35">
      <c r="A436" t="s">
        <v>938</v>
      </c>
      <c r="B436" t="s">
        <v>939</v>
      </c>
      <c r="C436" t="s">
        <v>33</v>
      </c>
      <c r="D436" t="s">
        <v>32</v>
      </c>
      <c r="E436" s="2">
        <v>395273.7</v>
      </c>
      <c r="F436" s="2">
        <v>2004.5</v>
      </c>
      <c r="G436" s="2">
        <v>5000</v>
      </c>
      <c r="H436" s="8">
        <f t="shared" si="12"/>
        <v>7004.5</v>
      </c>
      <c r="I436" s="10">
        <f t="shared" si="13"/>
        <v>56.431394103790424</v>
      </c>
      <c r="J436" s="2"/>
      <c r="K436" s="2"/>
      <c r="L436" s="2"/>
    </row>
    <row r="437" spans="1:12" ht="30" customHeight="1" x14ac:dyDescent="0.35">
      <c r="A437" t="s">
        <v>940</v>
      </c>
      <c r="B437" t="s">
        <v>941</v>
      </c>
      <c r="C437" t="s">
        <v>77</v>
      </c>
      <c r="D437" t="s">
        <v>76</v>
      </c>
      <c r="E437" s="2">
        <v>29135.69</v>
      </c>
      <c r="F437" s="2"/>
      <c r="G437" s="2"/>
      <c r="H437" s="8" t="str">
        <f t="shared" si="12"/>
        <v/>
      </c>
      <c r="I437" s="10" t="str">
        <f t="shared" si="13"/>
        <v/>
      </c>
      <c r="J437" s="2"/>
      <c r="K437" s="2"/>
      <c r="L437" s="2"/>
    </row>
    <row r="438" spans="1:12" ht="30" customHeight="1" x14ac:dyDescent="0.35">
      <c r="A438" t="s">
        <v>942</v>
      </c>
      <c r="B438" t="s">
        <v>943</v>
      </c>
      <c r="C438" t="s">
        <v>259</v>
      </c>
      <c r="D438" t="s">
        <v>258</v>
      </c>
      <c r="E438" s="2">
        <v>3029853.15</v>
      </c>
      <c r="F438" s="2">
        <v>744882.16</v>
      </c>
      <c r="G438" s="2">
        <v>500000</v>
      </c>
      <c r="H438" s="8">
        <f t="shared" si="12"/>
        <v>1244882.1600000001</v>
      </c>
      <c r="I438" s="10">
        <f t="shared" si="13"/>
        <v>2.433847353069948</v>
      </c>
      <c r="J438" s="2"/>
      <c r="K438" s="2"/>
      <c r="L438" s="2"/>
    </row>
    <row r="439" spans="1:12" ht="30" customHeight="1" x14ac:dyDescent="0.35">
      <c r="A439" t="s">
        <v>944</v>
      </c>
      <c r="B439" t="s">
        <v>945</v>
      </c>
      <c r="C439" t="s">
        <v>57</v>
      </c>
      <c r="D439" t="s">
        <v>56</v>
      </c>
      <c r="E439" s="2">
        <v>11543.52</v>
      </c>
      <c r="F439" s="2"/>
      <c r="G439" s="2"/>
      <c r="H439" s="8" t="str">
        <f t="shared" si="12"/>
        <v/>
      </c>
      <c r="I439" s="10" t="str">
        <f t="shared" si="13"/>
        <v/>
      </c>
      <c r="J439" s="2"/>
      <c r="K439" s="2"/>
      <c r="L439" s="2"/>
    </row>
    <row r="440" spans="1:12" ht="30" customHeight="1" x14ac:dyDescent="0.35">
      <c r="A440" t="s">
        <v>946</v>
      </c>
      <c r="B440" t="s">
        <v>947</v>
      </c>
      <c r="C440" t="s">
        <v>57</v>
      </c>
      <c r="D440" t="s">
        <v>56</v>
      </c>
      <c r="E440" s="2">
        <v>42176.11</v>
      </c>
      <c r="F440" s="2">
        <v>0</v>
      </c>
      <c r="G440" s="2">
        <v>150000</v>
      </c>
      <c r="H440" s="8">
        <f t="shared" ref="H440:H501" si="14">IF(ISBLANK(F440), "",(F440+G440))</f>
        <v>150000</v>
      </c>
      <c r="I440" s="10">
        <f t="shared" ref="I440:I501" si="15">IF(ISBLANK(F440), "", E440/H440)</f>
        <v>0.28117406666666667</v>
      </c>
      <c r="J440" s="2"/>
      <c r="K440" s="2"/>
      <c r="L440" s="2"/>
    </row>
    <row r="441" spans="1:12" ht="30" customHeight="1" x14ac:dyDescent="0.35">
      <c r="A441" t="s">
        <v>948</v>
      </c>
      <c r="B441" t="s">
        <v>949</v>
      </c>
      <c r="C441" t="s">
        <v>19</v>
      </c>
      <c r="D441" t="s">
        <v>18</v>
      </c>
      <c r="E441" s="2">
        <v>235408.01</v>
      </c>
      <c r="F441" s="2">
        <v>8788.01</v>
      </c>
      <c r="G441" s="2"/>
      <c r="H441" s="8">
        <f t="shared" si="14"/>
        <v>8788.01</v>
      </c>
      <c r="I441" s="10">
        <f t="shared" si="15"/>
        <v>26.78740807076915</v>
      </c>
      <c r="J441" s="2"/>
      <c r="K441" s="2"/>
      <c r="L441" s="2"/>
    </row>
    <row r="442" spans="1:12" ht="30" customHeight="1" x14ac:dyDescent="0.35">
      <c r="A442" t="s">
        <v>950</v>
      </c>
      <c r="B442" t="s">
        <v>951</v>
      </c>
      <c r="C442" t="s">
        <v>109</v>
      </c>
      <c r="D442" t="s">
        <v>108</v>
      </c>
      <c r="E442" s="2">
        <v>389699.86</v>
      </c>
      <c r="F442" s="2"/>
      <c r="G442" s="2"/>
      <c r="H442" s="8" t="str">
        <f t="shared" si="14"/>
        <v/>
      </c>
      <c r="I442" s="10" t="str">
        <f t="shared" si="15"/>
        <v/>
      </c>
      <c r="J442" s="2"/>
      <c r="K442" s="2"/>
      <c r="L442" s="2"/>
    </row>
    <row r="443" spans="1:12" ht="30" customHeight="1" x14ac:dyDescent="0.35">
      <c r="A443" t="s">
        <v>952</v>
      </c>
      <c r="B443" t="s">
        <v>953</v>
      </c>
      <c r="C443" t="s">
        <v>457</v>
      </c>
      <c r="D443" t="s">
        <v>456</v>
      </c>
      <c r="E443" s="2"/>
      <c r="F443" s="2">
        <v>638643.84</v>
      </c>
      <c r="G443" s="2"/>
      <c r="H443" s="8">
        <f t="shared" si="14"/>
        <v>638643.84</v>
      </c>
      <c r="I443" s="10">
        <f t="shared" si="15"/>
        <v>0</v>
      </c>
      <c r="J443" s="2"/>
      <c r="K443" s="2"/>
      <c r="L443" s="2"/>
    </row>
    <row r="444" spans="1:12" ht="30" customHeight="1" x14ac:dyDescent="0.35">
      <c r="A444" t="s">
        <v>954</v>
      </c>
      <c r="B444" t="s">
        <v>955</v>
      </c>
      <c r="C444" t="s">
        <v>33</v>
      </c>
      <c r="D444" t="s">
        <v>32</v>
      </c>
      <c r="E444" s="2">
        <v>48087.55</v>
      </c>
      <c r="F444" s="2"/>
      <c r="G444" s="2"/>
      <c r="H444" s="8" t="str">
        <f t="shared" si="14"/>
        <v/>
      </c>
      <c r="I444" s="10" t="str">
        <f t="shared" si="15"/>
        <v/>
      </c>
      <c r="J444" s="2"/>
      <c r="K444" s="2"/>
      <c r="L444" s="2"/>
    </row>
    <row r="445" spans="1:12" ht="30" customHeight="1" x14ac:dyDescent="0.35">
      <c r="A445" t="s">
        <v>956</v>
      </c>
      <c r="B445" t="s">
        <v>957</v>
      </c>
      <c r="C445" t="s">
        <v>253</v>
      </c>
      <c r="D445" t="s">
        <v>252</v>
      </c>
      <c r="E445" s="2">
        <v>385344.97</v>
      </c>
      <c r="F445" s="2">
        <v>1493549.7</v>
      </c>
      <c r="G445" s="2">
        <v>300000</v>
      </c>
      <c r="H445" s="8">
        <f t="shared" si="14"/>
        <v>1793549.7</v>
      </c>
      <c r="I445" s="10">
        <f t="shared" si="15"/>
        <v>0.21485045549615936</v>
      </c>
      <c r="J445" s="2"/>
      <c r="K445" s="2"/>
      <c r="L445" s="2"/>
    </row>
    <row r="446" spans="1:12" ht="30" customHeight="1" x14ac:dyDescent="0.35">
      <c r="A446" t="s">
        <v>958</v>
      </c>
      <c r="B446" t="s">
        <v>959</v>
      </c>
      <c r="C446" t="s">
        <v>19</v>
      </c>
      <c r="D446" t="s">
        <v>18</v>
      </c>
      <c r="E446" s="2">
        <v>23312.81</v>
      </c>
      <c r="F446" s="2"/>
      <c r="G446" s="2"/>
      <c r="H446" s="8" t="str">
        <f t="shared" si="14"/>
        <v/>
      </c>
      <c r="I446" s="10" t="str">
        <f t="shared" si="15"/>
        <v/>
      </c>
      <c r="J446" s="2"/>
      <c r="K446" s="2"/>
      <c r="L446" s="2"/>
    </row>
    <row r="447" spans="1:12" ht="30" customHeight="1" x14ac:dyDescent="0.35">
      <c r="A447" t="s">
        <v>960</v>
      </c>
      <c r="B447" t="s">
        <v>961</v>
      </c>
      <c r="C447" t="s">
        <v>29</v>
      </c>
      <c r="D447" t="s">
        <v>28</v>
      </c>
      <c r="E447" s="2">
        <v>19428.04</v>
      </c>
      <c r="F447" s="2">
        <v>478890.59</v>
      </c>
      <c r="G447" s="2"/>
      <c r="H447" s="8">
        <f t="shared" si="14"/>
        <v>478890.59</v>
      </c>
      <c r="I447" s="10">
        <f t="shared" si="15"/>
        <v>4.0568848930608553E-2</v>
      </c>
      <c r="J447" s="2"/>
      <c r="K447" s="2"/>
      <c r="L447" s="2"/>
    </row>
    <row r="448" spans="1:12" ht="30" customHeight="1" x14ac:dyDescent="0.35">
      <c r="A448" t="s">
        <v>962</v>
      </c>
      <c r="B448" t="s">
        <v>963</v>
      </c>
      <c r="C448" t="s">
        <v>965</v>
      </c>
      <c r="D448" t="s">
        <v>964</v>
      </c>
      <c r="E448" s="2">
        <v>702925.17</v>
      </c>
      <c r="F448" s="2"/>
      <c r="G448" s="2"/>
      <c r="H448" s="8" t="str">
        <f t="shared" si="14"/>
        <v/>
      </c>
      <c r="I448" s="10" t="str">
        <f t="shared" si="15"/>
        <v/>
      </c>
      <c r="J448" s="2"/>
      <c r="K448" s="2"/>
      <c r="L448" s="2"/>
    </row>
    <row r="449" spans="1:12" ht="30" customHeight="1" x14ac:dyDescent="0.35">
      <c r="A449" t="s">
        <v>966</v>
      </c>
      <c r="B449" t="s">
        <v>967</v>
      </c>
      <c r="C449" t="s">
        <v>259</v>
      </c>
      <c r="D449" t="s">
        <v>258</v>
      </c>
      <c r="E449" s="2">
        <v>11675.25</v>
      </c>
      <c r="F449" s="2">
        <v>1340988.3500000001</v>
      </c>
      <c r="G449" s="2">
        <v>10370.620000000001</v>
      </c>
      <c r="H449" s="8">
        <f t="shared" si="14"/>
        <v>1351358.9700000002</v>
      </c>
      <c r="I449" s="10">
        <f t="shared" si="15"/>
        <v>8.6396362914585145E-3</v>
      </c>
      <c r="J449" s="2"/>
      <c r="K449" s="2"/>
      <c r="L449" s="2"/>
    </row>
    <row r="450" spans="1:12" ht="30" customHeight="1" x14ac:dyDescent="0.35">
      <c r="A450" t="s">
        <v>968</v>
      </c>
      <c r="B450" t="s">
        <v>969</v>
      </c>
      <c r="C450" t="s">
        <v>33</v>
      </c>
      <c r="D450" t="s">
        <v>32</v>
      </c>
      <c r="E450" s="2">
        <v>382859.78</v>
      </c>
      <c r="F450" s="2"/>
      <c r="G450" s="2"/>
      <c r="H450" s="8" t="str">
        <f t="shared" si="14"/>
        <v/>
      </c>
      <c r="I450" s="10" t="str">
        <f t="shared" si="15"/>
        <v/>
      </c>
      <c r="J450" s="2"/>
      <c r="K450" s="2"/>
      <c r="L450" s="2"/>
    </row>
    <row r="451" spans="1:12" ht="30" customHeight="1" x14ac:dyDescent="0.35">
      <c r="A451" t="s">
        <v>970</v>
      </c>
      <c r="B451" t="s">
        <v>971</v>
      </c>
      <c r="C451" t="s">
        <v>19</v>
      </c>
      <c r="D451" t="s">
        <v>18</v>
      </c>
      <c r="E451" s="2">
        <v>48171.07</v>
      </c>
      <c r="F451" s="2"/>
      <c r="G451" s="2"/>
      <c r="H451" s="8" t="str">
        <f t="shared" si="14"/>
        <v/>
      </c>
      <c r="I451" s="10" t="str">
        <f t="shared" si="15"/>
        <v/>
      </c>
      <c r="J451" s="2"/>
      <c r="K451" s="2"/>
      <c r="L451" s="2"/>
    </row>
    <row r="452" spans="1:12" ht="30" customHeight="1" x14ac:dyDescent="0.35">
      <c r="A452" t="s">
        <v>972</v>
      </c>
      <c r="B452" t="s">
        <v>973</v>
      </c>
      <c r="C452" t="s">
        <v>77</v>
      </c>
      <c r="D452" t="s">
        <v>76</v>
      </c>
      <c r="E452" s="2">
        <v>68836.899999999994</v>
      </c>
      <c r="F452" s="2"/>
      <c r="G452" s="2"/>
      <c r="H452" s="8" t="str">
        <f t="shared" si="14"/>
        <v/>
      </c>
      <c r="I452" s="10" t="str">
        <f t="shared" si="15"/>
        <v/>
      </c>
      <c r="J452" s="2"/>
      <c r="K452" s="2"/>
      <c r="L452" s="2"/>
    </row>
    <row r="453" spans="1:12" ht="30" customHeight="1" x14ac:dyDescent="0.35">
      <c r="A453" t="s">
        <v>974</v>
      </c>
      <c r="B453" t="s">
        <v>975</v>
      </c>
      <c r="C453" t="s">
        <v>51</v>
      </c>
      <c r="D453" t="s">
        <v>50</v>
      </c>
      <c r="E453" s="2">
        <v>366687.69</v>
      </c>
      <c r="F453" s="2"/>
      <c r="G453" s="2"/>
      <c r="H453" s="8" t="str">
        <f t="shared" si="14"/>
        <v/>
      </c>
      <c r="I453" s="10" t="str">
        <f t="shared" si="15"/>
        <v/>
      </c>
      <c r="J453" s="2"/>
      <c r="K453" s="2"/>
      <c r="L453" s="2"/>
    </row>
    <row r="454" spans="1:12" ht="30" customHeight="1" x14ac:dyDescent="0.35">
      <c r="A454" t="s">
        <v>976</v>
      </c>
      <c r="B454" t="s">
        <v>977</v>
      </c>
      <c r="C454" t="s">
        <v>259</v>
      </c>
      <c r="D454" t="s">
        <v>258</v>
      </c>
      <c r="E454" s="2">
        <v>58997.56</v>
      </c>
      <c r="F454" s="2"/>
      <c r="G454" s="2"/>
      <c r="H454" s="8" t="str">
        <f t="shared" si="14"/>
        <v/>
      </c>
      <c r="I454" s="10" t="str">
        <f t="shared" si="15"/>
        <v/>
      </c>
      <c r="J454" s="2"/>
      <c r="K454" s="2"/>
      <c r="L454" s="2"/>
    </row>
    <row r="455" spans="1:12" ht="30" customHeight="1" x14ac:dyDescent="0.35">
      <c r="A455" t="s">
        <v>978</v>
      </c>
      <c r="B455" t="s">
        <v>979</v>
      </c>
      <c r="C455" t="s">
        <v>19</v>
      </c>
      <c r="D455" t="s">
        <v>18</v>
      </c>
      <c r="E455" s="2">
        <v>92072.92</v>
      </c>
      <c r="F455" s="2"/>
      <c r="G455" s="2"/>
      <c r="H455" s="8" t="str">
        <f t="shared" si="14"/>
        <v/>
      </c>
      <c r="I455" s="10" t="str">
        <f t="shared" si="15"/>
        <v/>
      </c>
      <c r="J455" s="2"/>
      <c r="K455" s="2"/>
      <c r="L455" s="2"/>
    </row>
    <row r="456" spans="1:12" ht="30" customHeight="1" x14ac:dyDescent="0.35">
      <c r="A456" t="s">
        <v>980</v>
      </c>
      <c r="B456" t="s">
        <v>981</v>
      </c>
      <c r="C456" t="s">
        <v>77</v>
      </c>
      <c r="D456" t="s">
        <v>76</v>
      </c>
      <c r="E456" s="2">
        <v>122776.72</v>
      </c>
      <c r="F456" s="2"/>
      <c r="G456" s="2"/>
      <c r="H456" s="8" t="str">
        <f t="shared" si="14"/>
        <v/>
      </c>
      <c r="I456" s="10" t="str">
        <f t="shared" si="15"/>
        <v/>
      </c>
      <c r="J456" s="2"/>
      <c r="K456" s="2"/>
      <c r="L456" s="2"/>
    </row>
    <row r="457" spans="1:12" ht="30" customHeight="1" x14ac:dyDescent="0.35">
      <c r="A457" t="s">
        <v>982</v>
      </c>
      <c r="B457" t="s">
        <v>983</v>
      </c>
      <c r="C457" t="s">
        <v>57</v>
      </c>
      <c r="D457" t="s">
        <v>56</v>
      </c>
      <c r="E457" s="2">
        <v>325431.67999999999</v>
      </c>
      <c r="F457" s="2"/>
      <c r="G457" s="2"/>
      <c r="H457" s="8" t="str">
        <f t="shared" si="14"/>
        <v/>
      </c>
      <c r="I457" s="10" t="str">
        <f t="shared" si="15"/>
        <v/>
      </c>
      <c r="J457" s="2"/>
      <c r="K457" s="2"/>
      <c r="L457" s="2"/>
    </row>
    <row r="458" spans="1:12" ht="30" customHeight="1" x14ac:dyDescent="0.35">
      <c r="A458" t="s">
        <v>984</v>
      </c>
      <c r="B458" t="s">
        <v>985</v>
      </c>
      <c r="C458" t="s">
        <v>57</v>
      </c>
      <c r="D458" t="s">
        <v>56</v>
      </c>
      <c r="E458" s="2">
        <v>45592.51</v>
      </c>
      <c r="F458" s="2"/>
      <c r="G458" s="2"/>
      <c r="H458" s="8" t="str">
        <f t="shared" si="14"/>
        <v/>
      </c>
      <c r="I458" s="10" t="str">
        <f t="shared" si="15"/>
        <v/>
      </c>
      <c r="J458" s="2"/>
      <c r="K458" s="2"/>
      <c r="L458" s="2"/>
    </row>
    <row r="459" spans="1:12" ht="30" customHeight="1" x14ac:dyDescent="0.35">
      <c r="A459" t="s">
        <v>986</v>
      </c>
      <c r="B459" t="s">
        <v>987</v>
      </c>
      <c r="C459" t="s">
        <v>57</v>
      </c>
      <c r="D459" t="s">
        <v>56</v>
      </c>
      <c r="E459" s="2">
        <v>119841.51</v>
      </c>
      <c r="F459" s="2"/>
      <c r="G459" s="2"/>
      <c r="H459" s="8" t="str">
        <f t="shared" si="14"/>
        <v/>
      </c>
      <c r="I459" s="10" t="str">
        <f t="shared" si="15"/>
        <v/>
      </c>
      <c r="J459" s="2"/>
      <c r="K459" s="2"/>
      <c r="L459" s="2"/>
    </row>
    <row r="460" spans="1:12" ht="30" customHeight="1" x14ac:dyDescent="0.35">
      <c r="A460" t="s">
        <v>988</v>
      </c>
      <c r="B460" t="s">
        <v>989</v>
      </c>
      <c r="C460" t="s">
        <v>457</v>
      </c>
      <c r="D460" t="s">
        <v>456</v>
      </c>
      <c r="E460" s="2">
        <v>217.59</v>
      </c>
      <c r="F460" s="2">
        <v>829774.07</v>
      </c>
      <c r="G460" s="2"/>
      <c r="H460" s="8">
        <f t="shared" si="14"/>
        <v>829774.07</v>
      </c>
      <c r="I460" s="10">
        <f t="shared" si="15"/>
        <v>2.622280062330702E-4</v>
      </c>
      <c r="J460" s="2"/>
      <c r="K460" s="2"/>
      <c r="L460" s="2"/>
    </row>
    <row r="461" spans="1:12" ht="30" customHeight="1" x14ac:dyDescent="0.35">
      <c r="A461" t="s">
        <v>990</v>
      </c>
      <c r="B461" t="s">
        <v>991</v>
      </c>
      <c r="C461" t="s">
        <v>457</v>
      </c>
      <c r="D461" t="s">
        <v>456</v>
      </c>
      <c r="E461" s="2">
        <v>453011.15</v>
      </c>
      <c r="F461" s="2">
        <v>2222110.54</v>
      </c>
      <c r="G461" s="2">
        <v>750000</v>
      </c>
      <c r="H461" s="8">
        <f t="shared" si="14"/>
        <v>2972110.54</v>
      </c>
      <c r="I461" s="10">
        <f t="shared" si="15"/>
        <v>0.15242069361255992</v>
      </c>
      <c r="J461" s="2"/>
      <c r="K461" s="2"/>
      <c r="L461" s="2"/>
    </row>
    <row r="462" spans="1:12" ht="30" customHeight="1" x14ac:dyDescent="0.35">
      <c r="A462" t="s">
        <v>992</v>
      </c>
      <c r="B462" t="s">
        <v>993</v>
      </c>
      <c r="C462" t="s">
        <v>77</v>
      </c>
      <c r="D462" t="s">
        <v>76</v>
      </c>
      <c r="E462" s="2">
        <v>5483</v>
      </c>
      <c r="F462" s="2"/>
      <c r="G462" s="2"/>
      <c r="H462" s="8" t="str">
        <f t="shared" si="14"/>
        <v/>
      </c>
      <c r="I462" s="10" t="str">
        <f t="shared" si="15"/>
        <v/>
      </c>
      <c r="J462" s="2"/>
      <c r="K462" s="2"/>
      <c r="L462" s="2"/>
    </row>
    <row r="463" spans="1:12" ht="30" customHeight="1" x14ac:dyDescent="0.35">
      <c r="A463" t="s">
        <v>994</v>
      </c>
      <c r="B463" t="s">
        <v>995</v>
      </c>
      <c r="C463" t="s">
        <v>67</v>
      </c>
      <c r="D463" t="s">
        <v>66</v>
      </c>
      <c r="E463" s="2">
        <v>2111.7199999999998</v>
      </c>
      <c r="F463" s="2"/>
      <c r="G463" s="2"/>
      <c r="H463" s="8" t="str">
        <f t="shared" si="14"/>
        <v/>
      </c>
      <c r="I463" s="10" t="str">
        <f t="shared" si="15"/>
        <v/>
      </c>
      <c r="J463" s="2"/>
      <c r="K463" s="2"/>
      <c r="L463" s="2"/>
    </row>
    <row r="464" spans="1:12" ht="30" customHeight="1" x14ac:dyDescent="0.35">
      <c r="A464" t="s">
        <v>996</v>
      </c>
      <c r="B464" t="s">
        <v>997</v>
      </c>
      <c r="C464" t="s">
        <v>19</v>
      </c>
      <c r="D464" t="s">
        <v>18</v>
      </c>
      <c r="E464" s="2">
        <v>81169.62</v>
      </c>
      <c r="F464" s="2">
        <v>6705.32</v>
      </c>
      <c r="G464" s="2"/>
      <c r="H464" s="8">
        <f t="shared" si="14"/>
        <v>6705.32</v>
      </c>
      <c r="I464" s="10">
        <f t="shared" si="15"/>
        <v>12.105256721528578</v>
      </c>
      <c r="J464" s="2"/>
      <c r="K464" s="2"/>
      <c r="L464" s="2"/>
    </row>
    <row r="465" spans="1:12" ht="30" customHeight="1" x14ac:dyDescent="0.35">
      <c r="A465" t="s">
        <v>998</v>
      </c>
      <c r="B465" t="s">
        <v>999</v>
      </c>
      <c r="C465" t="s">
        <v>259</v>
      </c>
      <c r="D465" t="s">
        <v>258</v>
      </c>
      <c r="E465" s="2">
        <v>250592.32</v>
      </c>
      <c r="F465" s="2"/>
      <c r="G465" s="2"/>
      <c r="H465" s="8" t="str">
        <f t="shared" si="14"/>
        <v/>
      </c>
      <c r="I465" s="10" t="str">
        <f t="shared" si="15"/>
        <v/>
      </c>
      <c r="J465" s="2"/>
      <c r="K465" s="2"/>
      <c r="L465" s="2"/>
    </row>
    <row r="466" spans="1:12" ht="30" customHeight="1" x14ac:dyDescent="0.35">
      <c r="A466" t="s">
        <v>1000</v>
      </c>
      <c r="B466" t="s">
        <v>1001</v>
      </c>
      <c r="C466" t="s">
        <v>313</v>
      </c>
      <c r="D466" t="s">
        <v>312</v>
      </c>
      <c r="E466" s="2">
        <v>56836.44</v>
      </c>
      <c r="F466" s="2"/>
      <c r="G466" s="2"/>
      <c r="H466" s="8" t="str">
        <f t="shared" si="14"/>
        <v/>
      </c>
      <c r="I466" s="10" t="str">
        <f t="shared" si="15"/>
        <v/>
      </c>
      <c r="J466" s="2"/>
      <c r="K466" s="2"/>
      <c r="L466" s="2"/>
    </row>
    <row r="467" spans="1:12" ht="30" customHeight="1" x14ac:dyDescent="0.35">
      <c r="A467" t="s">
        <v>1002</v>
      </c>
      <c r="B467" t="s">
        <v>1003</v>
      </c>
      <c r="C467" t="s">
        <v>109</v>
      </c>
      <c r="D467" t="s">
        <v>108</v>
      </c>
      <c r="E467" s="2">
        <v>180398.72</v>
      </c>
      <c r="F467" s="2"/>
      <c r="G467" s="2"/>
      <c r="H467" s="8" t="str">
        <f t="shared" si="14"/>
        <v/>
      </c>
      <c r="I467" s="10" t="str">
        <f t="shared" si="15"/>
        <v/>
      </c>
      <c r="J467" s="2"/>
      <c r="K467" s="2"/>
      <c r="L467" s="2"/>
    </row>
    <row r="468" spans="1:12" ht="30" customHeight="1" x14ac:dyDescent="0.35">
      <c r="A468" t="s">
        <v>1004</v>
      </c>
      <c r="B468" t="s">
        <v>1005</v>
      </c>
      <c r="C468" t="s">
        <v>253</v>
      </c>
      <c r="D468" t="s">
        <v>252</v>
      </c>
      <c r="E468" s="2">
        <v>564450.24</v>
      </c>
      <c r="F468" s="2">
        <v>214704.41</v>
      </c>
      <c r="G468" s="2"/>
      <c r="H468" s="8">
        <f t="shared" si="14"/>
        <v>214704.41</v>
      </c>
      <c r="I468" s="10">
        <f t="shared" si="15"/>
        <v>2.6289643515007444</v>
      </c>
      <c r="J468" s="2"/>
      <c r="K468" s="2"/>
      <c r="L468" s="2"/>
    </row>
    <row r="469" spans="1:12" ht="30" customHeight="1" x14ac:dyDescent="0.35">
      <c r="A469" t="s">
        <v>1006</v>
      </c>
      <c r="B469" t="s">
        <v>1007</v>
      </c>
      <c r="C469" t="s">
        <v>457</v>
      </c>
      <c r="D469" t="s">
        <v>456</v>
      </c>
      <c r="E469" s="2">
        <v>24712.63</v>
      </c>
      <c r="F469" s="2">
        <v>1617196.87</v>
      </c>
      <c r="G469" s="2"/>
      <c r="H469" s="8">
        <f t="shared" si="14"/>
        <v>1617196.87</v>
      </c>
      <c r="I469" s="10">
        <f t="shared" si="15"/>
        <v>1.5281151267625196E-2</v>
      </c>
      <c r="J469" s="2"/>
      <c r="K469" s="2"/>
      <c r="L469" s="2"/>
    </row>
    <row r="470" spans="1:12" ht="30" customHeight="1" x14ac:dyDescent="0.35">
      <c r="A470" t="s">
        <v>1008</v>
      </c>
      <c r="B470" t="s">
        <v>1009</v>
      </c>
      <c r="C470" t="s">
        <v>57</v>
      </c>
      <c r="D470" t="s">
        <v>56</v>
      </c>
      <c r="E470" s="2">
        <v>75345.509999999995</v>
      </c>
      <c r="F470" s="2"/>
      <c r="G470" s="2"/>
      <c r="H470" s="8" t="str">
        <f t="shared" si="14"/>
        <v/>
      </c>
      <c r="I470" s="10" t="str">
        <f t="shared" si="15"/>
        <v/>
      </c>
      <c r="J470" s="2"/>
      <c r="K470" s="2"/>
      <c r="L470" s="2"/>
    </row>
    <row r="471" spans="1:12" ht="30" customHeight="1" x14ac:dyDescent="0.35">
      <c r="A471" t="s">
        <v>1010</v>
      </c>
      <c r="B471" t="s">
        <v>1011</v>
      </c>
      <c r="C471" t="s">
        <v>15</v>
      </c>
      <c r="D471" t="s">
        <v>14</v>
      </c>
      <c r="E471" s="2">
        <v>2335809.54</v>
      </c>
      <c r="F471" s="2">
        <v>6056210.7800000003</v>
      </c>
      <c r="G471" s="2">
        <v>4692525.92</v>
      </c>
      <c r="H471" s="8">
        <f t="shared" si="14"/>
        <v>10748736.699999999</v>
      </c>
      <c r="I471" s="10">
        <f t="shared" si="15"/>
        <v>0.21731014585183767</v>
      </c>
      <c r="J471" s="2"/>
      <c r="K471" s="2"/>
      <c r="L471" s="2"/>
    </row>
    <row r="472" spans="1:12" ht="30" customHeight="1" x14ac:dyDescent="0.35">
      <c r="A472" t="s">
        <v>1012</v>
      </c>
      <c r="B472" t="s">
        <v>1013</v>
      </c>
      <c r="C472" t="s">
        <v>67</v>
      </c>
      <c r="D472" t="s">
        <v>66</v>
      </c>
      <c r="E472" s="2">
        <v>476920.84</v>
      </c>
      <c r="F472" s="2">
        <v>172278.89</v>
      </c>
      <c r="G472" s="2">
        <v>7202.32</v>
      </c>
      <c r="H472" s="8">
        <f t="shared" si="14"/>
        <v>179481.21000000002</v>
      </c>
      <c r="I472" s="10">
        <f t="shared" si="15"/>
        <v>2.6572187695859637</v>
      </c>
      <c r="J472" s="2"/>
      <c r="K472" s="2"/>
      <c r="L472" s="2"/>
    </row>
    <row r="473" spans="1:12" ht="30" customHeight="1" x14ac:dyDescent="0.35">
      <c r="A473" t="s">
        <v>1014</v>
      </c>
      <c r="B473" t="s">
        <v>1015</v>
      </c>
      <c r="C473" t="s">
        <v>57</v>
      </c>
      <c r="D473" t="s">
        <v>56</v>
      </c>
      <c r="E473" s="2">
        <v>233254.95</v>
      </c>
      <c r="F473" s="2"/>
      <c r="G473" s="2"/>
      <c r="H473" s="8" t="str">
        <f t="shared" si="14"/>
        <v/>
      </c>
      <c r="I473" s="10" t="str">
        <f t="shared" si="15"/>
        <v/>
      </c>
      <c r="J473" s="2"/>
      <c r="K473" s="2"/>
      <c r="L473" s="2"/>
    </row>
    <row r="474" spans="1:12" ht="30" customHeight="1" x14ac:dyDescent="0.35">
      <c r="A474" t="s">
        <v>1016</v>
      </c>
      <c r="B474" t="s">
        <v>1017</v>
      </c>
      <c r="C474" t="s">
        <v>57</v>
      </c>
      <c r="D474" t="s">
        <v>56</v>
      </c>
      <c r="E474" s="2">
        <v>225844.9</v>
      </c>
      <c r="F474" s="2"/>
      <c r="G474" s="2"/>
      <c r="H474" s="8" t="str">
        <f t="shared" si="14"/>
        <v/>
      </c>
      <c r="I474" s="10" t="str">
        <f t="shared" si="15"/>
        <v/>
      </c>
      <c r="J474" s="2"/>
      <c r="K474" s="2"/>
      <c r="L474" s="2"/>
    </row>
    <row r="475" spans="1:12" ht="30" customHeight="1" x14ac:dyDescent="0.35">
      <c r="A475" t="s">
        <v>1018</v>
      </c>
      <c r="B475" t="s">
        <v>1019</v>
      </c>
      <c r="C475" t="s">
        <v>51</v>
      </c>
      <c r="D475" t="s">
        <v>50</v>
      </c>
      <c r="E475" s="2">
        <v>94770.37</v>
      </c>
      <c r="F475" s="2"/>
      <c r="G475" s="2"/>
      <c r="H475" s="8" t="str">
        <f t="shared" si="14"/>
        <v/>
      </c>
      <c r="I475" s="10" t="str">
        <f t="shared" si="15"/>
        <v/>
      </c>
      <c r="J475" s="2"/>
      <c r="K475" s="2"/>
      <c r="L475" s="2"/>
    </row>
    <row r="476" spans="1:12" ht="30" customHeight="1" x14ac:dyDescent="0.35">
      <c r="A476" t="s">
        <v>1020</v>
      </c>
      <c r="B476" t="s">
        <v>1021</v>
      </c>
      <c r="C476" t="s">
        <v>11</v>
      </c>
      <c r="D476" t="s">
        <v>10</v>
      </c>
      <c r="E476" s="2">
        <v>29083882.870000001</v>
      </c>
      <c r="F476" s="2">
        <v>7272655.5999999996</v>
      </c>
      <c r="G476" s="2">
        <v>3317234.46</v>
      </c>
      <c r="H476" s="8">
        <f t="shared" si="14"/>
        <v>10589890.059999999</v>
      </c>
      <c r="I476" s="10">
        <f t="shared" si="15"/>
        <v>2.7463819459141772</v>
      </c>
      <c r="J476" s="2"/>
      <c r="K476" s="2"/>
      <c r="L476" s="2"/>
    </row>
    <row r="477" spans="1:12" ht="30" customHeight="1" x14ac:dyDescent="0.35">
      <c r="A477" t="s">
        <v>1022</v>
      </c>
      <c r="B477" t="s">
        <v>1023</v>
      </c>
      <c r="C477" t="s">
        <v>77</v>
      </c>
      <c r="D477" t="s">
        <v>76</v>
      </c>
      <c r="E477" s="2">
        <v>45370.75</v>
      </c>
      <c r="F477" s="2"/>
      <c r="G477" s="2"/>
      <c r="H477" s="8" t="str">
        <f t="shared" si="14"/>
        <v/>
      </c>
      <c r="I477" s="10" t="str">
        <f t="shared" si="15"/>
        <v/>
      </c>
      <c r="J477" s="2"/>
      <c r="K477" s="2"/>
      <c r="L477" s="2"/>
    </row>
    <row r="478" spans="1:12" ht="30" customHeight="1" x14ac:dyDescent="0.35">
      <c r="A478" t="s">
        <v>1024</v>
      </c>
      <c r="B478" t="s">
        <v>1025</v>
      </c>
      <c r="C478" t="s">
        <v>19</v>
      </c>
      <c r="D478" t="s">
        <v>18</v>
      </c>
      <c r="E478" s="2">
        <v>91842.559999999998</v>
      </c>
      <c r="F478" s="2"/>
      <c r="G478" s="2"/>
      <c r="H478" s="8" t="str">
        <f t="shared" si="14"/>
        <v/>
      </c>
      <c r="I478" s="10" t="str">
        <f t="shared" si="15"/>
        <v/>
      </c>
      <c r="J478" s="2"/>
      <c r="K478" s="2"/>
      <c r="L478" s="2"/>
    </row>
    <row r="479" spans="1:12" ht="30" customHeight="1" x14ac:dyDescent="0.35">
      <c r="A479" t="s">
        <v>1026</v>
      </c>
      <c r="B479" t="s">
        <v>1027</v>
      </c>
      <c r="C479" t="s">
        <v>57</v>
      </c>
      <c r="D479" t="s">
        <v>56</v>
      </c>
      <c r="E479" s="2">
        <v>186753.13</v>
      </c>
      <c r="F479" s="2"/>
      <c r="G479" s="2"/>
      <c r="H479" s="8" t="str">
        <f t="shared" si="14"/>
        <v/>
      </c>
      <c r="I479" s="10" t="str">
        <f t="shared" si="15"/>
        <v/>
      </c>
      <c r="J479" s="2"/>
      <c r="K479" s="2"/>
      <c r="L479" s="2"/>
    </row>
    <row r="480" spans="1:12" ht="30" customHeight="1" x14ac:dyDescent="0.35">
      <c r="A480" t="s">
        <v>1028</v>
      </c>
      <c r="B480" t="s">
        <v>1029</v>
      </c>
      <c r="C480" t="s">
        <v>19</v>
      </c>
      <c r="D480" t="s">
        <v>18</v>
      </c>
      <c r="E480" s="2">
        <v>482383.89</v>
      </c>
      <c r="F480" s="2">
        <v>0</v>
      </c>
      <c r="G480" s="2">
        <v>1000</v>
      </c>
      <c r="H480" s="8">
        <f t="shared" si="14"/>
        <v>1000</v>
      </c>
      <c r="I480" s="10">
        <f t="shared" si="15"/>
        <v>482.38389000000001</v>
      </c>
      <c r="J480" s="2"/>
      <c r="K480" s="2"/>
      <c r="L480" s="2"/>
    </row>
    <row r="481" spans="1:12" ht="30" customHeight="1" x14ac:dyDescent="0.35">
      <c r="A481" t="s">
        <v>1030</v>
      </c>
      <c r="B481" t="s">
        <v>1031</v>
      </c>
      <c r="C481" t="s">
        <v>57</v>
      </c>
      <c r="D481" t="s">
        <v>56</v>
      </c>
      <c r="E481" s="2">
        <v>2927.79</v>
      </c>
      <c r="F481" s="2"/>
      <c r="G481" s="2"/>
      <c r="H481" s="8" t="str">
        <f t="shared" si="14"/>
        <v/>
      </c>
      <c r="I481" s="10" t="str">
        <f t="shared" si="15"/>
        <v/>
      </c>
      <c r="J481" s="2"/>
      <c r="K481" s="2"/>
      <c r="L481" s="2"/>
    </row>
    <row r="482" spans="1:12" ht="30" customHeight="1" x14ac:dyDescent="0.35">
      <c r="A482" t="s">
        <v>1032</v>
      </c>
      <c r="B482" t="s">
        <v>1033</v>
      </c>
      <c r="C482" t="s">
        <v>109</v>
      </c>
      <c r="D482" t="s">
        <v>108</v>
      </c>
      <c r="E482" s="2">
        <v>106171.33</v>
      </c>
      <c r="F482" s="2"/>
      <c r="G482" s="2"/>
      <c r="H482" s="8" t="str">
        <f t="shared" si="14"/>
        <v/>
      </c>
      <c r="I482" s="10" t="str">
        <f t="shared" si="15"/>
        <v/>
      </c>
      <c r="J482" s="2"/>
      <c r="K482" s="2"/>
      <c r="L482" s="2"/>
    </row>
    <row r="483" spans="1:12" ht="30" customHeight="1" x14ac:dyDescent="0.35">
      <c r="A483" t="s">
        <v>1034</v>
      </c>
      <c r="B483" t="s">
        <v>1035</v>
      </c>
      <c r="C483" t="s">
        <v>19</v>
      </c>
      <c r="D483" t="s">
        <v>18</v>
      </c>
      <c r="E483" s="2">
        <v>38426.39</v>
      </c>
      <c r="F483" s="2"/>
      <c r="G483" s="2"/>
      <c r="H483" s="8" t="str">
        <f t="shared" si="14"/>
        <v/>
      </c>
      <c r="I483" s="10" t="str">
        <f t="shared" si="15"/>
        <v/>
      </c>
      <c r="J483" s="2"/>
      <c r="K483" s="2"/>
      <c r="L483" s="2"/>
    </row>
    <row r="484" spans="1:12" ht="30" customHeight="1" x14ac:dyDescent="0.35">
      <c r="A484" t="s">
        <v>1036</v>
      </c>
      <c r="B484" t="s">
        <v>1037</v>
      </c>
      <c r="C484" t="s">
        <v>77</v>
      </c>
      <c r="D484" t="s">
        <v>76</v>
      </c>
      <c r="E484" s="2">
        <v>229551.99</v>
      </c>
      <c r="F484" s="2"/>
      <c r="G484" s="2"/>
      <c r="H484" s="8" t="str">
        <f t="shared" si="14"/>
        <v/>
      </c>
      <c r="I484" s="10" t="str">
        <f t="shared" si="15"/>
        <v/>
      </c>
      <c r="J484" s="2"/>
      <c r="K484" s="2"/>
      <c r="L484" s="2"/>
    </row>
    <row r="485" spans="1:12" ht="30" customHeight="1" x14ac:dyDescent="0.35">
      <c r="A485" t="s">
        <v>1038</v>
      </c>
      <c r="B485" t="s">
        <v>1039</v>
      </c>
      <c r="C485" t="s">
        <v>67</v>
      </c>
      <c r="D485" t="s">
        <v>66</v>
      </c>
      <c r="E485" s="2">
        <v>194371.3</v>
      </c>
      <c r="F485" s="2"/>
      <c r="G485" s="2"/>
      <c r="H485" s="8" t="str">
        <f t="shared" si="14"/>
        <v/>
      </c>
      <c r="I485" s="10" t="str">
        <f t="shared" si="15"/>
        <v/>
      </c>
      <c r="J485" s="2"/>
      <c r="K485" s="2"/>
      <c r="L485" s="2"/>
    </row>
    <row r="486" spans="1:12" ht="30" customHeight="1" x14ac:dyDescent="0.35">
      <c r="A486" t="s">
        <v>1040</v>
      </c>
      <c r="B486" t="s">
        <v>1041</v>
      </c>
      <c r="C486" t="s">
        <v>385</v>
      </c>
      <c r="D486" t="s">
        <v>384</v>
      </c>
      <c r="E486" s="2">
        <v>27281.37</v>
      </c>
      <c r="F486" s="2">
        <v>30611.09</v>
      </c>
      <c r="G486" s="2">
        <v>16532.91</v>
      </c>
      <c r="H486" s="8">
        <f t="shared" si="14"/>
        <v>47144</v>
      </c>
      <c r="I486" s="10">
        <f t="shared" si="15"/>
        <v>0.57868169862548779</v>
      </c>
      <c r="J486" s="2"/>
      <c r="K486" s="2"/>
      <c r="L486" s="2"/>
    </row>
    <row r="487" spans="1:12" ht="30" customHeight="1" x14ac:dyDescent="0.35">
      <c r="A487" t="s">
        <v>1042</v>
      </c>
      <c r="B487" t="s">
        <v>1043</v>
      </c>
      <c r="C487" t="s">
        <v>41</v>
      </c>
      <c r="D487" t="s">
        <v>40</v>
      </c>
      <c r="E487" s="2">
        <v>798.71</v>
      </c>
      <c r="F487" s="2"/>
      <c r="G487" s="2"/>
      <c r="H487" s="8" t="str">
        <f t="shared" si="14"/>
        <v/>
      </c>
      <c r="I487" s="10" t="str">
        <f t="shared" si="15"/>
        <v/>
      </c>
      <c r="J487" s="2"/>
      <c r="K487" s="2"/>
      <c r="L487" s="2"/>
    </row>
    <row r="488" spans="1:12" ht="30" customHeight="1" x14ac:dyDescent="0.35">
      <c r="A488" t="s">
        <v>1044</v>
      </c>
      <c r="B488" t="s">
        <v>1045</v>
      </c>
      <c r="C488" t="s">
        <v>19</v>
      </c>
      <c r="D488" t="s">
        <v>18</v>
      </c>
      <c r="E488" s="2">
        <v>64784.5</v>
      </c>
      <c r="F488" s="2"/>
      <c r="G488" s="2"/>
      <c r="H488" s="8" t="str">
        <f t="shared" si="14"/>
        <v/>
      </c>
      <c r="I488" s="10" t="str">
        <f t="shared" si="15"/>
        <v/>
      </c>
      <c r="J488" s="2"/>
      <c r="K488" s="2"/>
      <c r="L488" s="2"/>
    </row>
    <row r="489" spans="1:12" ht="30" customHeight="1" x14ac:dyDescent="0.35">
      <c r="A489" t="s">
        <v>1046</v>
      </c>
      <c r="B489" t="s">
        <v>1047</v>
      </c>
      <c r="C489" t="s">
        <v>51</v>
      </c>
      <c r="D489" t="s">
        <v>50</v>
      </c>
      <c r="E489" s="2">
        <v>118605.64</v>
      </c>
      <c r="F489" s="2"/>
      <c r="G489" s="2"/>
      <c r="H489" s="8" t="str">
        <f t="shared" si="14"/>
        <v/>
      </c>
      <c r="I489" s="10" t="str">
        <f t="shared" si="15"/>
        <v/>
      </c>
      <c r="J489" s="2"/>
      <c r="K489" s="2"/>
      <c r="L489" s="2"/>
    </row>
    <row r="490" spans="1:12" ht="30" customHeight="1" x14ac:dyDescent="0.35">
      <c r="A490" t="s">
        <v>1048</v>
      </c>
      <c r="B490" t="s">
        <v>1049</v>
      </c>
      <c r="C490" t="s">
        <v>15</v>
      </c>
      <c r="D490" t="s">
        <v>14</v>
      </c>
      <c r="E490" s="2">
        <v>355797.51</v>
      </c>
      <c r="F490" s="2">
        <v>5584583.46</v>
      </c>
      <c r="G490" s="2"/>
      <c r="H490" s="8">
        <f t="shared" si="14"/>
        <v>5584583.46</v>
      </c>
      <c r="I490" s="10">
        <f t="shared" si="15"/>
        <v>6.3710662137727275E-2</v>
      </c>
      <c r="J490" s="2"/>
      <c r="K490" s="2"/>
      <c r="L490" s="2"/>
    </row>
    <row r="491" spans="1:12" ht="30" customHeight="1" x14ac:dyDescent="0.35">
      <c r="A491" t="s">
        <v>1050</v>
      </c>
      <c r="B491" t="s">
        <v>1051</v>
      </c>
      <c r="C491" t="s">
        <v>51</v>
      </c>
      <c r="D491" t="s">
        <v>50</v>
      </c>
      <c r="E491" s="2">
        <v>39704.44</v>
      </c>
      <c r="F491" s="2"/>
      <c r="G491" s="2"/>
      <c r="H491" s="8" t="str">
        <f t="shared" si="14"/>
        <v/>
      </c>
      <c r="I491" s="10" t="str">
        <f t="shared" si="15"/>
        <v/>
      </c>
      <c r="J491" s="2"/>
      <c r="K491" s="2"/>
      <c r="L491" s="2"/>
    </row>
    <row r="492" spans="1:12" ht="30" customHeight="1" x14ac:dyDescent="0.35">
      <c r="A492" t="s">
        <v>1052</v>
      </c>
      <c r="B492" t="s">
        <v>1053</v>
      </c>
      <c r="C492" t="s">
        <v>33</v>
      </c>
      <c r="D492" t="s">
        <v>32</v>
      </c>
      <c r="E492" s="2">
        <v>4466631.5</v>
      </c>
      <c r="F492" s="2"/>
      <c r="G492" s="2"/>
      <c r="H492" s="8" t="str">
        <f t="shared" si="14"/>
        <v/>
      </c>
      <c r="I492" s="10" t="str">
        <f t="shared" si="15"/>
        <v/>
      </c>
      <c r="J492" s="2"/>
      <c r="K492" s="2"/>
      <c r="L492" s="2"/>
    </row>
    <row r="493" spans="1:12" ht="30" customHeight="1" x14ac:dyDescent="0.35">
      <c r="A493" t="s">
        <v>1054</v>
      </c>
      <c r="B493" t="s">
        <v>1055</v>
      </c>
      <c r="C493" t="s">
        <v>51</v>
      </c>
      <c r="D493" t="s">
        <v>50</v>
      </c>
      <c r="E493" s="2">
        <v>89803.54</v>
      </c>
      <c r="F493" s="2"/>
      <c r="G493" s="2"/>
      <c r="H493" s="8" t="str">
        <f t="shared" si="14"/>
        <v/>
      </c>
      <c r="I493" s="10" t="str">
        <f t="shared" si="15"/>
        <v/>
      </c>
      <c r="J493" s="2"/>
      <c r="K493" s="2"/>
      <c r="L493" s="2"/>
    </row>
    <row r="494" spans="1:12" ht="30" customHeight="1" x14ac:dyDescent="0.35">
      <c r="A494" t="s">
        <v>1056</v>
      </c>
      <c r="B494" t="s">
        <v>1057</v>
      </c>
      <c r="C494" t="s">
        <v>77</v>
      </c>
      <c r="D494" t="s">
        <v>76</v>
      </c>
      <c r="E494" s="2">
        <v>28936.07</v>
      </c>
      <c r="F494" s="2"/>
      <c r="G494" s="2"/>
      <c r="H494" s="8" t="str">
        <f t="shared" si="14"/>
        <v/>
      </c>
      <c r="I494" s="10" t="str">
        <f t="shared" si="15"/>
        <v/>
      </c>
      <c r="J494" s="2"/>
      <c r="K494" s="2"/>
      <c r="L494" s="2"/>
    </row>
    <row r="495" spans="1:12" ht="30" customHeight="1" x14ac:dyDescent="0.35">
      <c r="A495" t="s">
        <v>1058</v>
      </c>
      <c r="B495" t="s">
        <v>1059</v>
      </c>
      <c r="C495" t="s">
        <v>77</v>
      </c>
      <c r="D495" t="s">
        <v>76</v>
      </c>
      <c r="E495" s="2">
        <v>172112.9</v>
      </c>
      <c r="F495" s="2"/>
      <c r="G495" s="2"/>
      <c r="H495" s="8" t="str">
        <f t="shared" si="14"/>
        <v/>
      </c>
      <c r="I495" s="10" t="str">
        <f t="shared" si="15"/>
        <v/>
      </c>
      <c r="J495" s="2"/>
      <c r="K495" s="2"/>
      <c r="L495" s="2"/>
    </row>
    <row r="496" spans="1:12" ht="30" customHeight="1" x14ac:dyDescent="0.35">
      <c r="A496" t="s">
        <v>1060</v>
      </c>
      <c r="B496" t="s">
        <v>1061</v>
      </c>
      <c r="C496" t="s">
        <v>15</v>
      </c>
      <c r="D496" t="s">
        <v>14</v>
      </c>
      <c r="E496" s="2">
        <v>340071.32</v>
      </c>
      <c r="F496" s="2">
        <v>835358.21</v>
      </c>
      <c r="G496" s="2">
        <v>4775879.53</v>
      </c>
      <c r="H496" s="8">
        <f t="shared" si="14"/>
        <v>5611237.7400000002</v>
      </c>
      <c r="I496" s="10">
        <f t="shared" si="15"/>
        <v>6.0605402187076107E-2</v>
      </c>
      <c r="J496" s="2"/>
      <c r="K496" s="2"/>
      <c r="L496" s="2"/>
    </row>
    <row r="497" spans="1:12" ht="30" customHeight="1" x14ac:dyDescent="0.35">
      <c r="A497" t="s">
        <v>1062</v>
      </c>
      <c r="B497" t="s">
        <v>1063</v>
      </c>
      <c r="C497" t="s">
        <v>51</v>
      </c>
      <c r="D497" t="s">
        <v>50</v>
      </c>
      <c r="E497" s="2">
        <v>212771.23</v>
      </c>
      <c r="F497" s="2"/>
      <c r="G497" s="2"/>
      <c r="H497" s="8" t="str">
        <f t="shared" si="14"/>
        <v/>
      </c>
      <c r="I497" s="10" t="str">
        <f t="shared" si="15"/>
        <v/>
      </c>
      <c r="J497" s="2"/>
      <c r="K497" s="2"/>
      <c r="L497" s="2"/>
    </row>
    <row r="498" spans="1:12" ht="30" customHeight="1" x14ac:dyDescent="0.35">
      <c r="A498" t="s">
        <v>1064</v>
      </c>
      <c r="B498" t="s">
        <v>1065</v>
      </c>
      <c r="C498" t="s">
        <v>19</v>
      </c>
      <c r="D498" t="s">
        <v>18</v>
      </c>
      <c r="E498" s="2">
        <v>229754.19</v>
      </c>
      <c r="F498" s="2"/>
      <c r="G498" s="2"/>
      <c r="H498" s="8" t="str">
        <f t="shared" si="14"/>
        <v/>
      </c>
      <c r="I498" s="10" t="str">
        <f t="shared" si="15"/>
        <v/>
      </c>
      <c r="J498" s="2"/>
      <c r="K498" s="2"/>
      <c r="L498" s="2"/>
    </row>
    <row r="499" spans="1:12" ht="30" customHeight="1" x14ac:dyDescent="0.35">
      <c r="A499" t="s">
        <v>1066</v>
      </c>
      <c r="B499" t="s">
        <v>1067</v>
      </c>
      <c r="C499" t="s">
        <v>465</v>
      </c>
      <c r="D499" t="s">
        <v>464</v>
      </c>
      <c r="E499" s="2">
        <v>59786.13</v>
      </c>
      <c r="F499" s="2">
        <v>2639357.4700000002</v>
      </c>
      <c r="G499" s="2">
        <v>999278.09</v>
      </c>
      <c r="H499" s="8">
        <f t="shared" si="14"/>
        <v>3638635.56</v>
      </c>
      <c r="I499" s="10">
        <f t="shared" si="15"/>
        <v>1.6430920056198207E-2</v>
      </c>
      <c r="J499" s="2"/>
      <c r="K499" s="2"/>
      <c r="L499" s="2"/>
    </row>
    <row r="500" spans="1:12" ht="30" customHeight="1" x14ac:dyDescent="0.35">
      <c r="A500" t="s">
        <v>1068</v>
      </c>
      <c r="B500" t="s">
        <v>1069</v>
      </c>
      <c r="C500" t="s">
        <v>51</v>
      </c>
      <c r="D500" t="s">
        <v>50</v>
      </c>
      <c r="E500" s="2">
        <v>92335.11</v>
      </c>
      <c r="F500" s="2"/>
      <c r="G500" s="2"/>
      <c r="H500" s="8" t="str">
        <f t="shared" si="14"/>
        <v/>
      </c>
      <c r="I500" s="10" t="str">
        <f t="shared" si="15"/>
        <v/>
      </c>
      <c r="J500" s="2"/>
      <c r="K500" s="2"/>
      <c r="L500" s="2"/>
    </row>
    <row r="501" spans="1:12" ht="30" customHeight="1" x14ac:dyDescent="0.35">
      <c r="A501" t="s">
        <v>1070</v>
      </c>
      <c r="B501" t="s">
        <v>1071</v>
      </c>
      <c r="C501" t="s">
        <v>109</v>
      </c>
      <c r="D501" t="s">
        <v>108</v>
      </c>
      <c r="E501" s="2">
        <v>1414718.32</v>
      </c>
      <c r="F501" s="2"/>
      <c r="G501" s="2"/>
      <c r="H501" s="8" t="str">
        <f t="shared" si="14"/>
        <v/>
      </c>
      <c r="I501" s="10" t="str">
        <f t="shared" si="15"/>
        <v/>
      </c>
      <c r="J501" s="2"/>
      <c r="K501" s="2"/>
      <c r="L501" s="2"/>
    </row>
    <row r="502" spans="1:12" ht="30" customHeight="1" x14ac:dyDescent="0.35">
      <c r="A502" t="s">
        <v>1072</v>
      </c>
      <c r="B502" t="s">
        <v>1073</v>
      </c>
      <c r="C502" t="s">
        <v>313</v>
      </c>
      <c r="D502" t="s">
        <v>312</v>
      </c>
      <c r="E502" s="2">
        <v>5110.6099999999997</v>
      </c>
      <c r="F502" s="2">
        <v>34778.57</v>
      </c>
      <c r="G502" s="2">
        <v>221.43</v>
      </c>
      <c r="H502" s="8">
        <f t="shared" ref="H502:H565" si="16">IF(ISBLANK(F502), "",(F502+G502))</f>
        <v>35000</v>
      </c>
      <c r="I502" s="10">
        <f t="shared" ref="I502:I565" si="17">IF(ISBLANK(F502), "", E502/H502)</f>
        <v>0.14601742857142858</v>
      </c>
      <c r="J502" s="2"/>
      <c r="K502" s="2"/>
      <c r="L502" s="2"/>
    </row>
    <row r="503" spans="1:12" ht="30" customHeight="1" x14ac:dyDescent="0.35">
      <c r="A503" t="s">
        <v>1074</v>
      </c>
      <c r="B503" t="s">
        <v>1075</v>
      </c>
      <c r="C503" t="s">
        <v>109</v>
      </c>
      <c r="D503" t="s">
        <v>108</v>
      </c>
      <c r="E503" s="2">
        <v>331007.77</v>
      </c>
      <c r="F503" s="2"/>
      <c r="G503" s="2"/>
      <c r="H503" s="8" t="str">
        <f t="shared" si="16"/>
        <v/>
      </c>
      <c r="I503" s="10" t="str">
        <f t="shared" si="17"/>
        <v/>
      </c>
      <c r="J503" s="2"/>
      <c r="K503" s="2"/>
      <c r="L503" s="2"/>
    </row>
    <row r="504" spans="1:12" ht="30" customHeight="1" x14ac:dyDescent="0.35">
      <c r="A504" t="s">
        <v>1076</v>
      </c>
      <c r="B504" t="s">
        <v>1077</v>
      </c>
      <c r="C504" t="s">
        <v>259</v>
      </c>
      <c r="D504" t="s">
        <v>258</v>
      </c>
      <c r="E504" s="2">
        <v>1170699.96</v>
      </c>
      <c r="F504" s="2">
        <v>1178275.8700000001</v>
      </c>
      <c r="G504" s="2">
        <v>92278.13</v>
      </c>
      <c r="H504" s="8">
        <f t="shared" si="16"/>
        <v>1270554</v>
      </c>
      <c r="I504" s="10">
        <f t="shared" si="17"/>
        <v>0.92140905463286094</v>
      </c>
      <c r="J504" s="2"/>
      <c r="K504" s="2"/>
      <c r="L504" s="2"/>
    </row>
    <row r="505" spans="1:12" ht="30" customHeight="1" x14ac:dyDescent="0.35">
      <c r="A505" t="s">
        <v>1078</v>
      </c>
      <c r="B505" t="s">
        <v>1079</v>
      </c>
      <c r="C505" t="s">
        <v>57</v>
      </c>
      <c r="D505" t="s">
        <v>56</v>
      </c>
      <c r="E505" s="2">
        <v>310348.83</v>
      </c>
      <c r="F505" s="2"/>
      <c r="G505" s="2"/>
      <c r="H505" s="8" t="str">
        <f t="shared" si="16"/>
        <v/>
      </c>
      <c r="I505" s="10" t="str">
        <f t="shared" si="17"/>
        <v/>
      </c>
      <c r="J505" s="2"/>
      <c r="K505" s="2"/>
      <c r="L505" s="2"/>
    </row>
    <row r="506" spans="1:12" ht="30" customHeight="1" x14ac:dyDescent="0.35">
      <c r="A506" t="s">
        <v>1080</v>
      </c>
      <c r="B506" t="s">
        <v>1081</v>
      </c>
      <c r="C506" t="s">
        <v>29</v>
      </c>
      <c r="D506" t="s">
        <v>28</v>
      </c>
      <c r="E506" s="2">
        <v>5979.77</v>
      </c>
      <c r="F506" s="2"/>
      <c r="G506" s="2"/>
      <c r="H506" s="8" t="str">
        <f t="shared" si="16"/>
        <v/>
      </c>
      <c r="I506" s="10" t="str">
        <f t="shared" si="17"/>
        <v/>
      </c>
      <c r="J506" s="2"/>
      <c r="K506" s="2"/>
      <c r="L506" s="2"/>
    </row>
    <row r="507" spans="1:12" ht="30" customHeight="1" x14ac:dyDescent="0.35">
      <c r="A507" t="s">
        <v>1082</v>
      </c>
      <c r="B507" t="s">
        <v>1083</v>
      </c>
      <c r="C507" t="s">
        <v>213</v>
      </c>
      <c r="D507" t="s">
        <v>212</v>
      </c>
      <c r="E507" s="2">
        <v>79.39</v>
      </c>
      <c r="F507" s="2">
        <v>104378.26</v>
      </c>
      <c r="G507" s="2"/>
      <c r="H507" s="8">
        <f t="shared" si="16"/>
        <v>104378.26</v>
      </c>
      <c r="I507" s="10">
        <f t="shared" si="17"/>
        <v>7.6059899829715504E-4</v>
      </c>
      <c r="J507" s="2"/>
      <c r="K507" s="2"/>
      <c r="L507" s="2"/>
    </row>
    <row r="508" spans="1:12" ht="30" customHeight="1" x14ac:dyDescent="0.35">
      <c r="A508" t="s">
        <v>1084</v>
      </c>
      <c r="B508" t="s">
        <v>1085</v>
      </c>
      <c r="C508" t="s">
        <v>19</v>
      </c>
      <c r="D508" t="s">
        <v>18</v>
      </c>
      <c r="E508" s="2">
        <v>187066.28</v>
      </c>
      <c r="F508" s="2"/>
      <c r="G508" s="2"/>
      <c r="H508" s="8" t="str">
        <f t="shared" si="16"/>
        <v/>
      </c>
      <c r="I508" s="10" t="str">
        <f t="shared" si="17"/>
        <v/>
      </c>
      <c r="J508" s="2"/>
      <c r="K508" s="2"/>
      <c r="L508" s="2"/>
    </row>
    <row r="509" spans="1:12" ht="30" customHeight="1" x14ac:dyDescent="0.35">
      <c r="A509" t="s">
        <v>1086</v>
      </c>
      <c r="B509" t="s">
        <v>1087</v>
      </c>
      <c r="C509" t="s">
        <v>33</v>
      </c>
      <c r="D509" t="s">
        <v>32</v>
      </c>
      <c r="E509" s="2">
        <v>7692.14</v>
      </c>
      <c r="F509" s="2"/>
      <c r="G509" s="2"/>
      <c r="H509" s="8" t="str">
        <f t="shared" si="16"/>
        <v/>
      </c>
      <c r="I509" s="10" t="str">
        <f t="shared" si="17"/>
        <v/>
      </c>
      <c r="J509" s="2"/>
      <c r="K509" s="2"/>
      <c r="L509" s="2"/>
    </row>
    <row r="510" spans="1:12" ht="30" customHeight="1" x14ac:dyDescent="0.35">
      <c r="A510" t="s">
        <v>1088</v>
      </c>
      <c r="B510" t="s">
        <v>1089</v>
      </c>
      <c r="C510" t="s">
        <v>57</v>
      </c>
      <c r="D510" t="s">
        <v>56</v>
      </c>
      <c r="E510" s="2">
        <v>93593.59</v>
      </c>
      <c r="F510" s="2"/>
      <c r="G510" s="2"/>
      <c r="H510" s="8" t="str">
        <f t="shared" si="16"/>
        <v/>
      </c>
      <c r="I510" s="10" t="str">
        <f t="shared" si="17"/>
        <v/>
      </c>
      <c r="J510" s="2"/>
      <c r="K510" s="2"/>
      <c r="L510" s="2"/>
    </row>
    <row r="511" spans="1:12" ht="30" customHeight="1" x14ac:dyDescent="0.35">
      <c r="A511" t="s">
        <v>1090</v>
      </c>
      <c r="B511" t="s">
        <v>1091</v>
      </c>
      <c r="C511" t="s">
        <v>465</v>
      </c>
      <c r="D511" t="s">
        <v>464</v>
      </c>
      <c r="E511" s="2">
        <v>3997092.55</v>
      </c>
      <c r="F511" s="2">
        <v>4222381.43</v>
      </c>
      <c r="G511" s="2">
        <v>3300000</v>
      </c>
      <c r="H511" s="8">
        <f t="shared" si="16"/>
        <v>7522381.4299999997</v>
      </c>
      <c r="I511" s="10">
        <f t="shared" si="17"/>
        <v>0.53135999379919774</v>
      </c>
      <c r="J511" s="2"/>
      <c r="K511" s="2"/>
      <c r="L511" s="2"/>
    </row>
    <row r="512" spans="1:12" ht="30" customHeight="1" x14ac:dyDescent="0.35">
      <c r="A512" t="s">
        <v>1092</v>
      </c>
      <c r="B512" t="s">
        <v>1093</v>
      </c>
      <c r="C512" t="s">
        <v>19</v>
      </c>
      <c r="D512" t="s">
        <v>18</v>
      </c>
      <c r="E512" s="2">
        <v>252340.32</v>
      </c>
      <c r="F512" s="2">
        <v>293358.84999999998</v>
      </c>
      <c r="G512" s="2"/>
      <c r="H512" s="8">
        <f t="shared" si="16"/>
        <v>293358.84999999998</v>
      </c>
      <c r="I512" s="10">
        <f t="shared" si="17"/>
        <v>0.86017626534873592</v>
      </c>
      <c r="J512" s="2"/>
      <c r="K512" s="2"/>
      <c r="L512" s="2"/>
    </row>
    <row r="513" spans="1:12" ht="30" customHeight="1" x14ac:dyDescent="0.35">
      <c r="A513" t="s">
        <v>1094</v>
      </c>
      <c r="B513" t="s">
        <v>1095</v>
      </c>
      <c r="C513" t="s">
        <v>19</v>
      </c>
      <c r="D513" t="s">
        <v>18</v>
      </c>
      <c r="E513" s="2">
        <v>111548.92</v>
      </c>
      <c r="F513" s="2"/>
      <c r="G513" s="2"/>
      <c r="H513" s="8" t="str">
        <f t="shared" si="16"/>
        <v/>
      </c>
      <c r="I513" s="10" t="str">
        <f t="shared" si="17"/>
        <v/>
      </c>
      <c r="J513" s="2"/>
      <c r="K513" s="2"/>
      <c r="L513" s="2"/>
    </row>
    <row r="514" spans="1:12" ht="30" customHeight="1" x14ac:dyDescent="0.35">
      <c r="A514" t="s">
        <v>1096</v>
      </c>
      <c r="B514" t="s">
        <v>1097</v>
      </c>
      <c r="C514" t="s">
        <v>19</v>
      </c>
      <c r="D514" t="s">
        <v>18</v>
      </c>
      <c r="E514" s="2">
        <v>142410.46</v>
      </c>
      <c r="F514" s="2"/>
      <c r="G514" s="2"/>
      <c r="H514" s="8" t="str">
        <f t="shared" si="16"/>
        <v/>
      </c>
      <c r="I514" s="10" t="str">
        <f t="shared" si="17"/>
        <v/>
      </c>
      <c r="J514" s="2"/>
      <c r="K514" s="2"/>
      <c r="L514" s="2"/>
    </row>
    <row r="515" spans="1:12" ht="30" customHeight="1" x14ac:dyDescent="0.35">
      <c r="A515" t="s">
        <v>1098</v>
      </c>
      <c r="B515" t="s">
        <v>1099</v>
      </c>
      <c r="C515" t="s">
        <v>465</v>
      </c>
      <c r="D515" t="s">
        <v>464</v>
      </c>
      <c r="E515" s="2">
        <v>333570.34000000003</v>
      </c>
      <c r="F515" s="2">
        <v>6265635.7599999998</v>
      </c>
      <c r="G515" s="2">
        <v>300000</v>
      </c>
      <c r="H515" s="8">
        <f t="shared" si="16"/>
        <v>6565635.7599999998</v>
      </c>
      <c r="I515" s="10">
        <f t="shared" si="17"/>
        <v>5.0805489703254575E-2</v>
      </c>
      <c r="J515" s="2"/>
      <c r="K515" s="2"/>
      <c r="L515" s="2"/>
    </row>
    <row r="516" spans="1:12" ht="30" customHeight="1" x14ac:dyDescent="0.35">
      <c r="A516" t="s">
        <v>1100</v>
      </c>
      <c r="B516" t="s">
        <v>1101</v>
      </c>
      <c r="C516" t="s">
        <v>109</v>
      </c>
      <c r="D516" t="s">
        <v>108</v>
      </c>
      <c r="E516" s="2">
        <v>352571.35</v>
      </c>
      <c r="F516" s="2"/>
      <c r="G516" s="2"/>
      <c r="H516" s="8" t="str">
        <f t="shared" si="16"/>
        <v/>
      </c>
      <c r="I516" s="10" t="str">
        <f t="shared" si="17"/>
        <v/>
      </c>
      <c r="J516" s="2"/>
      <c r="K516" s="2"/>
      <c r="L516" s="2"/>
    </row>
    <row r="517" spans="1:12" ht="30" customHeight="1" x14ac:dyDescent="0.35">
      <c r="A517" t="s">
        <v>1102</v>
      </c>
      <c r="B517" t="s">
        <v>1103</v>
      </c>
      <c r="C517" t="s">
        <v>57</v>
      </c>
      <c r="D517" t="s">
        <v>56</v>
      </c>
      <c r="E517" s="2">
        <v>37666.480000000003</v>
      </c>
      <c r="F517" s="2"/>
      <c r="G517" s="2"/>
      <c r="H517" s="8" t="str">
        <f t="shared" si="16"/>
        <v/>
      </c>
      <c r="I517" s="10" t="str">
        <f t="shared" si="17"/>
        <v/>
      </c>
      <c r="J517" s="2"/>
      <c r="K517" s="2"/>
      <c r="L517" s="2"/>
    </row>
    <row r="518" spans="1:12" ht="30" customHeight="1" x14ac:dyDescent="0.35">
      <c r="A518" t="s">
        <v>1104</v>
      </c>
      <c r="B518" t="s">
        <v>1105</v>
      </c>
      <c r="C518" t="s">
        <v>67</v>
      </c>
      <c r="D518" t="s">
        <v>66</v>
      </c>
      <c r="E518" s="2">
        <v>350937.11</v>
      </c>
      <c r="F518" s="2"/>
      <c r="G518" s="2"/>
      <c r="H518" s="8" t="str">
        <f t="shared" si="16"/>
        <v/>
      </c>
      <c r="I518" s="10" t="str">
        <f t="shared" si="17"/>
        <v/>
      </c>
      <c r="J518" s="2"/>
      <c r="K518" s="2"/>
      <c r="L518" s="2"/>
    </row>
    <row r="519" spans="1:12" ht="30" customHeight="1" x14ac:dyDescent="0.35">
      <c r="A519" t="s">
        <v>1106</v>
      </c>
      <c r="B519" t="s">
        <v>1107</v>
      </c>
      <c r="C519" t="s">
        <v>77</v>
      </c>
      <c r="D519" t="s">
        <v>76</v>
      </c>
      <c r="E519" s="2">
        <v>60353.87</v>
      </c>
      <c r="F519" s="2"/>
      <c r="G519" s="2"/>
      <c r="H519" s="8" t="str">
        <f t="shared" si="16"/>
        <v/>
      </c>
      <c r="I519" s="10" t="str">
        <f t="shared" si="17"/>
        <v/>
      </c>
      <c r="J519" s="2"/>
      <c r="K519" s="2"/>
      <c r="L519" s="2"/>
    </row>
    <row r="520" spans="1:12" ht="30" customHeight="1" x14ac:dyDescent="0.35">
      <c r="A520" t="s">
        <v>1108</v>
      </c>
      <c r="B520" t="s">
        <v>1109</v>
      </c>
      <c r="C520" t="s">
        <v>77</v>
      </c>
      <c r="D520" t="s">
        <v>76</v>
      </c>
      <c r="E520" s="2">
        <v>199808.56</v>
      </c>
      <c r="F520" s="2"/>
      <c r="G520" s="2"/>
      <c r="H520" s="8" t="str">
        <f t="shared" si="16"/>
        <v/>
      </c>
      <c r="I520" s="10" t="str">
        <f t="shared" si="17"/>
        <v/>
      </c>
      <c r="J520" s="2"/>
      <c r="K520" s="2"/>
      <c r="L520" s="2"/>
    </row>
    <row r="521" spans="1:12" ht="30" customHeight="1" x14ac:dyDescent="0.35">
      <c r="A521" t="s">
        <v>1110</v>
      </c>
      <c r="B521" t="s">
        <v>1111</v>
      </c>
      <c r="C521" t="s">
        <v>51</v>
      </c>
      <c r="D521" t="s">
        <v>50</v>
      </c>
      <c r="E521" s="2">
        <v>390393.07</v>
      </c>
      <c r="F521" s="2"/>
      <c r="G521" s="2"/>
      <c r="H521" s="8" t="str">
        <f t="shared" si="16"/>
        <v/>
      </c>
      <c r="I521" s="10" t="str">
        <f t="shared" si="17"/>
        <v/>
      </c>
      <c r="J521" s="2"/>
      <c r="K521" s="2"/>
      <c r="L521" s="2"/>
    </row>
    <row r="522" spans="1:12" ht="30" customHeight="1" x14ac:dyDescent="0.35">
      <c r="A522" t="s">
        <v>1112</v>
      </c>
      <c r="B522" t="s">
        <v>1113</v>
      </c>
      <c r="C522" t="s">
        <v>51</v>
      </c>
      <c r="D522" t="s">
        <v>50</v>
      </c>
      <c r="E522" s="2">
        <v>34738.949999999997</v>
      </c>
      <c r="F522" s="2"/>
      <c r="G522" s="2"/>
      <c r="H522" s="8" t="str">
        <f t="shared" si="16"/>
        <v/>
      </c>
      <c r="I522" s="10" t="str">
        <f t="shared" si="17"/>
        <v/>
      </c>
      <c r="J522" s="2"/>
      <c r="K522" s="2"/>
      <c r="L522" s="2"/>
    </row>
    <row r="523" spans="1:12" ht="30" customHeight="1" x14ac:dyDescent="0.35">
      <c r="A523" t="s">
        <v>1114</v>
      </c>
      <c r="B523" t="s">
        <v>1115</v>
      </c>
      <c r="C523" t="s">
        <v>67</v>
      </c>
      <c r="D523" t="s">
        <v>66</v>
      </c>
      <c r="E523" s="2">
        <v>24633.46</v>
      </c>
      <c r="F523" s="2"/>
      <c r="G523" s="2"/>
      <c r="H523" s="8" t="str">
        <f t="shared" si="16"/>
        <v/>
      </c>
      <c r="I523" s="10" t="str">
        <f t="shared" si="17"/>
        <v/>
      </c>
      <c r="J523" s="2"/>
      <c r="K523" s="2"/>
      <c r="L523" s="2"/>
    </row>
    <row r="524" spans="1:12" ht="30" customHeight="1" x14ac:dyDescent="0.35">
      <c r="A524" t="s">
        <v>1116</v>
      </c>
      <c r="B524" t="s">
        <v>1117</v>
      </c>
      <c r="C524" t="s">
        <v>259</v>
      </c>
      <c r="D524" t="s">
        <v>258</v>
      </c>
      <c r="E524" s="2">
        <v>3770</v>
      </c>
      <c r="F524" s="2">
        <v>84090.240000000005</v>
      </c>
      <c r="G524" s="2"/>
      <c r="H524" s="8">
        <f t="shared" si="16"/>
        <v>84090.240000000005</v>
      </c>
      <c r="I524" s="10">
        <f t="shared" si="17"/>
        <v>4.4832789156030471E-2</v>
      </c>
      <c r="J524" s="2"/>
      <c r="K524" s="2"/>
      <c r="L524" s="2"/>
    </row>
    <row r="525" spans="1:12" ht="30" customHeight="1" x14ac:dyDescent="0.35">
      <c r="A525" t="s">
        <v>1118</v>
      </c>
      <c r="B525" t="s">
        <v>1119</v>
      </c>
      <c r="C525" t="s">
        <v>109</v>
      </c>
      <c r="D525" t="s">
        <v>108</v>
      </c>
      <c r="E525" s="2">
        <v>180202.05</v>
      </c>
      <c r="F525" s="2"/>
      <c r="G525" s="2"/>
      <c r="H525" s="8" t="str">
        <f t="shared" si="16"/>
        <v/>
      </c>
      <c r="I525" s="10" t="str">
        <f t="shared" si="17"/>
        <v/>
      </c>
      <c r="J525" s="2"/>
      <c r="K525" s="2"/>
      <c r="L525" s="2"/>
    </row>
    <row r="526" spans="1:12" ht="30" customHeight="1" x14ac:dyDescent="0.35">
      <c r="A526" t="s">
        <v>1120</v>
      </c>
      <c r="B526" t="s">
        <v>1121</v>
      </c>
      <c r="C526" t="s">
        <v>465</v>
      </c>
      <c r="D526" t="s">
        <v>464</v>
      </c>
      <c r="E526" s="2">
        <v>906836.65</v>
      </c>
      <c r="F526" s="2">
        <v>728088.52</v>
      </c>
      <c r="G526" s="2">
        <v>1500000</v>
      </c>
      <c r="H526" s="8">
        <f t="shared" si="16"/>
        <v>2228088.52</v>
      </c>
      <c r="I526" s="10">
        <f t="shared" si="17"/>
        <v>0.40700207458543886</v>
      </c>
      <c r="J526" s="2"/>
      <c r="K526" s="2"/>
      <c r="L526" s="2"/>
    </row>
    <row r="527" spans="1:12" ht="30" customHeight="1" x14ac:dyDescent="0.35">
      <c r="A527" t="s">
        <v>1122</v>
      </c>
      <c r="B527" t="s">
        <v>1123</v>
      </c>
      <c r="C527" t="s">
        <v>29</v>
      </c>
      <c r="D527" t="s">
        <v>28</v>
      </c>
      <c r="E527" s="2">
        <v>1036336.29</v>
      </c>
      <c r="F527" s="2"/>
      <c r="G527" s="2"/>
      <c r="H527" s="8" t="str">
        <f t="shared" si="16"/>
        <v/>
      </c>
      <c r="I527" s="10" t="str">
        <f t="shared" si="17"/>
        <v/>
      </c>
      <c r="J527" s="2"/>
      <c r="K527" s="2"/>
      <c r="L527" s="2"/>
    </row>
    <row r="528" spans="1:12" ht="30" customHeight="1" x14ac:dyDescent="0.35">
      <c r="A528" t="s">
        <v>1124</v>
      </c>
      <c r="B528" t="s">
        <v>1125</v>
      </c>
      <c r="C528" t="s">
        <v>101</v>
      </c>
      <c r="D528" t="s">
        <v>100</v>
      </c>
      <c r="E528" s="2">
        <v>1537060.19</v>
      </c>
      <c r="F528" s="2">
        <v>113338.45</v>
      </c>
      <c r="G528" s="2">
        <v>1573629</v>
      </c>
      <c r="H528" s="8">
        <f t="shared" si="16"/>
        <v>1686967.45</v>
      </c>
      <c r="I528" s="10">
        <f t="shared" si="17"/>
        <v>0.91113802462519355</v>
      </c>
      <c r="J528" s="2"/>
      <c r="K528" s="2"/>
      <c r="L528" s="2"/>
    </row>
    <row r="529" spans="1:12" ht="30" customHeight="1" x14ac:dyDescent="0.35">
      <c r="A529" t="s">
        <v>1126</v>
      </c>
      <c r="B529" t="s">
        <v>1127</v>
      </c>
      <c r="C529" t="s">
        <v>19</v>
      </c>
      <c r="D529" t="s">
        <v>18</v>
      </c>
      <c r="E529" s="2">
        <v>36478.199999999997</v>
      </c>
      <c r="F529" s="2">
        <v>28156.34</v>
      </c>
      <c r="G529" s="2"/>
      <c r="H529" s="8">
        <f t="shared" si="16"/>
        <v>28156.34</v>
      </c>
      <c r="I529" s="10">
        <f t="shared" si="17"/>
        <v>1.2955590108657586</v>
      </c>
      <c r="J529" s="2"/>
      <c r="K529" s="2"/>
      <c r="L529" s="2"/>
    </row>
    <row r="530" spans="1:12" ht="30" customHeight="1" x14ac:dyDescent="0.35">
      <c r="A530" t="s">
        <v>1128</v>
      </c>
      <c r="B530" t="s">
        <v>1129</v>
      </c>
      <c r="C530" t="s">
        <v>19</v>
      </c>
      <c r="D530" t="s">
        <v>18</v>
      </c>
      <c r="E530" s="2">
        <v>215313.38</v>
      </c>
      <c r="F530" s="2"/>
      <c r="G530" s="2"/>
      <c r="H530" s="8" t="str">
        <f t="shared" si="16"/>
        <v/>
      </c>
      <c r="I530" s="10" t="str">
        <f t="shared" si="17"/>
        <v/>
      </c>
      <c r="J530" s="2"/>
      <c r="K530" s="2"/>
      <c r="L530" s="2"/>
    </row>
    <row r="531" spans="1:12" ht="30" customHeight="1" x14ac:dyDescent="0.35">
      <c r="A531" t="s">
        <v>1130</v>
      </c>
      <c r="B531" t="s">
        <v>1131</v>
      </c>
      <c r="C531" t="s">
        <v>19</v>
      </c>
      <c r="D531" t="s">
        <v>18</v>
      </c>
      <c r="E531" s="2">
        <v>13889.19</v>
      </c>
      <c r="F531" s="2"/>
      <c r="G531" s="2"/>
      <c r="H531" s="8" t="str">
        <f t="shared" si="16"/>
        <v/>
      </c>
      <c r="I531" s="10" t="str">
        <f t="shared" si="17"/>
        <v/>
      </c>
      <c r="J531" s="2"/>
      <c r="K531" s="2"/>
      <c r="L531" s="2"/>
    </row>
    <row r="532" spans="1:12" ht="30" customHeight="1" x14ac:dyDescent="0.35">
      <c r="A532" t="s">
        <v>1132</v>
      </c>
      <c r="B532" t="s">
        <v>1133</v>
      </c>
      <c r="C532" t="s">
        <v>19</v>
      </c>
      <c r="D532" t="s">
        <v>18</v>
      </c>
      <c r="E532" s="2">
        <v>201669.17</v>
      </c>
      <c r="F532" s="2"/>
      <c r="G532" s="2"/>
      <c r="H532" s="8" t="str">
        <f t="shared" si="16"/>
        <v/>
      </c>
      <c r="I532" s="10" t="str">
        <f t="shared" si="17"/>
        <v/>
      </c>
      <c r="J532" s="2"/>
      <c r="K532" s="2"/>
      <c r="L532" s="2"/>
    </row>
    <row r="533" spans="1:12" ht="30" customHeight="1" x14ac:dyDescent="0.35">
      <c r="A533" t="s">
        <v>1134</v>
      </c>
      <c r="B533" t="s">
        <v>1135</v>
      </c>
      <c r="C533" t="s">
        <v>57</v>
      </c>
      <c r="D533" t="s">
        <v>56</v>
      </c>
      <c r="E533" s="2">
        <v>57161.89</v>
      </c>
      <c r="F533" s="2"/>
      <c r="G533" s="2"/>
      <c r="H533" s="8" t="str">
        <f t="shared" si="16"/>
        <v/>
      </c>
      <c r="I533" s="10" t="str">
        <f t="shared" si="17"/>
        <v/>
      </c>
      <c r="J533" s="2"/>
      <c r="K533" s="2"/>
      <c r="L533" s="2"/>
    </row>
    <row r="534" spans="1:12" ht="30" customHeight="1" x14ac:dyDescent="0.35">
      <c r="A534" t="s">
        <v>1136</v>
      </c>
      <c r="B534" t="s">
        <v>1137</v>
      </c>
      <c r="C534" t="s">
        <v>19</v>
      </c>
      <c r="D534" t="s">
        <v>18</v>
      </c>
      <c r="E534" s="2">
        <v>79046.600000000006</v>
      </c>
      <c r="F534" s="2"/>
      <c r="G534" s="2"/>
      <c r="H534" s="8" t="str">
        <f t="shared" si="16"/>
        <v/>
      </c>
      <c r="I534" s="10" t="str">
        <f t="shared" si="17"/>
        <v/>
      </c>
      <c r="J534" s="2"/>
      <c r="K534" s="2"/>
      <c r="L534" s="2"/>
    </row>
    <row r="535" spans="1:12" ht="30" customHeight="1" x14ac:dyDescent="0.35">
      <c r="A535" t="s">
        <v>1138</v>
      </c>
      <c r="B535" t="s">
        <v>1139</v>
      </c>
      <c r="C535" t="s">
        <v>19</v>
      </c>
      <c r="D535" t="s">
        <v>18</v>
      </c>
      <c r="E535" s="2">
        <v>345777.22</v>
      </c>
      <c r="F535" s="2"/>
      <c r="G535" s="2"/>
      <c r="H535" s="8" t="str">
        <f t="shared" si="16"/>
        <v/>
      </c>
      <c r="I535" s="10" t="str">
        <f t="shared" si="17"/>
        <v/>
      </c>
      <c r="J535" s="2"/>
      <c r="K535" s="2"/>
      <c r="L535" s="2"/>
    </row>
    <row r="536" spans="1:12" ht="30" customHeight="1" x14ac:dyDescent="0.35">
      <c r="A536" t="s">
        <v>1140</v>
      </c>
      <c r="B536" t="s">
        <v>1141</v>
      </c>
      <c r="C536" t="s">
        <v>259</v>
      </c>
      <c r="D536" t="s">
        <v>258</v>
      </c>
      <c r="E536" s="2">
        <v>22316.86</v>
      </c>
      <c r="F536" s="2">
        <v>1245003.5</v>
      </c>
      <c r="G536" s="2">
        <v>3057.53</v>
      </c>
      <c r="H536" s="8">
        <f t="shared" si="16"/>
        <v>1248061.03</v>
      </c>
      <c r="I536" s="10">
        <f t="shared" si="17"/>
        <v>1.7881224926957297E-2</v>
      </c>
      <c r="J536" s="2"/>
      <c r="K536" s="2"/>
      <c r="L536" s="2"/>
    </row>
    <row r="537" spans="1:12" ht="30" customHeight="1" x14ac:dyDescent="0.35">
      <c r="A537" t="s">
        <v>1142</v>
      </c>
      <c r="B537" t="s">
        <v>1143</v>
      </c>
      <c r="C537" t="s">
        <v>109</v>
      </c>
      <c r="D537" t="s">
        <v>108</v>
      </c>
      <c r="E537" s="2">
        <v>78996.03</v>
      </c>
      <c r="F537" s="2"/>
      <c r="G537" s="2"/>
      <c r="H537" s="8" t="str">
        <f t="shared" si="16"/>
        <v/>
      </c>
      <c r="I537" s="10" t="str">
        <f t="shared" si="17"/>
        <v/>
      </c>
      <c r="J537" s="2"/>
      <c r="K537" s="2"/>
      <c r="L537" s="2"/>
    </row>
    <row r="538" spans="1:12" ht="30" customHeight="1" x14ac:dyDescent="0.35">
      <c r="A538" t="s">
        <v>1144</v>
      </c>
      <c r="B538" t="s">
        <v>1145</v>
      </c>
      <c r="C538" t="s">
        <v>29</v>
      </c>
      <c r="D538" t="s">
        <v>28</v>
      </c>
      <c r="E538" s="2">
        <v>10536.27</v>
      </c>
      <c r="F538" s="2"/>
      <c r="G538" s="2"/>
      <c r="H538" s="8" t="str">
        <f t="shared" si="16"/>
        <v/>
      </c>
      <c r="I538" s="10" t="str">
        <f t="shared" si="17"/>
        <v/>
      </c>
      <c r="J538" s="2"/>
      <c r="K538" s="2"/>
      <c r="L538" s="2"/>
    </row>
    <row r="539" spans="1:12" ht="30" customHeight="1" x14ac:dyDescent="0.35">
      <c r="A539" t="s">
        <v>1146</v>
      </c>
      <c r="B539" t="s">
        <v>1147</v>
      </c>
      <c r="C539" t="s">
        <v>51</v>
      </c>
      <c r="D539" t="s">
        <v>50</v>
      </c>
      <c r="E539" s="2">
        <v>353781.99</v>
      </c>
      <c r="F539" s="2"/>
      <c r="G539" s="2"/>
      <c r="H539" s="8" t="str">
        <f t="shared" si="16"/>
        <v/>
      </c>
      <c r="I539" s="10" t="str">
        <f t="shared" si="17"/>
        <v/>
      </c>
      <c r="J539" s="2"/>
      <c r="K539" s="2"/>
      <c r="L539" s="2"/>
    </row>
    <row r="540" spans="1:12" ht="30" customHeight="1" x14ac:dyDescent="0.35">
      <c r="A540" t="s">
        <v>1148</v>
      </c>
      <c r="B540" t="s">
        <v>1149</v>
      </c>
      <c r="C540" t="s">
        <v>67</v>
      </c>
      <c r="D540" t="s">
        <v>66</v>
      </c>
      <c r="E540" s="2">
        <v>219182.35</v>
      </c>
      <c r="F540" s="2"/>
      <c r="G540" s="2"/>
      <c r="H540" s="8" t="str">
        <f t="shared" si="16"/>
        <v/>
      </c>
      <c r="I540" s="10" t="str">
        <f t="shared" si="17"/>
        <v/>
      </c>
      <c r="J540" s="2"/>
      <c r="K540" s="2"/>
      <c r="L540" s="2"/>
    </row>
    <row r="541" spans="1:12" ht="30" customHeight="1" x14ac:dyDescent="0.35">
      <c r="A541" t="s">
        <v>1150</v>
      </c>
      <c r="B541" t="s">
        <v>1151</v>
      </c>
      <c r="C541" t="s">
        <v>109</v>
      </c>
      <c r="D541" t="s">
        <v>108</v>
      </c>
      <c r="E541" s="2">
        <v>91513.14</v>
      </c>
      <c r="F541" s="2"/>
      <c r="G541" s="2"/>
      <c r="H541" s="8" t="str">
        <f t="shared" si="16"/>
        <v/>
      </c>
      <c r="I541" s="10" t="str">
        <f t="shared" si="17"/>
        <v/>
      </c>
      <c r="J541" s="2"/>
      <c r="K541" s="2"/>
      <c r="L541" s="2"/>
    </row>
    <row r="542" spans="1:12" ht="30" customHeight="1" x14ac:dyDescent="0.35">
      <c r="A542" t="s">
        <v>1152</v>
      </c>
      <c r="B542" t="s">
        <v>1153</v>
      </c>
      <c r="C542" t="s">
        <v>51</v>
      </c>
      <c r="D542" t="s">
        <v>50</v>
      </c>
      <c r="E542" s="2">
        <v>231371.25</v>
      </c>
      <c r="F542" s="2"/>
      <c r="G542" s="2"/>
      <c r="H542" s="8" t="str">
        <f t="shared" si="16"/>
        <v/>
      </c>
      <c r="I542" s="10" t="str">
        <f t="shared" si="17"/>
        <v/>
      </c>
      <c r="J542" s="2"/>
      <c r="K542" s="2"/>
      <c r="L542" s="2"/>
    </row>
    <row r="543" spans="1:12" ht="30" customHeight="1" x14ac:dyDescent="0.35">
      <c r="A543" t="s">
        <v>1154</v>
      </c>
      <c r="B543" t="s">
        <v>1155</v>
      </c>
      <c r="C543" t="s">
        <v>109</v>
      </c>
      <c r="D543" t="s">
        <v>108</v>
      </c>
      <c r="E543" s="2">
        <v>152855.1</v>
      </c>
      <c r="F543" s="2"/>
      <c r="G543" s="2"/>
      <c r="H543" s="8" t="str">
        <f t="shared" si="16"/>
        <v/>
      </c>
      <c r="I543" s="10" t="str">
        <f t="shared" si="17"/>
        <v/>
      </c>
      <c r="J543" s="2"/>
      <c r="K543" s="2"/>
      <c r="L543" s="2"/>
    </row>
    <row r="544" spans="1:12" ht="30" customHeight="1" x14ac:dyDescent="0.35">
      <c r="A544" t="s">
        <v>1156</v>
      </c>
      <c r="B544" t="s">
        <v>1157</v>
      </c>
      <c r="C544" t="s">
        <v>67</v>
      </c>
      <c r="D544" t="s">
        <v>66</v>
      </c>
      <c r="E544" s="2">
        <v>16346.02</v>
      </c>
      <c r="F544" s="2"/>
      <c r="G544" s="2"/>
      <c r="H544" s="8" t="str">
        <f t="shared" si="16"/>
        <v/>
      </c>
      <c r="I544" s="10" t="str">
        <f t="shared" si="17"/>
        <v/>
      </c>
      <c r="J544" s="2"/>
      <c r="K544" s="2"/>
      <c r="L544" s="2"/>
    </row>
    <row r="545" spans="1:12" ht="30" customHeight="1" x14ac:dyDescent="0.35">
      <c r="A545" t="s">
        <v>1158</v>
      </c>
      <c r="B545" t="s">
        <v>1159</v>
      </c>
      <c r="C545" t="s">
        <v>51</v>
      </c>
      <c r="D545" t="s">
        <v>50</v>
      </c>
      <c r="E545" s="2">
        <v>2312.23</v>
      </c>
      <c r="F545" s="2"/>
      <c r="G545" s="2"/>
      <c r="H545" s="8" t="str">
        <f t="shared" si="16"/>
        <v/>
      </c>
      <c r="I545" s="10" t="str">
        <f t="shared" si="17"/>
        <v/>
      </c>
      <c r="J545" s="2"/>
      <c r="K545" s="2"/>
      <c r="L545" s="2"/>
    </row>
    <row r="546" spans="1:12" ht="30" customHeight="1" x14ac:dyDescent="0.35">
      <c r="A546" t="s">
        <v>1160</v>
      </c>
      <c r="B546" t="s">
        <v>1161</v>
      </c>
      <c r="C546" t="s">
        <v>465</v>
      </c>
      <c r="D546" t="s">
        <v>464</v>
      </c>
      <c r="E546" s="2">
        <v>339451.97</v>
      </c>
      <c r="F546" s="2">
        <v>1207165.74</v>
      </c>
      <c r="G546" s="2">
        <v>300000</v>
      </c>
      <c r="H546" s="8">
        <f t="shared" si="16"/>
        <v>1507165.74</v>
      </c>
      <c r="I546" s="10">
        <f t="shared" si="17"/>
        <v>0.22522537567766102</v>
      </c>
      <c r="J546" s="2"/>
      <c r="K546" s="2"/>
      <c r="L546" s="2"/>
    </row>
    <row r="547" spans="1:12" ht="30" customHeight="1" x14ac:dyDescent="0.35">
      <c r="A547" t="s">
        <v>1162</v>
      </c>
      <c r="B547" t="s">
        <v>1163</v>
      </c>
      <c r="C547" t="s">
        <v>109</v>
      </c>
      <c r="D547" t="s">
        <v>108</v>
      </c>
      <c r="E547" s="2">
        <v>863432.83</v>
      </c>
      <c r="F547" s="2">
        <v>0</v>
      </c>
      <c r="G547" s="2"/>
      <c r="H547" s="8">
        <f t="shared" si="16"/>
        <v>0</v>
      </c>
      <c r="I547" s="10" t="e">
        <f t="shared" si="17"/>
        <v>#DIV/0!</v>
      </c>
      <c r="J547" s="2"/>
      <c r="K547" s="2"/>
      <c r="L547" s="2"/>
    </row>
    <row r="548" spans="1:12" ht="30" customHeight="1" x14ac:dyDescent="0.35">
      <c r="A548" t="s">
        <v>1164</v>
      </c>
      <c r="B548" t="s">
        <v>1165</v>
      </c>
      <c r="C548" t="s">
        <v>51</v>
      </c>
      <c r="D548" t="s">
        <v>50</v>
      </c>
      <c r="E548" s="2">
        <v>63185.39</v>
      </c>
      <c r="F548" s="2"/>
      <c r="G548" s="2"/>
      <c r="H548" s="8" t="str">
        <f t="shared" si="16"/>
        <v/>
      </c>
      <c r="I548" s="10" t="str">
        <f t="shared" si="17"/>
        <v/>
      </c>
      <c r="J548" s="2"/>
      <c r="K548" s="2"/>
      <c r="L548" s="2"/>
    </row>
    <row r="549" spans="1:12" ht="30" customHeight="1" x14ac:dyDescent="0.35">
      <c r="A549" t="s">
        <v>1166</v>
      </c>
      <c r="B549" t="s">
        <v>1167</v>
      </c>
      <c r="C549" t="s">
        <v>19</v>
      </c>
      <c r="D549" t="s">
        <v>18</v>
      </c>
      <c r="E549" s="2">
        <v>1512665.75</v>
      </c>
      <c r="F549" s="2"/>
      <c r="G549" s="2"/>
      <c r="H549" s="8" t="str">
        <f t="shared" si="16"/>
        <v/>
      </c>
      <c r="I549" s="10" t="str">
        <f t="shared" si="17"/>
        <v/>
      </c>
      <c r="J549" s="2"/>
      <c r="K549" s="2"/>
      <c r="L549" s="2"/>
    </row>
    <row r="550" spans="1:12" ht="30" customHeight="1" x14ac:dyDescent="0.35">
      <c r="A550" t="s">
        <v>1168</v>
      </c>
      <c r="B550" t="s">
        <v>1169</v>
      </c>
      <c r="C550" t="s">
        <v>465</v>
      </c>
      <c r="D550" t="s">
        <v>464</v>
      </c>
      <c r="E550" s="2">
        <v>530112.93999999994</v>
      </c>
      <c r="F550" s="2">
        <v>7689271.3200000003</v>
      </c>
      <c r="G550" s="2">
        <v>533987.6</v>
      </c>
      <c r="H550" s="8">
        <f t="shared" si="16"/>
        <v>8223258.9199999999</v>
      </c>
      <c r="I550" s="10">
        <f t="shared" si="17"/>
        <v>6.4465067336101828E-2</v>
      </c>
      <c r="J550" s="2"/>
      <c r="K550" s="2"/>
      <c r="L550" s="2"/>
    </row>
    <row r="551" spans="1:12" ht="30" customHeight="1" x14ac:dyDescent="0.35">
      <c r="A551" t="s">
        <v>1170</v>
      </c>
      <c r="B551" t="s">
        <v>1171</v>
      </c>
      <c r="C551" t="s">
        <v>109</v>
      </c>
      <c r="D551" t="s">
        <v>108</v>
      </c>
      <c r="E551" s="2">
        <v>22941.61</v>
      </c>
      <c r="F551" s="2"/>
      <c r="G551" s="2"/>
      <c r="H551" s="8" t="str">
        <f t="shared" si="16"/>
        <v/>
      </c>
      <c r="I551" s="10" t="str">
        <f t="shared" si="17"/>
        <v/>
      </c>
      <c r="J551" s="2"/>
      <c r="K551" s="2"/>
      <c r="L551" s="2"/>
    </row>
    <row r="552" spans="1:12" ht="30" customHeight="1" x14ac:dyDescent="0.35">
      <c r="A552" t="s">
        <v>312</v>
      </c>
      <c r="B552" t="s">
        <v>1172</v>
      </c>
      <c r="C552" t="s">
        <v>77</v>
      </c>
      <c r="D552" t="s">
        <v>76</v>
      </c>
      <c r="E552" s="2">
        <v>1501905.61</v>
      </c>
      <c r="F552" s="2"/>
      <c r="G552" s="2"/>
      <c r="H552" s="8" t="str">
        <f t="shared" si="16"/>
        <v/>
      </c>
      <c r="I552" s="10" t="str">
        <f t="shared" si="17"/>
        <v/>
      </c>
      <c r="J552" s="2"/>
      <c r="K552" s="2"/>
      <c r="L552" s="2"/>
    </row>
    <row r="553" spans="1:12" ht="30" customHeight="1" x14ac:dyDescent="0.35">
      <c r="A553" t="s">
        <v>1173</v>
      </c>
      <c r="B553" t="s">
        <v>1174</v>
      </c>
      <c r="C553" t="s">
        <v>57</v>
      </c>
      <c r="D553" t="s">
        <v>56</v>
      </c>
      <c r="E553" s="2">
        <v>78077.63</v>
      </c>
      <c r="F553" s="2"/>
      <c r="G553" s="2"/>
      <c r="H553" s="8" t="str">
        <f t="shared" si="16"/>
        <v/>
      </c>
      <c r="I553" s="10" t="str">
        <f t="shared" si="17"/>
        <v/>
      </c>
      <c r="J553" s="2"/>
      <c r="K553" s="2"/>
      <c r="L553" s="2"/>
    </row>
    <row r="554" spans="1:12" ht="30" customHeight="1" x14ac:dyDescent="0.35">
      <c r="A554" t="s">
        <v>1175</v>
      </c>
      <c r="B554" t="s">
        <v>1176</v>
      </c>
      <c r="C554" t="s">
        <v>57</v>
      </c>
      <c r="D554" t="s">
        <v>56</v>
      </c>
      <c r="E554" s="2">
        <v>489672.04</v>
      </c>
      <c r="F554" s="2"/>
      <c r="G554" s="2"/>
      <c r="H554" s="8" t="str">
        <f t="shared" si="16"/>
        <v/>
      </c>
      <c r="I554" s="10" t="str">
        <f t="shared" si="17"/>
        <v/>
      </c>
      <c r="J554" s="2"/>
      <c r="K554" s="2"/>
      <c r="L554" s="2"/>
    </row>
    <row r="555" spans="1:12" ht="30" customHeight="1" x14ac:dyDescent="0.35">
      <c r="A555" t="s">
        <v>1177</v>
      </c>
      <c r="B555" t="s">
        <v>1178</v>
      </c>
      <c r="C555" t="s">
        <v>465</v>
      </c>
      <c r="D555" t="s">
        <v>464</v>
      </c>
      <c r="E555" s="2">
        <v>194647.71</v>
      </c>
      <c r="F555" s="2">
        <v>2080191.24</v>
      </c>
      <c r="G555" s="2">
        <v>250000</v>
      </c>
      <c r="H555" s="8">
        <f t="shared" si="16"/>
        <v>2330191.2400000002</v>
      </c>
      <c r="I555" s="10">
        <f t="shared" si="17"/>
        <v>8.353293354583205E-2</v>
      </c>
      <c r="J555" s="2"/>
      <c r="K555" s="2"/>
      <c r="L555" s="2"/>
    </row>
    <row r="556" spans="1:12" ht="30" customHeight="1" x14ac:dyDescent="0.35">
      <c r="A556" t="s">
        <v>1179</v>
      </c>
      <c r="B556" t="s">
        <v>1180</v>
      </c>
      <c r="C556" t="s">
        <v>19</v>
      </c>
      <c r="D556" t="s">
        <v>18</v>
      </c>
      <c r="E556" s="2">
        <v>646116.48</v>
      </c>
      <c r="F556" s="2">
        <v>0</v>
      </c>
      <c r="G556" s="2"/>
      <c r="H556" s="8">
        <f t="shared" si="16"/>
        <v>0</v>
      </c>
      <c r="I556" s="10" t="e">
        <f t="shared" si="17"/>
        <v>#DIV/0!</v>
      </c>
      <c r="J556" s="2"/>
      <c r="K556" s="2"/>
      <c r="L556" s="2"/>
    </row>
    <row r="557" spans="1:12" ht="30" customHeight="1" x14ac:dyDescent="0.35">
      <c r="A557" t="s">
        <v>1181</v>
      </c>
      <c r="B557" t="s">
        <v>1182</v>
      </c>
      <c r="C557" t="s">
        <v>77</v>
      </c>
      <c r="D557" t="s">
        <v>76</v>
      </c>
      <c r="E557" s="2">
        <v>305444.43</v>
      </c>
      <c r="F557" s="2"/>
      <c r="G557" s="2"/>
      <c r="H557" s="8" t="str">
        <f t="shared" si="16"/>
        <v/>
      </c>
      <c r="I557" s="10" t="str">
        <f t="shared" si="17"/>
        <v/>
      </c>
      <c r="J557" s="2"/>
      <c r="K557" s="2"/>
      <c r="L557" s="2"/>
    </row>
    <row r="558" spans="1:12" ht="30" customHeight="1" x14ac:dyDescent="0.35">
      <c r="A558" t="s">
        <v>1183</v>
      </c>
      <c r="B558" t="s">
        <v>1184</v>
      </c>
      <c r="C558" t="s">
        <v>109</v>
      </c>
      <c r="D558" t="s">
        <v>108</v>
      </c>
      <c r="E558" s="2">
        <v>1075250.1299999999</v>
      </c>
      <c r="F558" s="2"/>
      <c r="G558" s="2"/>
      <c r="H558" s="8" t="str">
        <f t="shared" si="16"/>
        <v/>
      </c>
      <c r="I558" s="10" t="str">
        <f t="shared" si="17"/>
        <v/>
      </c>
      <c r="J558" s="2"/>
      <c r="K558" s="2"/>
      <c r="L558" s="2"/>
    </row>
    <row r="559" spans="1:12" ht="30" customHeight="1" x14ac:dyDescent="0.35">
      <c r="A559" t="s">
        <v>1185</v>
      </c>
      <c r="B559" t="s">
        <v>1186</v>
      </c>
      <c r="C559" t="s">
        <v>457</v>
      </c>
      <c r="D559" t="s">
        <v>456</v>
      </c>
      <c r="E559" s="2">
        <v>992194.82</v>
      </c>
      <c r="F559" s="2">
        <v>417205.3</v>
      </c>
      <c r="G559" s="2">
        <v>50000</v>
      </c>
      <c r="H559" s="8">
        <f t="shared" si="16"/>
        <v>467205.3</v>
      </c>
      <c r="I559" s="10">
        <f t="shared" si="17"/>
        <v>2.1236805746852614</v>
      </c>
      <c r="J559" s="2"/>
      <c r="K559" s="2"/>
      <c r="L559" s="2"/>
    </row>
    <row r="560" spans="1:12" ht="30" customHeight="1" x14ac:dyDescent="0.35">
      <c r="A560" t="s">
        <v>1187</v>
      </c>
      <c r="B560" t="s">
        <v>1188</v>
      </c>
      <c r="C560" t="s">
        <v>67</v>
      </c>
      <c r="D560" t="s">
        <v>66</v>
      </c>
      <c r="E560" s="2">
        <v>50780.37</v>
      </c>
      <c r="F560" s="2"/>
      <c r="G560" s="2"/>
      <c r="H560" s="8" t="str">
        <f t="shared" si="16"/>
        <v/>
      </c>
      <c r="I560" s="10" t="str">
        <f t="shared" si="17"/>
        <v/>
      </c>
      <c r="J560" s="2"/>
      <c r="K560" s="2"/>
      <c r="L560" s="2"/>
    </row>
    <row r="561" spans="1:12" ht="30" customHeight="1" x14ac:dyDescent="0.35">
      <c r="A561" t="s">
        <v>1189</v>
      </c>
      <c r="B561" t="s">
        <v>1190</v>
      </c>
      <c r="C561" t="s">
        <v>15</v>
      </c>
      <c r="D561" t="s">
        <v>14</v>
      </c>
      <c r="E561" s="2">
        <v>255166.98</v>
      </c>
      <c r="F561" s="2">
        <v>2649082.59</v>
      </c>
      <c r="G561" s="2">
        <v>172400.66</v>
      </c>
      <c r="H561" s="8">
        <f t="shared" si="16"/>
        <v>2821483.25</v>
      </c>
      <c r="I561" s="10">
        <f t="shared" si="17"/>
        <v>9.0437176970658964E-2</v>
      </c>
      <c r="J561" s="2"/>
      <c r="K561" s="2"/>
      <c r="L561" s="2"/>
    </row>
    <row r="562" spans="1:12" ht="30" customHeight="1" x14ac:dyDescent="0.35">
      <c r="A562" t="s">
        <v>1191</v>
      </c>
      <c r="B562" t="s">
        <v>1192</v>
      </c>
      <c r="C562" t="s">
        <v>57</v>
      </c>
      <c r="D562" t="s">
        <v>56</v>
      </c>
      <c r="E562" s="2">
        <v>450207.26</v>
      </c>
      <c r="F562" s="2"/>
      <c r="G562" s="2"/>
      <c r="H562" s="8" t="str">
        <f t="shared" si="16"/>
        <v/>
      </c>
      <c r="I562" s="10" t="str">
        <f t="shared" si="17"/>
        <v/>
      </c>
      <c r="J562" s="2"/>
      <c r="K562" s="2"/>
      <c r="L562" s="2"/>
    </row>
    <row r="563" spans="1:12" ht="30" customHeight="1" x14ac:dyDescent="0.35">
      <c r="A563" t="s">
        <v>1193</v>
      </c>
      <c r="B563" t="s">
        <v>1194</v>
      </c>
      <c r="C563" t="s">
        <v>109</v>
      </c>
      <c r="D563" t="s">
        <v>108</v>
      </c>
      <c r="E563" s="2">
        <v>98861.1</v>
      </c>
      <c r="F563" s="2"/>
      <c r="G563" s="2"/>
      <c r="H563" s="8" t="str">
        <f t="shared" si="16"/>
        <v/>
      </c>
      <c r="I563" s="10" t="str">
        <f t="shared" si="17"/>
        <v/>
      </c>
      <c r="J563" s="2"/>
      <c r="K563" s="2"/>
      <c r="L563" s="2"/>
    </row>
    <row r="564" spans="1:12" ht="30" customHeight="1" x14ac:dyDescent="0.35">
      <c r="A564" t="s">
        <v>1195</v>
      </c>
      <c r="B564" t="s">
        <v>1196</v>
      </c>
      <c r="C564" t="s">
        <v>19</v>
      </c>
      <c r="D564" t="s">
        <v>18</v>
      </c>
      <c r="E564" s="2">
        <v>58388.08</v>
      </c>
      <c r="F564" s="2">
        <v>74895.13</v>
      </c>
      <c r="G564" s="2">
        <v>175104.87</v>
      </c>
      <c r="H564" s="8">
        <f t="shared" si="16"/>
        <v>250000</v>
      </c>
      <c r="I564" s="10">
        <f t="shared" si="17"/>
        <v>0.23355232000000001</v>
      </c>
      <c r="J564" s="2"/>
      <c r="K564" s="2"/>
      <c r="L564" s="2"/>
    </row>
    <row r="565" spans="1:12" ht="30" customHeight="1" x14ac:dyDescent="0.35">
      <c r="A565" t="s">
        <v>1197</v>
      </c>
      <c r="B565" t="s">
        <v>1198</v>
      </c>
      <c r="C565" t="s">
        <v>385</v>
      </c>
      <c r="D565" t="s">
        <v>384</v>
      </c>
      <c r="E565" s="2">
        <v>28826.39</v>
      </c>
      <c r="F565" s="2"/>
      <c r="G565" s="2"/>
      <c r="H565" s="8" t="str">
        <f t="shared" si="16"/>
        <v/>
      </c>
      <c r="I565" s="10" t="str">
        <f t="shared" si="17"/>
        <v/>
      </c>
      <c r="J565" s="2"/>
      <c r="K565" s="2"/>
      <c r="L565" s="2"/>
    </row>
    <row r="566" spans="1:12" ht="30" customHeight="1" x14ac:dyDescent="0.35">
      <c r="A566" t="s">
        <v>1199</v>
      </c>
      <c r="B566" t="s">
        <v>1200</v>
      </c>
      <c r="C566" t="s">
        <v>33</v>
      </c>
      <c r="D566" t="s">
        <v>32</v>
      </c>
      <c r="E566" s="2">
        <v>9840.6</v>
      </c>
      <c r="F566" s="2"/>
      <c r="G566" s="2"/>
      <c r="H566" s="8" t="str">
        <f t="shared" ref="H566:H629" si="18">IF(ISBLANK(F566), "",(F566+G566))</f>
        <v/>
      </c>
      <c r="I566" s="10" t="str">
        <f t="shared" ref="I566:I629" si="19">IF(ISBLANK(F566), "", E566/H566)</f>
        <v/>
      </c>
      <c r="J566" s="2"/>
      <c r="K566" s="2"/>
      <c r="L566" s="2"/>
    </row>
    <row r="567" spans="1:12" ht="30" customHeight="1" x14ac:dyDescent="0.35">
      <c r="A567" t="s">
        <v>1201</v>
      </c>
      <c r="B567" t="s">
        <v>1202</v>
      </c>
      <c r="C567" t="s">
        <v>457</v>
      </c>
      <c r="D567" t="s">
        <v>456</v>
      </c>
      <c r="E567" s="2">
        <v>7517459.5899999999</v>
      </c>
      <c r="F567" s="2">
        <v>3527183.76</v>
      </c>
      <c r="G567" s="2">
        <v>2250000</v>
      </c>
      <c r="H567" s="8">
        <f t="shared" si="18"/>
        <v>5777183.7599999998</v>
      </c>
      <c r="I567" s="10">
        <f t="shared" si="19"/>
        <v>1.3012325559123292</v>
      </c>
      <c r="J567" s="2"/>
      <c r="K567" s="2"/>
      <c r="L567" s="2"/>
    </row>
    <row r="568" spans="1:12" ht="30" customHeight="1" x14ac:dyDescent="0.35">
      <c r="A568" t="s">
        <v>1203</v>
      </c>
      <c r="B568" t="s">
        <v>1204</v>
      </c>
      <c r="C568" t="s">
        <v>385</v>
      </c>
      <c r="D568" t="s">
        <v>384</v>
      </c>
      <c r="E568" s="2">
        <v>131411.25</v>
      </c>
      <c r="F568" s="2"/>
      <c r="G568" s="2"/>
      <c r="H568" s="8" t="str">
        <f t="shared" si="18"/>
        <v/>
      </c>
      <c r="I568" s="10" t="str">
        <f t="shared" si="19"/>
        <v/>
      </c>
      <c r="J568" s="2"/>
      <c r="K568" s="2"/>
      <c r="L568" s="2"/>
    </row>
    <row r="569" spans="1:12" ht="30" customHeight="1" x14ac:dyDescent="0.35">
      <c r="A569" t="s">
        <v>1205</v>
      </c>
      <c r="B569" t="s">
        <v>1206</v>
      </c>
      <c r="C569" t="s">
        <v>101</v>
      </c>
      <c r="D569" t="s">
        <v>100</v>
      </c>
      <c r="E569" s="2">
        <v>128738.99</v>
      </c>
      <c r="F569" s="2">
        <v>1160641.3700000001</v>
      </c>
      <c r="G569" s="2"/>
      <c r="H569" s="8">
        <f t="shared" si="18"/>
        <v>1160641.3700000001</v>
      </c>
      <c r="I569" s="10">
        <f t="shared" si="19"/>
        <v>0.11092055938002623</v>
      </c>
      <c r="J569" s="2"/>
      <c r="K569" s="2"/>
      <c r="L569" s="2"/>
    </row>
    <row r="570" spans="1:12" ht="30" customHeight="1" x14ac:dyDescent="0.35">
      <c r="A570" t="s">
        <v>1207</v>
      </c>
      <c r="B570" t="s">
        <v>1208</v>
      </c>
      <c r="C570" t="s">
        <v>259</v>
      </c>
      <c r="D570" t="s">
        <v>258</v>
      </c>
      <c r="E570" s="2">
        <v>214887.23</v>
      </c>
      <c r="F570" s="2">
        <v>0</v>
      </c>
      <c r="G570" s="2">
        <v>500000</v>
      </c>
      <c r="H570" s="8">
        <f t="shared" si="18"/>
        <v>500000</v>
      </c>
      <c r="I570" s="10">
        <f t="shared" si="19"/>
        <v>0.42977446000000002</v>
      </c>
      <c r="J570" s="2"/>
      <c r="K570" s="2"/>
      <c r="L570" s="2"/>
    </row>
    <row r="571" spans="1:12" ht="30" customHeight="1" x14ac:dyDescent="0.35">
      <c r="A571" t="s">
        <v>1209</v>
      </c>
      <c r="B571" t="s">
        <v>1210</v>
      </c>
      <c r="C571" t="s">
        <v>29</v>
      </c>
      <c r="D571" t="s">
        <v>28</v>
      </c>
      <c r="E571" s="2">
        <v>375236.05</v>
      </c>
      <c r="F571" s="2"/>
      <c r="G571" s="2"/>
      <c r="H571" s="8" t="str">
        <f t="shared" si="18"/>
        <v/>
      </c>
      <c r="I571" s="10" t="str">
        <f t="shared" si="19"/>
        <v/>
      </c>
      <c r="J571" s="2"/>
      <c r="K571" s="2"/>
      <c r="L571" s="2"/>
    </row>
    <row r="572" spans="1:12" ht="30" customHeight="1" x14ac:dyDescent="0.35">
      <c r="A572" t="s">
        <v>1211</v>
      </c>
      <c r="B572" t="s">
        <v>1212</v>
      </c>
      <c r="C572" t="s">
        <v>33</v>
      </c>
      <c r="D572" t="s">
        <v>32</v>
      </c>
      <c r="E572" s="2">
        <v>60742.97</v>
      </c>
      <c r="F572" s="2"/>
      <c r="G572" s="2"/>
      <c r="H572" s="8" t="str">
        <f t="shared" si="18"/>
        <v/>
      </c>
      <c r="I572" s="10" t="str">
        <f t="shared" si="19"/>
        <v/>
      </c>
      <c r="J572" s="2"/>
      <c r="K572" s="2"/>
      <c r="L572" s="2"/>
    </row>
    <row r="573" spans="1:12" ht="30" customHeight="1" x14ac:dyDescent="0.35">
      <c r="A573" t="s">
        <v>1213</v>
      </c>
      <c r="B573" t="s">
        <v>1214</v>
      </c>
      <c r="C573" t="s">
        <v>465</v>
      </c>
      <c r="D573" t="s">
        <v>464</v>
      </c>
      <c r="E573" s="2">
        <v>104391.09</v>
      </c>
      <c r="F573" s="2">
        <v>756418.47</v>
      </c>
      <c r="G573" s="2"/>
      <c r="H573" s="8">
        <f t="shared" si="18"/>
        <v>756418.47</v>
      </c>
      <c r="I573" s="10">
        <f t="shared" si="19"/>
        <v>0.13800706109146171</v>
      </c>
      <c r="J573" s="2"/>
      <c r="K573" s="2"/>
      <c r="L573" s="2"/>
    </row>
    <row r="574" spans="1:12" ht="30" customHeight="1" x14ac:dyDescent="0.35">
      <c r="A574" t="s">
        <v>1215</v>
      </c>
      <c r="B574" t="s">
        <v>1216</v>
      </c>
      <c r="C574" t="s">
        <v>19</v>
      </c>
      <c r="D574" t="s">
        <v>18</v>
      </c>
      <c r="E574" s="2">
        <v>1166.1300000000001</v>
      </c>
      <c r="F574" s="2">
        <v>0</v>
      </c>
      <c r="G574" s="2">
        <v>500</v>
      </c>
      <c r="H574" s="8">
        <f t="shared" si="18"/>
        <v>500</v>
      </c>
      <c r="I574" s="10">
        <f t="shared" si="19"/>
        <v>2.3322600000000002</v>
      </c>
      <c r="J574" s="2"/>
      <c r="K574" s="2"/>
      <c r="L574" s="2"/>
    </row>
    <row r="575" spans="1:12" ht="30" customHeight="1" x14ac:dyDescent="0.35">
      <c r="A575" t="s">
        <v>1217</v>
      </c>
      <c r="B575" t="s">
        <v>1218</v>
      </c>
      <c r="C575" t="s">
        <v>57</v>
      </c>
      <c r="D575" t="s">
        <v>56</v>
      </c>
      <c r="E575" s="2">
        <v>270708.44</v>
      </c>
      <c r="F575" s="2"/>
      <c r="G575" s="2"/>
      <c r="H575" s="8" t="str">
        <f t="shared" si="18"/>
        <v/>
      </c>
      <c r="I575" s="10" t="str">
        <f t="shared" si="19"/>
        <v/>
      </c>
      <c r="J575" s="2"/>
      <c r="K575" s="2"/>
      <c r="L575" s="2"/>
    </row>
    <row r="576" spans="1:12" ht="30" customHeight="1" x14ac:dyDescent="0.35">
      <c r="A576" t="s">
        <v>1219</v>
      </c>
      <c r="B576" t="s">
        <v>1220</v>
      </c>
      <c r="C576" t="s">
        <v>29</v>
      </c>
      <c r="D576" t="s">
        <v>28</v>
      </c>
      <c r="E576" s="2">
        <v>1204455.1499999999</v>
      </c>
      <c r="F576" s="2"/>
      <c r="G576" s="2"/>
      <c r="H576" s="8" t="str">
        <f t="shared" si="18"/>
        <v/>
      </c>
      <c r="I576" s="10" t="str">
        <f t="shared" si="19"/>
        <v/>
      </c>
      <c r="J576" s="2"/>
      <c r="K576" s="2"/>
      <c r="L576" s="2"/>
    </row>
    <row r="577" spans="1:12" ht="30" customHeight="1" x14ac:dyDescent="0.35">
      <c r="A577" t="s">
        <v>1221</v>
      </c>
      <c r="B577" t="s">
        <v>1222</v>
      </c>
      <c r="C577" t="s">
        <v>29</v>
      </c>
      <c r="D577" t="s">
        <v>28</v>
      </c>
      <c r="E577" s="2">
        <v>82170.210000000006</v>
      </c>
      <c r="F577" s="2"/>
      <c r="G577" s="2"/>
      <c r="H577" s="8" t="str">
        <f t="shared" si="18"/>
        <v/>
      </c>
      <c r="I577" s="10" t="str">
        <f t="shared" si="19"/>
        <v/>
      </c>
      <c r="J577" s="2"/>
      <c r="K577" s="2"/>
      <c r="L577" s="2"/>
    </row>
    <row r="578" spans="1:12" ht="30" customHeight="1" x14ac:dyDescent="0.35">
      <c r="A578" t="s">
        <v>1223</v>
      </c>
      <c r="B578" t="s">
        <v>1224</v>
      </c>
      <c r="C578" t="s">
        <v>57</v>
      </c>
      <c r="D578" t="s">
        <v>56</v>
      </c>
      <c r="E578" s="2">
        <v>55682.89</v>
      </c>
      <c r="F578" s="2"/>
      <c r="G578" s="2"/>
      <c r="H578" s="8" t="str">
        <f t="shared" si="18"/>
        <v/>
      </c>
      <c r="I578" s="10" t="str">
        <f t="shared" si="19"/>
        <v/>
      </c>
      <c r="J578" s="2"/>
      <c r="K578" s="2"/>
      <c r="L578" s="2"/>
    </row>
    <row r="579" spans="1:12" ht="30" customHeight="1" x14ac:dyDescent="0.35">
      <c r="A579" t="s">
        <v>1225</v>
      </c>
      <c r="B579" t="s">
        <v>1226</v>
      </c>
      <c r="C579" t="s">
        <v>33</v>
      </c>
      <c r="D579" t="s">
        <v>32</v>
      </c>
      <c r="E579" s="2">
        <v>206508.21</v>
      </c>
      <c r="F579" s="2"/>
      <c r="G579" s="2"/>
      <c r="H579" s="8" t="str">
        <f t="shared" si="18"/>
        <v/>
      </c>
      <c r="I579" s="10" t="str">
        <f t="shared" si="19"/>
        <v/>
      </c>
      <c r="J579" s="2"/>
      <c r="K579" s="2"/>
      <c r="L579" s="2"/>
    </row>
    <row r="580" spans="1:12" ht="30" customHeight="1" x14ac:dyDescent="0.35">
      <c r="A580" t="s">
        <v>1227</v>
      </c>
      <c r="B580" t="s">
        <v>1228</v>
      </c>
      <c r="C580" t="s">
        <v>51</v>
      </c>
      <c r="D580" t="s">
        <v>50</v>
      </c>
      <c r="E580" s="2">
        <v>106097.05</v>
      </c>
      <c r="F580" s="2"/>
      <c r="G580" s="2"/>
      <c r="H580" s="8" t="str">
        <f t="shared" si="18"/>
        <v/>
      </c>
      <c r="I580" s="10" t="str">
        <f t="shared" si="19"/>
        <v/>
      </c>
      <c r="J580" s="2"/>
      <c r="K580" s="2"/>
      <c r="L580" s="2"/>
    </row>
    <row r="581" spans="1:12" ht="30" customHeight="1" x14ac:dyDescent="0.35">
      <c r="A581" t="s">
        <v>1229</v>
      </c>
      <c r="B581" t="s">
        <v>1230</v>
      </c>
      <c r="C581" t="s">
        <v>29</v>
      </c>
      <c r="D581" t="s">
        <v>28</v>
      </c>
      <c r="E581" s="2">
        <v>16123.17</v>
      </c>
      <c r="F581" s="2"/>
      <c r="G581" s="2"/>
      <c r="H581" s="8" t="str">
        <f t="shared" si="18"/>
        <v/>
      </c>
      <c r="I581" s="10" t="str">
        <f t="shared" si="19"/>
        <v/>
      </c>
      <c r="J581" s="2"/>
      <c r="K581" s="2"/>
      <c r="L581" s="2"/>
    </row>
    <row r="582" spans="1:12" ht="30" customHeight="1" x14ac:dyDescent="0.35">
      <c r="A582" t="s">
        <v>1231</v>
      </c>
      <c r="B582" t="s">
        <v>1232</v>
      </c>
      <c r="C582" t="s">
        <v>29</v>
      </c>
      <c r="D582" t="s">
        <v>28</v>
      </c>
      <c r="E582" s="2">
        <v>7734.75</v>
      </c>
      <c r="F582" s="2"/>
      <c r="G582" s="2"/>
      <c r="H582" s="8" t="str">
        <f t="shared" si="18"/>
        <v/>
      </c>
      <c r="I582" s="10" t="str">
        <f t="shared" si="19"/>
        <v/>
      </c>
      <c r="J582" s="2"/>
      <c r="K582" s="2"/>
      <c r="L582" s="2"/>
    </row>
    <row r="583" spans="1:12" ht="30" customHeight="1" x14ac:dyDescent="0.35">
      <c r="A583" t="s">
        <v>1233</v>
      </c>
      <c r="B583" t="s">
        <v>1234</v>
      </c>
      <c r="C583" t="s">
        <v>51</v>
      </c>
      <c r="D583" t="s">
        <v>50</v>
      </c>
      <c r="E583" s="2">
        <v>852745.76</v>
      </c>
      <c r="F583" s="2"/>
      <c r="G583" s="2"/>
      <c r="H583" s="8" t="str">
        <f t="shared" si="18"/>
        <v/>
      </c>
      <c r="I583" s="10" t="str">
        <f t="shared" si="19"/>
        <v/>
      </c>
      <c r="J583" s="2"/>
      <c r="K583" s="2"/>
      <c r="L583" s="2"/>
    </row>
    <row r="584" spans="1:12" ht="30" customHeight="1" x14ac:dyDescent="0.35">
      <c r="A584" t="s">
        <v>40</v>
      </c>
      <c r="B584" t="s">
        <v>1235</v>
      </c>
      <c r="C584" t="s">
        <v>465</v>
      </c>
      <c r="D584" t="s">
        <v>464</v>
      </c>
      <c r="E584" s="2">
        <v>77720.33</v>
      </c>
      <c r="F584" s="2">
        <v>7739555.0899999999</v>
      </c>
      <c r="G584" s="2">
        <v>4599556</v>
      </c>
      <c r="H584" s="8">
        <f t="shared" si="18"/>
        <v>12339111.09</v>
      </c>
      <c r="I584" s="10">
        <f t="shared" si="19"/>
        <v>6.2986976479194661E-3</v>
      </c>
      <c r="J584" s="2"/>
      <c r="K584" s="2"/>
      <c r="L584" s="2"/>
    </row>
    <row r="585" spans="1:12" ht="30" customHeight="1" x14ac:dyDescent="0.35">
      <c r="A585" t="s">
        <v>1236</v>
      </c>
      <c r="B585" t="s">
        <v>1237</v>
      </c>
      <c r="C585" t="s">
        <v>19</v>
      </c>
      <c r="D585" t="s">
        <v>18</v>
      </c>
      <c r="E585" s="2">
        <v>117657.77</v>
      </c>
      <c r="F585" s="2"/>
      <c r="G585" s="2"/>
      <c r="H585" s="8" t="str">
        <f t="shared" si="18"/>
        <v/>
      </c>
      <c r="I585" s="10" t="str">
        <f t="shared" si="19"/>
        <v/>
      </c>
      <c r="J585" s="2"/>
      <c r="K585" s="2"/>
      <c r="L585" s="2"/>
    </row>
    <row r="586" spans="1:12" ht="30" customHeight="1" x14ac:dyDescent="0.35">
      <c r="A586" t="s">
        <v>1238</v>
      </c>
      <c r="B586" t="s">
        <v>1239</v>
      </c>
      <c r="C586" t="s">
        <v>33</v>
      </c>
      <c r="D586" t="s">
        <v>32</v>
      </c>
      <c r="E586" s="2"/>
      <c r="F586" s="2">
        <v>0</v>
      </c>
      <c r="G586" s="2"/>
      <c r="H586" s="8">
        <f t="shared" si="18"/>
        <v>0</v>
      </c>
      <c r="I586" s="10" t="e">
        <f t="shared" si="19"/>
        <v>#DIV/0!</v>
      </c>
      <c r="J586" s="2"/>
      <c r="K586" s="2"/>
      <c r="L586" s="2"/>
    </row>
    <row r="587" spans="1:12" ht="30" customHeight="1" x14ac:dyDescent="0.35">
      <c r="A587" t="s">
        <v>1240</v>
      </c>
      <c r="B587" t="s">
        <v>1241</v>
      </c>
      <c r="C587" t="s">
        <v>57</v>
      </c>
      <c r="D587" t="s">
        <v>56</v>
      </c>
      <c r="E587" s="2">
        <v>87719.31</v>
      </c>
      <c r="F587" s="2"/>
      <c r="G587" s="2"/>
      <c r="H587" s="8" t="str">
        <f t="shared" si="18"/>
        <v/>
      </c>
      <c r="I587" s="10" t="str">
        <f t="shared" si="19"/>
        <v/>
      </c>
      <c r="J587" s="2"/>
      <c r="K587" s="2"/>
      <c r="L587" s="2"/>
    </row>
    <row r="588" spans="1:12" ht="30" customHeight="1" x14ac:dyDescent="0.35">
      <c r="A588" t="s">
        <v>1242</v>
      </c>
      <c r="B588" t="s">
        <v>1243</v>
      </c>
      <c r="C588" t="s">
        <v>101</v>
      </c>
      <c r="D588" t="s">
        <v>100</v>
      </c>
      <c r="E588" s="2">
        <v>86673.41</v>
      </c>
      <c r="F588" s="2">
        <v>829076.41</v>
      </c>
      <c r="G588" s="2"/>
      <c r="H588" s="8">
        <f t="shared" si="18"/>
        <v>829076.41</v>
      </c>
      <c r="I588" s="10">
        <f t="shared" si="19"/>
        <v>0.10454212537539212</v>
      </c>
      <c r="J588" s="2"/>
      <c r="K588" s="2"/>
      <c r="L588" s="2"/>
    </row>
    <row r="589" spans="1:12" ht="30" customHeight="1" x14ac:dyDescent="0.35">
      <c r="A589" t="s">
        <v>540</v>
      </c>
      <c r="B589" t="s">
        <v>1244</v>
      </c>
      <c r="C589" t="s">
        <v>213</v>
      </c>
      <c r="D589" t="s">
        <v>212</v>
      </c>
      <c r="E589" s="2">
        <v>28658.03</v>
      </c>
      <c r="F589" s="2">
        <v>594764.34</v>
      </c>
      <c r="G589" s="2"/>
      <c r="H589" s="8">
        <f t="shared" si="18"/>
        <v>594764.34</v>
      </c>
      <c r="I589" s="10">
        <f t="shared" si="19"/>
        <v>4.8183840342546427E-2</v>
      </c>
      <c r="J589" s="2"/>
      <c r="K589" s="2"/>
      <c r="L589" s="2"/>
    </row>
    <row r="590" spans="1:12" ht="30" customHeight="1" x14ac:dyDescent="0.35">
      <c r="A590" t="s">
        <v>1245</v>
      </c>
      <c r="B590" t="s">
        <v>1246</v>
      </c>
      <c r="C590" t="s">
        <v>19</v>
      </c>
      <c r="D590" t="s">
        <v>18</v>
      </c>
      <c r="E590" s="2">
        <v>28107.5</v>
      </c>
      <c r="F590" s="2"/>
      <c r="G590" s="2"/>
      <c r="H590" s="8" t="str">
        <f t="shared" si="18"/>
        <v/>
      </c>
      <c r="I590" s="10" t="str">
        <f t="shared" si="19"/>
        <v/>
      </c>
      <c r="J590" s="2"/>
      <c r="K590" s="2"/>
      <c r="L590" s="2"/>
    </row>
    <row r="591" spans="1:12" ht="30" customHeight="1" x14ac:dyDescent="0.35">
      <c r="A591" t="s">
        <v>1247</v>
      </c>
      <c r="B591" t="s">
        <v>1248</v>
      </c>
      <c r="C591" t="s">
        <v>19</v>
      </c>
      <c r="D591" t="s">
        <v>18</v>
      </c>
      <c r="E591" s="2">
        <v>660.73</v>
      </c>
      <c r="F591" s="2"/>
      <c r="G591" s="2"/>
      <c r="H591" s="8" t="str">
        <f t="shared" si="18"/>
        <v/>
      </c>
      <c r="I591" s="10" t="str">
        <f t="shared" si="19"/>
        <v/>
      </c>
      <c r="J591" s="2"/>
      <c r="K591" s="2"/>
      <c r="L591" s="2"/>
    </row>
    <row r="592" spans="1:12" ht="30" customHeight="1" x14ac:dyDescent="0.35">
      <c r="A592" t="s">
        <v>1249</v>
      </c>
      <c r="B592" t="s">
        <v>1250</v>
      </c>
      <c r="C592" t="s">
        <v>51</v>
      </c>
      <c r="D592" t="s">
        <v>50</v>
      </c>
      <c r="E592" s="2"/>
      <c r="F592" s="2">
        <v>15802.36</v>
      </c>
      <c r="G592" s="2"/>
      <c r="H592" s="8">
        <f t="shared" si="18"/>
        <v>15802.36</v>
      </c>
      <c r="I592" s="10">
        <f t="shared" si="19"/>
        <v>0</v>
      </c>
      <c r="J592" s="2"/>
      <c r="K592" s="2"/>
      <c r="L592" s="2"/>
    </row>
    <row r="593" spans="1:12" ht="30" customHeight="1" x14ac:dyDescent="0.35">
      <c r="A593" t="s">
        <v>1251</v>
      </c>
      <c r="B593" t="s">
        <v>1252</v>
      </c>
      <c r="C593" t="s">
        <v>29</v>
      </c>
      <c r="D593" t="s">
        <v>28</v>
      </c>
      <c r="E593" s="2">
        <v>31717.119999999999</v>
      </c>
      <c r="F593" s="2"/>
      <c r="G593" s="2"/>
      <c r="H593" s="8" t="str">
        <f t="shared" si="18"/>
        <v/>
      </c>
      <c r="I593" s="10" t="str">
        <f t="shared" si="19"/>
        <v/>
      </c>
      <c r="J593" s="2"/>
      <c r="K593" s="2"/>
      <c r="L593" s="2"/>
    </row>
    <row r="594" spans="1:12" ht="30" customHeight="1" x14ac:dyDescent="0.35">
      <c r="A594" t="s">
        <v>108</v>
      </c>
      <c r="B594" t="s">
        <v>1253</v>
      </c>
      <c r="C594" t="s">
        <v>51</v>
      </c>
      <c r="D594" t="s">
        <v>50</v>
      </c>
      <c r="E594" s="2"/>
      <c r="F594" s="2">
        <v>0</v>
      </c>
      <c r="G594" s="2"/>
      <c r="H594" s="8">
        <f t="shared" si="18"/>
        <v>0</v>
      </c>
      <c r="I594" s="10" t="e">
        <f t="shared" si="19"/>
        <v>#DIV/0!</v>
      </c>
      <c r="J594" s="2"/>
      <c r="K594" s="2"/>
      <c r="L594" s="2"/>
    </row>
    <row r="595" spans="1:12" ht="30" customHeight="1" x14ac:dyDescent="0.35">
      <c r="A595" t="s">
        <v>1254</v>
      </c>
      <c r="B595" t="s">
        <v>1255</v>
      </c>
      <c r="C595" t="s">
        <v>253</v>
      </c>
      <c r="D595" t="s">
        <v>252</v>
      </c>
      <c r="E595" s="2">
        <v>54032.9</v>
      </c>
      <c r="F595" s="2">
        <v>1391242.29</v>
      </c>
      <c r="G595" s="2"/>
      <c r="H595" s="8">
        <f t="shared" si="18"/>
        <v>1391242.29</v>
      </c>
      <c r="I595" s="10">
        <f t="shared" si="19"/>
        <v>3.8837879202191304E-2</v>
      </c>
      <c r="J595" s="2"/>
      <c r="K595" s="2"/>
      <c r="L595" s="2"/>
    </row>
    <row r="596" spans="1:12" ht="30" customHeight="1" x14ac:dyDescent="0.35">
      <c r="A596" t="s">
        <v>1256</v>
      </c>
      <c r="B596" t="s">
        <v>1257</v>
      </c>
      <c r="C596" t="s">
        <v>57</v>
      </c>
      <c r="D596" t="s">
        <v>56</v>
      </c>
      <c r="E596" s="2">
        <v>152794.01999999999</v>
      </c>
      <c r="F596" s="2">
        <v>7591.76</v>
      </c>
      <c r="G596" s="2"/>
      <c r="H596" s="8">
        <f t="shared" si="18"/>
        <v>7591.76</v>
      </c>
      <c r="I596" s="10">
        <f t="shared" si="19"/>
        <v>20.126297459350663</v>
      </c>
      <c r="J596" s="2"/>
      <c r="K596" s="2"/>
      <c r="L596" s="2"/>
    </row>
    <row r="597" spans="1:12" ht="30" customHeight="1" x14ac:dyDescent="0.35">
      <c r="A597" t="s">
        <v>1258</v>
      </c>
      <c r="B597" t="s">
        <v>1259</v>
      </c>
      <c r="C597" t="s">
        <v>41</v>
      </c>
      <c r="D597" t="s">
        <v>40</v>
      </c>
      <c r="E597" s="2">
        <v>87325.82</v>
      </c>
      <c r="F597" s="2">
        <v>430640.15</v>
      </c>
      <c r="G597" s="2"/>
      <c r="H597" s="8">
        <f t="shared" si="18"/>
        <v>430640.15</v>
      </c>
      <c r="I597" s="10">
        <f t="shared" si="19"/>
        <v>0.20278141738525773</v>
      </c>
      <c r="J597" s="2"/>
      <c r="K597" s="2"/>
      <c r="L597" s="2"/>
    </row>
    <row r="598" spans="1:12" ht="30" customHeight="1" x14ac:dyDescent="0.35">
      <c r="A598" t="s">
        <v>1260</v>
      </c>
      <c r="B598" t="s">
        <v>1261</v>
      </c>
      <c r="C598" t="s">
        <v>51</v>
      </c>
      <c r="D598" t="s">
        <v>50</v>
      </c>
      <c r="E598" s="2">
        <v>971801.59999999998</v>
      </c>
      <c r="F598" s="2">
        <v>0</v>
      </c>
      <c r="G598" s="2">
        <v>2000</v>
      </c>
      <c r="H598" s="8">
        <f t="shared" si="18"/>
        <v>2000</v>
      </c>
      <c r="I598" s="10">
        <f t="shared" si="19"/>
        <v>485.9008</v>
      </c>
      <c r="J598" s="2"/>
      <c r="K598" s="2"/>
      <c r="L598" s="2"/>
    </row>
    <row r="599" spans="1:12" ht="30" customHeight="1" x14ac:dyDescent="0.35">
      <c r="A599" t="s">
        <v>1262</v>
      </c>
      <c r="B599" t="s">
        <v>1263</v>
      </c>
      <c r="C599" t="s">
        <v>213</v>
      </c>
      <c r="D599" t="s">
        <v>212</v>
      </c>
      <c r="E599" s="2">
        <v>13251.09</v>
      </c>
      <c r="F599" s="2">
        <v>349746.31</v>
      </c>
      <c r="G599" s="2"/>
      <c r="H599" s="8">
        <f t="shared" si="18"/>
        <v>349746.31</v>
      </c>
      <c r="I599" s="10">
        <f t="shared" si="19"/>
        <v>3.7887719244271659E-2</v>
      </c>
      <c r="J599" s="2"/>
      <c r="K599" s="2"/>
      <c r="L599" s="2"/>
    </row>
    <row r="600" spans="1:12" ht="30" customHeight="1" x14ac:dyDescent="0.35">
      <c r="A600" t="s">
        <v>1264</v>
      </c>
      <c r="B600" t="s">
        <v>1265</v>
      </c>
      <c r="C600" t="s">
        <v>213</v>
      </c>
      <c r="D600" t="s">
        <v>212</v>
      </c>
      <c r="E600" s="2">
        <v>271.47000000000003</v>
      </c>
      <c r="F600" s="2">
        <v>79719.13</v>
      </c>
      <c r="G600" s="2"/>
      <c r="H600" s="8">
        <f t="shared" si="18"/>
        <v>79719.13</v>
      </c>
      <c r="I600" s="10">
        <f t="shared" si="19"/>
        <v>3.4053306903876149E-3</v>
      </c>
      <c r="J600" s="2"/>
      <c r="K600" s="2"/>
      <c r="L600" s="2"/>
    </row>
    <row r="601" spans="1:12" ht="30" customHeight="1" x14ac:dyDescent="0.35">
      <c r="A601" t="s">
        <v>1266</v>
      </c>
      <c r="B601" t="s">
        <v>1267</v>
      </c>
      <c r="C601" t="s">
        <v>15</v>
      </c>
      <c r="D601" t="s">
        <v>14</v>
      </c>
      <c r="E601" s="2">
        <v>461200.57</v>
      </c>
      <c r="F601" s="2"/>
      <c r="G601" s="2"/>
      <c r="H601" s="8" t="str">
        <f t="shared" si="18"/>
        <v/>
      </c>
      <c r="I601" s="10" t="str">
        <f t="shared" si="19"/>
        <v/>
      </c>
      <c r="J601" s="2"/>
      <c r="K601" s="2"/>
      <c r="L601" s="2"/>
    </row>
    <row r="602" spans="1:12" ht="30" customHeight="1" x14ac:dyDescent="0.35">
      <c r="A602" t="s">
        <v>66</v>
      </c>
      <c r="B602" t="s">
        <v>1268</v>
      </c>
      <c r="C602" t="s">
        <v>101</v>
      </c>
      <c r="D602" t="s">
        <v>100</v>
      </c>
      <c r="E602" s="2">
        <v>59418.59</v>
      </c>
      <c r="F602" s="2">
        <v>374656.43</v>
      </c>
      <c r="G602" s="2">
        <v>601800</v>
      </c>
      <c r="H602" s="8">
        <f t="shared" si="18"/>
        <v>976456.42999999993</v>
      </c>
      <c r="I602" s="10">
        <f t="shared" si="19"/>
        <v>6.0851245559415283E-2</v>
      </c>
      <c r="J602" s="2"/>
      <c r="K602" s="2"/>
      <c r="L602" s="2"/>
    </row>
    <row r="603" spans="1:12" ht="30" customHeight="1" x14ac:dyDescent="0.35">
      <c r="A603" t="s">
        <v>184</v>
      </c>
      <c r="B603" t="s">
        <v>1269</v>
      </c>
      <c r="C603" t="s">
        <v>259</v>
      </c>
      <c r="D603" t="s">
        <v>258</v>
      </c>
      <c r="E603" s="2">
        <v>256015.48</v>
      </c>
      <c r="F603" s="2">
        <v>292508.28000000003</v>
      </c>
      <c r="G603" s="2">
        <v>547402.72</v>
      </c>
      <c r="H603" s="8">
        <f t="shared" si="18"/>
        <v>839911</v>
      </c>
      <c r="I603" s="10">
        <f t="shared" si="19"/>
        <v>0.30481262895711569</v>
      </c>
      <c r="J603" s="2"/>
      <c r="K603" s="2"/>
      <c r="L603" s="2"/>
    </row>
    <row r="604" spans="1:12" ht="30" customHeight="1" x14ac:dyDescent="0.35">
      <c r="A604" t="s">
        <v>1270</v>
      </c>
      <c r="B604" t="s">
        <v>1271</v>
      </c>
      <c r="C604" t="s">
        <v>67</v>
      </c>
      <c r="D604" t="s">
        <v>66</v>
      </c>
      <c r="E604" s="2">
        <v>80395.91</v>
      </c>
      <c r="F604" s="2"/>
      <c r="G604" s="2"/>
      <c r="H604" s="8" t="str">
        <f t="shared" si="18"/>
        <v/>
      </c>
      <c r="I604" s="10" t="str">
        <f t="shared" si="19"/>
        <v/>
      </c>
      <c r="J604" s="2"/>
      <c r="K604" s="2"/>
      <c r="L604" s="2"/>
    </row>
    <row r="605" spans="1:12" ht="30" customHeight="1" x14ac:dyDescent="0.35">
      <c r="A605" t="s">
        <v>2226</v>
      </c>
      <c r="B605" t="s">
        <v>2227</v>
      </c>
      <c r="C605" t="s">
        <v>213</v>
      </c>
      <c r="D605" t="s">
        <v>212</v>
      </c>
      <c r="E605" s="2">
        <v>609.87</v>
      </c>
      <c r="F605" s="2"/>
      <c r="G605" s="2"/>
      <c r="H605" s="8" t="str">
        <f t="shared" si="18"/>
        <v/>
      </c>
      <c r="I605" s="10" t="str">
        <f t="shared" si="19"/>
        <v/>
      </c>
      <c r="J605" s="2"/>
      <c r="K605" s="2"/>
      <c r="L605" s="2"/>
    </row>
    <row r="606" spans="1:12" ht="30" customHeight="1" x14ac:dyDescent="0.35">
      <c r="A606" t="s">
        <v>1272</v>
      </c>
      <c r="B606" t="s">
        <v>1273</v>
      </c>
      <c r="C606" t="s">
        <v>101</v>
      </c>
      <c r="D606" t="s">
        <v>100</v>
      </c>
      <c r="E606" s="2">
        <v>318528.7</v>
      </c>
      <c r="F606" s="2">
        <v>1474730.21</v>
      </c>
      <c r="G606" s="2"/>
      <c r="H606" s="8">
        <f t="shared" si="18"/>
        <v>1474730.21</v>
      </c>
      <c r="I606" s="10">
        <f t="shared" si="19"/>
        <v>0.21599116763194268</v>
      </c>
      <c r="J606" s="2"/>
      <c r="K606" s="2"/>
      <c r="L606" s="2"/>
    </row>
    <row r="607" spans="1:12" ht="30" customHeight="1" x14ac:dyDescent="0.35">
      <c r="A607" t="s">
        <v>619</v>
      </c>
      <c r="B607" t="s">
        <v>1274</v>
      </c>
      <c r="C607" t="s">
        <v>259</v>
      </c>
      <c r="D607" t="s">
        <v>258</v>
      </c>
      <c r="E607" s="2">
        <v>2798576.21</v>
      </c>
      <c r="F607" s="2"/>
      <c r="G607" s="2"/>
      <c r="H607" s="8" t="str">
        <f t="shared" si="18"/>
        <v/>
      </c>
      <c r="I607" s="10" t="str">
        <f t="shared" si="19"/>
        <v/>
      </c>
      <c r="J607" s="2"/>
      <c r="K607" s="2"/>
      <c r="L607" s="2"/>
    </row>
    <row r="608" spans="1:12" ht="30" customHeight="1" x14ac:dyDescent="0.35">
      <c r="A608" t="s">
        <v>1275</v>
      </c>
      <c r="B608" t="s">
        <v>1276</v>
      </c>
      <c r="C608" t="s">
        <v>67</v>
      </c>
      <c r="D608" t="s">
        <v>66</v>
      </c>
      <c r="E608" s="2">
        <v>8763.49</v>
      </c>
      <c r="F608" s="2">
        <v>47429.7</v>
      </c>
      <c r="G608" s="2"/>
      <c r="H608" s="8">
        <f t="shared" si="18"/>
        <v>47429.7</v>
      </c>
      <c r="I608" s="10">
        <f t="shared" si="19"/>
        <v>0.18476798293052665</v>
      </c>
      <c r="J608" s="2"/>
      <c r="K608" s="2"/>
      <c r="L608" s="2"/>
    </row>
    <row r="609" spans="1:12" ht="30" customHeight="1" x14ac:dyDescent="0.35">
      <c r="A609" t="s">
        <v>1277</v>
      </c>
      <c r="B609" t="s">
        <v>1278</v>
      </c>
      <c r="C609" t="s">
        <v>19</v>
      </c>
      <c r="D609" t="s">
        <v>18</v>
      </c>
      <c r="E609" s="2">
        <v>88.58</v>
      </c>
      <c r="F609" s="2">
        <v>427960.48</v>
      </c>
      <c r="G609" s="2"/>
      <c r="H609" s="8">
        <f t="shared" si="18"/>
        <v>427960.48</v>
      </c>
      <c r="I609" s="10">
        <f t="shared" si="19"/>
        <v>2.0698172878019018E-4</v>
      </c>
      <c r="J609" s="2"/>
      <c r="K609" s="2"/>
      <c r="L609" s="2"/>
    </row>
    <row r="610" spans="1:12" ht="30" customHeight="1" x14ac:dyDescent="0.35">
      <c r="A610" t="s">
        <v>1279</v>
      </c>
      <c r="B610" t="s">
        <v>1280</v>
      </c>
      <c r="C610" t="s">
        <v>51</v>
      </c>
      <c r="D610" t="s">
        <v>50</v>
      </c>
      <c r="E610" s="2"/>
      <c r="F610" s="2">
        <v>30323.91</v>
      </c>
      <c r="G610" s="2"/>
      <c r="H610" s="8">
        <f t="shared" si="18"/>
        <v>30323.91</v>
      </c>
      <c r="I610" s="10">
        <f t="shared" si="19"/>
        <v>0</v>
      </c>
      <c r="J610" s="2"/>
      <c r="K610" s="2"/>
      <c r="L610" s="2"/>
    </row>
    <row r="611" spans="1:12" ht="30" customHeight="1" x14ac:dyDescent="0.35">
      <c r="A611" t="s">
        <v>1281</v>
      </c>
      <c r="B611" t="s">
        <v>1282</v>
      </c>
      <c r="C611" t="s">
        <v>19</v>
      </c>
      <c r="D611" t="s">
        <v>18</v>
      </c>
      <c r="E611" s="2">
        <v>31618.76</v>
      </c>
      <c r="F611" s="2"/>
      <c r="G611" s="2"/>
      <c r="H611" s="8" t="str">
        <f t="shared" si="18"/>
        <v/>
      </c>
      <c r="I611" s="10" t="str">
        <f t="shared" si="19"/>
        <v/>
      </c>
      <c r="J611" s="2"/>
      <c r="K611" s="2"/>
      <c r="L611" s="2"/>
    </row>
    <row r="612" spans="1:12" ht="30" customHeight="1" x14ac:dyDescent="0.35">
      <c r="A612" t="s">
        <v>1283</v>
      </c>
      <c r="B612" t="s">
        <v>1284</v>
      </c>
      <c r="C612" t="s">
        <v>213</v>
      </c>
      <c r="D612" t="s">
        <v>212</v>
      </c>
      <c r="E612" s="2">
        <v>494.68</v>
      </c>
      <c r="F612" s="2">
        <v>4818136.54</v>
      </c>
      <c r="G612" s="2"/>
      <c r="H612" s="8">
        <f t="shared" si="18"/>
        <v>4818136.54</v>
      </c>
      <c r="I612" s="10">
        <f t="shared" si="19"/>
        <v>1.0267039879280797E-4</v>
      </c>
      <c r="J612" s="2"/>
      <c r="K612" s="2"/>
      <c r="L612" s="2"/>
    </row>
    <row r="613" spans="1:12" ht="30" customHeight="1" x14ac:dyDescent="0.35">
      <c r="A613" t="s">
        <v>1285</v>
      </c>
      <c r="B613" t="s">
        <v>1286</v>
      </c>
      <c r="C613" t="s">
        <v>15</v>
      </c>
      <c r="D613" t="s">
        <v>14</v>
      </c>
      <c r="E613" s="2">
        <v>46414.48</v>
      </c>
      <c r="F613" s="2">
        <v>2659609.79</v>
      </c>
      <c r="G613" s="2">
        <v>113518.93</v>
      </c>
      <c r="H613" s="8">
        <f t="shared" si="18"/>
        <v>2773128.72</v>
      </c>
      <c r="I613" s="10">
        <f t="shared" si="19"/>
        <v>1.6737225237781244E-2</v>
      </c>
      <c r="J613" s="2"/>
      <c r="K613" s="2"/>
      <c r="L613" s="2"/>
    </row>
    <row r="614" spans="1:12" ht="30" customHeight="1" x14ac:dyDescent="0.35">
      <c r="A614" t="s">
        <v>1287</v>
      </c>
      <c r="B614" t="s">
        <v>1288</v>
      </c>
      <c r="C614" t="s">
        <v>77</v>
      </c>
      <c r="D614" t="s">
        <v>76</v>
      </c>
      <c r="E614" s="2">
        <v>4248.45</v>
      </c>
      <c r="F614" s="2"/>
      <c r="G614" s="2"/>
      <c r="H614" s="8" t="str">
        <f t="shared" si="18"/>
        <v/>
      </c>
      <c r="I614" s="10" t="str">
        <f t="shared" si="19"/>
        <v/>
      </c>
      <c r="J614" s="2"/>
      <c r="K614" s="2"/>
      <c r="L614" s="2"/>
    </row>
    <row r="615" spans="1:12" ht="30" customHeight="1" x14ac:dyDescent="0.35">
      <c r="A615" t="s">
        <v>1289</v>
      </c>
      <c r="B615" t="s">
        <v>1290</v>
      </c>
      <c r="C615" t="s">
        <v>15</v>
      </c>
      <c r="D615" t="s">
        <v>14</v>
      </c>
      <c r="E615" s="2">
        <v>288963.46000000002</v>
      </c>
      <c r="F615" s="2">
        <v>2422604.29</v>
      </c>
      <c r="G615" s="2">
        <v>420000</v>
      </c>
      <c r="H615" s="8">
        <f t="shared" si="18"/>
        <v>2842604.29</v>
      </c>
      <c r="I615" s="10">
        <f t="shared" si="19"/>
        <v>0.10165447966730537</v>
      </c>
      <c r="J615" s="2"/>
      <c r="K615" s="2"/>
      <c r="L615" s="2"/>
    </row>
    <row r="616" spans="1:12" ht="30" customHeight="1" x14ac:dyDescent="0.35">
      <c r="A616" t="s">
        <v>1291</v>
      </c>
      <c r="B616" t="s">
        <v>1292</v>
      </c>
      <c r="C616" t="s">
        <v>19</v>
      </c>
      <c r="D616" t="s">
        <v>18</v>
      </c>
      <c r="E616" s="2"/>
      <c r="F616" s="2">
        <v>321060.23</v>
      </c>
      <c r="G616" s="2"/>
      <c r="H616" s="8">
        <f t="shared" si="18"/>
        <v>321060.23</v>
      </c>
      <c r="I616" s="10">
        <f t="shared" si="19"/>
        <v>0</v>
      </c>
      <c r="J616" s="2"/>
      <c r="K616" s="2"/>
      <c r="L616" s="2"/>
    </row>
    <row r="617" spans="1:12" ht="30" customHeight="1" x14ac:dyDescent="0.35">
      <c r="A617" t="s">
        <v>1293</v>
      </c>
      <c r="B617" t="s">
        <v>1294</v>
      </c>
      <c r="C617" t="s">
        <v>253</v>
      </c>
      <c r="D617" t="s">
        <v>252</v>
      </c>
      <c r="E617" s="2">
        <v>220107.14</v>
      </c>
      <c r="F617" s="2">
        <v>1888593.71</v>
      </c>
      <c r="G617" s="2"/>
      <c r="H617" s="8">
        <f t="shared" si="18"/>
        <v>1888593.71</v>
      </c>
      <c r="I617" s="10">
        <f t="shared" si="19"/>
        <v>0.11654552211761841</v>
      </c>
      <c r="J617" s="2"/>
      <c r="K617" s="2"/>
      <c r="L617" s="2"/>
    </row>
    <row r="618" spans="1:12" ht="30" customHeight="1" x14ac:dyDescent="0.35">
      <c r="A618" t="s">
        <v>1295</v>
      </c>
      <c r="B618" t="s">
        <v>1296</v>
      </c>
      <c r="C618" t="s">
        <v>19</v>
      </c>
      <c r="D618" t="s">
        <v>18</v>
      </c>
      <c r="E618" s="2"/>
      <c r="F618" s="2">
        <v>294435.69</v>
      </c>
      <c r="G618" s="2">
        <v>1564.31</v>
      </c>
      <c r="H618" s="8">
        <f t="shared" si="18"/>
        <v>296000</v>
      </c>
      <c r="I618" s="10">
        <f t="shared" si="19"/>
        <v>0</v>
      </c>
      <c r="J618" s="2"/>
      <c r="K618" s="2"/>
      <c r="L618" s="2"/>
    </row>
    <row r="619" spans="1:12" ht="30" customHeight="1" x14ac:dyDescent="0.35">
      <c r="A619" t="s">
        <v>1297</v>
      </c>
      <c r="B619" t="s">
        <v>1298</v>
      </c>
      <c r="C619" t="s">
        <v>51</v>
      </c>
      <c r="D619" t="s">
        <v>50</v>
      </c>
      <c r="E619" s="2">
        <v>205531.92</v>
      </c>
      <c r="F619" s="2"/>
      <c r="G619" s="2"/>
      <c r="H619" s="8" t="str">
        <f t="shared" si="18"/>
        <v/>
      </c>
      <c r="I619" s="10" t="str">
        <f t="shared" si="19"/>
        <v/>
      </c>
      <c r="J619" s="2"/>
      <c r="K619" s="2"/>
      <c r="L619" s="2"/>
    </row>
    <row r="620" spans="1:12" ht="30" customHeight="1" x14ac:dyDescent="0.35">
      <c r="A620" t="s">
        <v>1299</v>
      </c>
      <c r="B620" t="s">
        <v>1300</v>
      </c>
      <c r="C620" t="s">
        <v>15</v>
      </c>
      <c r="D620" t="s">
        <v>14</v>
      </c>
      <c r="E620" s="2">
        <v>1000199.53</v>
      </c>
      <c r="F620" s="2">
        <v>2086719.12</v>
      </c>
      <c r="G620" s="2">
        <v>250000</v>
      </c>
      <c r="H620" s="8">
        <f t="shared" si="18"/>
        <v>2336719.12</v>
      </c>
      <c r="I620" s="10">
        <f t="shared" si="19"/>
        <v>0.42803583941231244</v>
      </c>
      <c r="J620" s="2"/>
      <c r="K620" s="2"/>
      <c r="L620" s="2"/>
    </row>
    <row r="621" spans="1:12" ht="30" customHeight="1" x14ac:dyDescent="0.35">
      <c r="A621" t="s">
        <v>1301</v>
      </c>
      <c r="B621" t="s">
        <v>1302</v>
      </c>
      <c r="C621" t="s">
        <v>465</v>
      </c>
      <c r="D621" t="s">
        <v>464</v>
      </c>
      <c r="E621" s="2">
        <v>4104648.88</v>
      </c>
      <c r="F621" s="2">
        <v>460582.63</v>
      </c>
      <c r="G621" s="2">
        <v>7099883.5199999996</v>
      </c>
      <c r="H621" s="8">
        <f t="shared" si="18"/>
        <v>7560466.1499999994</v>
      </c>
      <c r="I621" s="10">
        <f t="shared" si="19"/>
        <v>0.54290949771661901</v>
      </c>
      <c r="J621" s="2"/>
      <c r="K621" s="2"/>
      <c r="L621" s="2"/>
    </row>
    <row r="622" spans="1:12" ht="30" customHeight="1" x14ac:dyDescent="0.35">
      <c r="A622" t="s">
        <v>1303</v>
      </c>
      <c r="B622" t="s">
        <v>1304</v>
      </c>
      <c r="C622" t="s">
        <v>213</v>
      </c>
      <c r="D622" t="s">
        <v>212</v>
      </c>
      <c r="E622" s="2"/>
      <c r="F622" s="2">
        <v>0</v>
      </c>
      <c r="G622" s="2">
        <v>0</v>
      </c>
      <c r="H622" s="8">
        <f t="shared" si="18"/>
        <v>0</v>
      </c>
      <c r="I622" s="10" t="e">
        <f t="shared" si="19"/>
        <v>#DIV/0!</v>
      </c>
      <c r="J622" s="2"/>
      <c r="K622" s="2"/>
      <c r="L622" s="2"/>
    </row>
    <row r="623" spans="1:12" ht="30" customHeight="1" x14ac:dyDescent="0.35">
      <c r="A623" t="s">
        <v>1305</v>
      </c>
      <c r="B623" t="s">
        <v>1306</v>
      </c>
      <c r="C623" t="s">
        <v>457</v>
      </c>
      <c r="D623" t="s">
        <v>456</v>
      </c>
      <c r="E623" s="2">
        <v>137257.65</v>
      </c>
      <c r="F623" s="2">
        <v>77349.97</v>
      </c>
      <c r="G623" s="2"/>
      <c r="H623" s="8">
        <f t="shared" si="18"/>
        <v>77349.97</v>
      </c>
      <c r="I623" s="10">
        <f t="shared" si="19"/>
        <v>1.7745016578545536</v>
      </c>
      <c r="J623" s="2"/>
      <c r="K623" s="2"/>
      <c r="L623" s="2"/>
    </row>
    <row r="624" spans="1:12" ht="30" customHeight="1" x14ac:dyDescent="0.35">
      <c r="A624" t="s">
        <v>1307</v>
      </c>
      <c r="B624" t="s">
        <v>1308</v>
      </c>
      <c r="C624" t="s">
        <v>385</v>
      </c>
      <c r="D624" t="s">
        <v>384</v>
      </c>
      <c r="E624" s="2">
        <v>4.1500000000000004</v>
      </c>
      <c r="F624" s="2"/>
      <c r="G624" s="2"/>
      <c r="H624" s="8" t="str">
        <f t="shared" si="18"/>
        <v/>
      </c>
      <c r="I624" s="10" t="str">
        <f t="shared" si="19"/>
        <v/>
      </c>
      <c r="J624" s="2"/>
      <c r="K624" s="2"/>
      <c r="L624" s="2"/>
    </row>
    <row r="625" spans="1:12" ht="30" customHeight="1" x14ac:dyDescent="0.35">
      <c r="A625" t="s">
        <v>1309</v>
      </c>
      <c r="B625" t="s">
        <v>1310</v>
      </c>
      <c r="C625" t="s">
        <v>385</v>
      </c>
      <c r="D625" t="s">
        <v>384</v>
      </c>
      <c r="E625" s="2">
        <v>35525.19</v>
      </c>
      <c r="F625" s="2"/>
      <c r="G625" s="2"/>
      <c r="H625" s="8" t="str">
        <f t="shared" si="18"/>
        <v/>
      </c>
      <c r="I625" s="10" t="str">
        <f t="shared" si="19"/>
        <v/>
      </c>
      <c r="J625" s="2"/>
      <c r="K625" s="2"/>
      <c r="L625" s="2"/>
    </row>
    <row r="626" spans="1:12" ht="30" customHeight="1" x14ac:dyDescent="0.35">
      <c r="A626" t="s">
        <v>1311</v>
      </c>
      <c r="B626" t="s">
        <v>1312</v>
      </c>
      <c r="C626" t="s">
        <v>253</v>
      </c>
      <c r="D626" t="s">
        <v>252</v>
      </c>
      <c r="E626" s="2">
        <v>108886.62</v>
      </c>
      <c r="F626" s="2">
        <v>754280.29</v>
      </c>
      <c r="G626" s="2"/>
      <c r="H626" s="8">
        <f t="shared" si="18"/>
        <v>754280.29</v>
      </c>
      <c r="I626" s="10">
        <f t="shared" si="19"/>
        <v>0.14435829948572565</v>
      </c>
      <c r="J626" s="2"/>
      <c r="K626" s="2"/>
      <c r="L626" s="2"/>
    </row>
    <row r="627" spans="1:12" ht="30" customHeight="1" x14ac:dyDescent="0.35">
      <c r="A627" t="s">
        <v>1313</v>
      </c>
      <c r="B627" t="s">
        <v>1314</v>
      </c>
      <c r="C627" t="s">
        <v>77</v>
      </c>
      <c r="D627" t="s">
        <v>76</v>
      </c>
      <c r="E627" s="2">
        <v>122342.85</v>
      </c>
      <c r="F627" s="2"/>
      <c r="G627" s="2"/>
      <c r="H627" s="8" t="str">
        <f t="shared" si="18"/>
        <v/>
      </c>
      <c r="I627" s="10" t="str">
        <f t="shared" si="19"/>
        <v/>
      </c>
      <c r="J627" s="2"/>
      <c r="K627" s="2"/>
      <c r="L627" s="2"/>
    </row>
    <row r="628" spans="1:12" ht="30" customHeight="1" x14ac:dyDescent="0.35">
      <c r="A628" t="s">
        <v>1315</v>
      </c>
      <c r="B628" t="s">
        <v>1316</v>
      </c>
      <c r="C628" t="s">
        <v>465</v>
      </c>
      <c r="D628" t="s">
        <v>464</v>
      </c>
      <c r="E628" s="2">
        <v>5990.63</v>
      </c>
      <c r="F628" s="2">
        <v>1353282.23</v>
      </c>
      <c r="G628" s="2"/>
      <c r="H628" s="8">
        <f t="shared" si="18"/>
        <v>1353282.23</v>
      </c>
      <c r="I628" s="10">
        <f t="shared" si="19"/>
        <v>4.4267410501651235E-3</v>
      </c>
      <c r="J628" s="2"/>
      <c r="K628" s="2"/>
      <c r="L628" s="2"/>
    </row>
    <row r="629" spans="1:12" ht="30" customHeight="1" x14ac:dyDescent="0.35">
      <c r="A629" t="s">
        <v>1317</v>
      </c>
      <c r="B629" t="s">
        <v>1318</v>
      </c>
      <c r="C629" t="s">
        <v>259</v>
      </c>
      <c r="D629" t="s">
        <v>258</v>
      </c>
      <c r="E629" s="2"/>
      <c r="F629" s="2">
        <v>4257458.1500000004</v>
      </c>
      <c r="G629" s="2">
        <v>1189194.29</v>
      </c>
      <c r="H629" s="8">
        <f t="shared" si="18"/>
        <v>5446652.4400000004</v>
      </c>
      <c r="I629" s="10">
        <f t="shared" si="19"/>
        <v>0</v>
      </c>
      <c r="J629" s="2"/>
      <c r="K629" s="2"/>
      <c r="L629" s="2"/>
    </row>
    <row r="630" spans="1:12" ht="30" customHeight="1" x14ac:dyDescent="0.35">
      <c r="A630" t="s">
        <v>1319</v>
      </c>
      <c r="B630" t="s">
        <v>1320</v>
      </c>
      <c r="C630" t="s">
        <v>57</v>
      </c>
      <c r="D630" t="s">
        <v>56</v>
      </c>
      <c r="E630" s="2">
        <v>243859.13</v>
      </c>
      <c r="F630" s="2">
        <v>0</v>
      </c>
      <c r="G630" s="2">
        <v>2000</v>
      </c>
      <c r="H630" s="8">
        <f t="shared" ref="H630:H692" si="20">IF(ISBLANK(F630), "",(F630+G630))</f>
        <v>2000</v>
      </c>
      <c r="I630" s="10">
        <f t="shared" ref="I630:I692" si="21">IF(ISBLANK(F630), "", E630/H630)</f>
        <v>121.929565</v>
      </c>
      <c r="J630" s="2"/>
      <c r="K630" s="2"/>
      <c r="L630" s="2"/>
    </row>
    <row r="631" spans="1:12" ht="30" customHeight="1" x14ac:dyDescent="0.35">
      <c r="A631" t="s">
        <v>1321</v>
      </c>
      <c r="B631" t="s">
        <v>1322</v>
      </c>
      <c r="C631" t="s">
        <v>213</v>
      </c>
      <c r="D631" t="s">
        <v>212</v>
      </c>
      <c r="E631" s="2">
        <v>149809.21</v>
      </c>
      <c r="F631" s="2">
        <v>2145989.46</v>
      </c>
      <c r="G631" s="2"/>
      <c r="H631" s="8">
        <f t="shared" si="20"/>
        <v>2145989.46</v>
      </c>
      <c r="I631" s="10">
        <f t="shared" si="21"/>
        <v>6.9808921615113609E-2</v>
      </c>
      <c r="J631" s="2"/>
      <c r="K631" s="2"/>
      <c r="L631" s="2"/>
    </row>
    <row r="632" spans="1:12" ht="30" customHeight="1" x14ac:dyDescent="0.35">
      <c r="A632" t="s">
        <v>1323</v>
      </c>
      <c r="B632" t="s">
        <v>1324</v>
      </c>
      <c r="C632" t="s">
        <v>253</v>
      </c>
      <c r="D632" t="s">
        <v>252</v>
      </c>
      <c r="E632" s="2">
        <v>604790.14</v>
      </c>
      <c r="F632" s="2">
        <v>0</v>
      </c>
      <c r="G632" s="2">
        <v>3000</v>
      </c>
      <c r="H632" s="8">
        <f t="shared" si="20"/>
        <v>3000</v>
      </c>
      <c r="I632" s="10">
        <f t="shared" si="21"/>
        <v>201.59671333333333</v>
      </c>
      <c r="J632" s="2"/>
      <c r="K632" s="2"/>
      <c r="L632" s="2"/>
    </row>
    <row r="633" spans="1:12" ht="30" customHeight="1" x14ac:dyDescent="0.35">
      <c r="A633" t="s">
        <v>1325</v>
      </c>
      <c r="B633" t="s">
        <v>1326</v>
      </c>
      <c r="C633" t="s">
        <v>457</v>
      </c>
      <c r="D633" t="s">
        <v>456</v>
      </c>
      <c r="E633" s="2">
        <v>134761.28</v>
      </c>
      <c r="F633" s="2">
        <v>1206400.46</v>
      </c>
      <c r="G633" s="2">
        <v>8589.2900000000009</v>
      </c>
      <c r="H633" s="8">
        <f t="shared" si="20"/>
        <v>1214989.75</v>
      </c>
      <c r="I633" s="10">
        <f t="shared" si="21"/>
        <v>0.11091556945233488</v>
      </c>
      <c r="J633" s="2"/>
      <c r="K633" s="2"/>
      <c r="L633" s="2"/>
    </row>
    <row r="634" spans="1:12" ht="30" customHeight="1" x14ac:dyDescent="0.35">
      <c r="A634" t="s">
        <v>1327</v>
      </c>
      <c r="B634" t="s">
        <v>1328</v>
      </c>
      <c r="C634" t="s">
        <v>465</v>
      </c>
      <c r="D634" t="s">
        <v>464</v>
      </c>
      <c r="E634" s="2">
        <v>281393.55</v>
      </c>
      <c r="F634" s="2">
        <v>1588397.42</v>
      </c>
      <c r="G634" s="2"/>
      <c r="H634" s="8">
        <f t="shared" si="20"/>
        <v>1588397.42</v>
      </c>
      <c r="I634" s="10">
        <f t="shared" si="21"/>
        <v>0.17715563275090185</v>
      </c>
      <c r="J634" s="2"/>
      <c r="K634" s="2"/>
      <c r="L634" s="2"/>
    </row>
    <row r="635" spans="1:12" ht="30" customHeight="1" x14ac:dyDescent="0.35">
      <c r="A635" t="s">
        <v>1329</v>
      </c>
      <c r="B635" t="s">
        <v>1330</v>
      </c>
      <c r="C635" t="s">
        <v>465</v>
      </c>
      <c r="D635" t="s">
        <v>464</v>
      </c>
      <c r="E635" s="2">
        <v>465002.86</v>
      </c>
      <c r="F635" s="2">
        <v>1381370.84</v>
      </c>
      <c r="G635" s="2"/>
      <c r="H635" s="8">
        <f t="shared" si="20"/>
        <v>1381370.84</v>
      </c>
      <c r="I635" s="10">
        <f t="shared" si="21"/>
        <v>0.33662420440263524</v>
      </c>
      <c r="J635" s="2"/>
      <c r="K635" s="2"/>
      <c r="L635" s="2"/>
    </row>
    <row r="636" spans="1:12" ht="30" customHeight="1" x14ac:dyDescent="0.35">
      <c r="A636" t="s">
        <v>1331</v>
      </c>
      <c r="B636" t="s">
        <v>1332</v>
      </c>
      <c r="C636" t="s">
        <v>57</v>
      </c>
      <c r="D636" t="s">
        <v>56</v>
      </c>
      <c r="E636" s="2"/>
      <c r="F636" s="2">
        <v>12861.22</v>
      </c>
      <c r="G636" s="2"/>
      <c r="H636" s="8">
        <f t="shared" si="20"/>
        <v>12861.22</v>
      </c>
      <c r="I636" s="10">
        <f t="shared" si="21"/>
        <v>0</v>
      </c>
      <c r="J636" s="2"/>
      <c r="K636" s="2"/>
      <c r="L636" s="2"/>
    </row>
    <row r="637" spans="1:12" ht="30" customHeight="1" x14ac:dyDescent="0.35">
      <c r="A637" t="s">
        <v>1333</v>
      </c>
      <c r="B637" t="s">
        <v>1334</v>
      </c>
      <c r="C637" t="s">
        <v>101</v>
      </c>
      <c r="D637" t="s">
        <v>100</v>
      </c>
      <c r="E637" s="2">
        <v>74858.600000000006</v>
      </c>
      <c r="F637" s="2">
        <v>4985556.95</v>
      </c>
      <c r="G637" s="2"/>
      <c r="H637" s="8">
        <f t="shared" si="20"/>
        <v>4985556.95</v>
      </c>
      <c r="I637" s="10">
        <f t="shared" si="21"/>
        <v>1.5015092747060086E-2</v>
      </c>
      <c r="J637" s="2"/>
      <c r="K637" s="2"/>
      <c r="L637" s="2"/>
    </row>
    <row r="638" spans="1:12" ht="30" customHeight="1" x14ac:dyDescent="0.35">
      <c r="A638" t="s">
        <v>1335</v>
      </c>
      <c r="B638" t="s">
        <v>1336</v>
      </c>
      <c r="C638" t="s">
        <v>213</v>
      </c>
      <c r="D638" t="s">
        <v>212</v>
      </c>
      <c r="E638" s="2">
        <v>2249.34</v>
      </c>
      <c r="F638" s="2">
        <v>7246046.5800000001</v>
      </c>
      <c r="G638" s="2">
        <v>1177326.55</v>
      </c>
      <c r="H638" s="8">
        <f t="shared" si="20"/>
        <v>8423373.1300000008</v>
      </c>
      <c r="I638" s="10">
        <f t="shared" si="21"/>
        <v>2.6703554090331502E-4</v>
      </c>
      <c r="J638" s="2"/>
      <c r="K638" s="2"/>
      <c r="L638" s="2"/>
    </row>
    <row r="639" spans="1:12" ht="30" customHeight="1" x14ac:dyDescent="0.35">
      <c r="A639" t="s">
        <v>1337</v>
      </c>
      <c r="B639" t="s">
        <v>1338</v>
      </c>
      <c r="C639" t="s">
        <v>101</v>
      </c>
      <c r="D639" t="s">
        <v>100</v>
      </c>
      <c r="E639" s="2">
        <v>1912829.31</v>
      </c>
      <c r="F639" s="2"/>
      <c r="G639" s="2"/>
      <c r="H639" s="8" t="str">
        <f t="shared" si="20"/>
        <v/>
      </c>
      <c r="I639" s="10" t="str">
        <f t="shared" si="21"/>
        <v/>
      </c>
      <c r="J639" s="2"/>
      <c r="K639" s="2"/>
      <c r="L639" s="2"/>
    </row>
    <row r="640" spans="1:12" ht="30" customHeight="1" x14ac:dyDescent="0.35">
      <c r="A640" t="s">
        <v>1339</v>
      </c>
      <c r="B640" t="s">
        <v>1340</v>
      </c>
      <c r="C640" t="s">
        <v>213</v>
      </c>
      <c r="D640" t="s">
        <v>212</v>
      </c>
      <c r="E640" s="2">
        <v>285225.3</v>
      </c>
      <c r="F640" s="2">
        <v>426797.37</v>
      </c>
      <c r="G640" s="2"/>
      <c r="H640" s="8">
        <f t="shared" si="20"/>
        <v>426797.37</v>
      </c>
      <c r="I640" s="10">
        <f t="shared" si="21"/>
        <v>0.66829207499568233</v>
      </c>
      <c r="J640" s="2"/>
      <c r="K640" s="2"/>
      <c r="L640" s="2"/>
    </row>
    <row r="641" spans="1:12" ht="30" customHeight="1" x14ac:dyDescent="0.35">
      <c r="A641" t="s">
        <v>1341</v>
      </c>
      <c r="B641" t="s">
        <v>1342</v>
      </c>
      <c r="C641" t="s">
        <v>213</v>
      </c>
      <c r="D641" t="s">
        <v>212</v>
      </c>
      <c r="E641" s="2">
        <v>5130.74</v>
      </c>
      <c r="F641" s="2">
        <v>209150.35</v>
      </c>
      <c r="G641" s="2"/>
      <c r="H641" s="8">
        <f t="shared" si="20"/>
        <v>209150.35</v>
      </c>
      <c r="I641" s="10">
        <f t="shared" si="21"/>
        <v>2.4531347903553592E-2</v>
      </c>
      <c r="J641" s="2"/>
      <c r="K641" s="2"/>
      <c r="L641" s="2"/>
    </row>
    <row r="642" spans="1:12" ht="30" customHeight="1" x14ac:dyDescent="0.35">
      <c r="A642" t="s">
        <v>1343</v>
      </c>
      <c r="B642" t="s">
        <v>1344</v>
      </c>
      <c r="C642" t="s">
        <v>19</v>
      </c>
      <c r="D642" t="s">
        <v>18</v>
      </c>
      <c r="E642" s="2">
        <v>2331.0700000000002</v>
      </c>
      <c r="F642" s="2"/>
      <c r="G642" s="2"/>
      <c r="H642" s="8" t="str">
        <f t="shared" si="20"/>
        <v/>
      </c>
      <c r="I642" s="10" t="str">
        <f t="shared" si="21"/>
        <v/>
      </c>
      <c r="J642" s="2"/>
      <c r="K642" s="2"/>
      <c r="L642" s="2"/>
    </row>
    <row r="643" spans="1:12" ht="30" customHeight="1" x14ac:dyDescent="0.35">
      <c r="A643" t="s">
        <v>1345</v>
      </c>
      <c r="B643" t="s">
        <v>1346</v>
      </c>
      <c r="C643" t="s">
        <v>29</v>
      </c>
      <c r="D643" t="s">
        <v>28</v>
      </c>
      <c r="E643" s="2">
        <v>2147.94</v>
      </c>
      <c r="F643" s="2">
        <v>12521.74</v>
      </c>
      <c r="G643" s="2"/>
      <c r="H643" s="8">
        <f t="shared" si="20"/>
        <v>12521.74</v>
      </c>
      <c r="I643" s="10">
        <f t="shared" si="21"/>
        <v>0.17153686308771784</v>
      </c>
      <c r="J643" s="2"/>
      <c r="K643" s="2"/>
      <c r="L643" s="2"/>
    </row>
    <row r="644" spans="1:12" ht="30" customHeight="1" x14ac:dyDescent="0.35">
      <c r="A644" t="s">
        <v>1347</v>
      </c>
      <c r="B644" t="s">
        <v>1348</v>
      </c>
      <c r="C644" t="s">
        <v>19</v>
      </c>
      <c r="D644" t="s">
        <v>18</v>
      </c>
      <c r="E644" s="2">
        <v>177231.83</v>
      </c>
      <c r="F644" s="2">
        <v>639884.37</v>
      </c>
      <c r="G644" s="2">
        <v>17021.23</v>
      </c>
      <c r="H644" s="8">
        <f t="shared" si="20"/>
        <v>656905.6</v>
      </c>
      <c r="I644" s="10">
        <f t="shared" si="21"/>
        <v>0.26979801968502021</v>
      </c>
      <c r="J644" s="2"/>
      <c r="K644" s="2"/>
      <c r="L644" s="2"/>
    </row>
    <row r="645" spans="1:12" ht="30" customHeight="1" x14ac:dyDescent="0.35">
      <c r="A645" t="s">
        <v>1351</v>
      </c>
      <c r="B645" t="s">
        <v>1352</v>
      </c>
      <c r="C645" t="s">
        <v>213</v>
      </c>
      <c r="D645" t="s">
        <v>212</v>
      </c>
      <c r="E645" s="2">
        <v>51218.82</v>
      </c>
      <c r="F645" s="2">
        <v>659941.1</v>
      </c>
      <c r="G645" s="2"/>
      <c r="H645" s="8">
        <f t="shared" si="20"/>
        <v>659941.1</v>
      </c>
      <c r="I645" s="10">
        <f t="shared" si="21"/>
        <v>7.7611198938814394E-2</v>
      </c>
      <c r="J645" s="2"/>
      <c r="K645" s="2"/>
      <c r="L645" s="2"/>
    </row>
    <row r="646" spans="1:12" ht="30" customHeight="1" x14ac:dyDescent="0.35">
      <c r="A646" t="s">
        <v>1353</v>
      </c>
      <c r="B646" t="s">
        <v>1354</v>
      </c>
      <c r="C646" t="s">
        <v>15</v>
      </c>
      <c r="D646" t="s">
        <v>14</v>
      </c>
      <c r="E646" s="2">
        <v>310809.08</v>
      </c>
      <c r="F646" s="2">
        <v>1476256.71</v>
      </c>
      <c r="G646" s="2"/>
      <c r="H646" s="8">
        <f t="shared" si="20"/>
        <v>1476256.71</v>
      </c>
      <c r="I646" s="10">
        <f t="shared" si="21"/>
        <v>0.21053863999033071</v>
      </c>
      <c r="J646" s="2"/>
      <c r="K646" s="2"/>
      <c r="L646" s="2"/>
    </row>
    <row r="647" spans="1:12" ht="30" customHeight="1" x14ac:dyDescent="0.35">
      <c r="A647" t="s">
        <v>1355</v>
      </c>
      <c r="B647" t="s">
        <v>1356</v>
      </c>
      <c r="C647" t="s">
        <v>253</v>
      </c>
      <c r="D647" t="s">
        <v>252</v>
      </c>
      <c r="E647" s="2">
        <v>1419948.73</v>
      </c>
      <c r="F647" s="2">
        <v>271862.65000000002</v>
      </c>
      <c r="G647" s="2"/>
      <c r="H647" s="8">
        <f t="shared" si="20"/>
        <v>271862.65000000002</v>
      </c>
      <c r="I647" s="10">
        <f t="shared" si="21"/>
        <v>5.2230371844017549</v>
      </c>
      <c r="J647" s="2"/>
      <c r="K647" s="2"/>
      <c r="L647" s="2"/>
    </row>
    <row r="648" spans="1:12" ht="30" customHeight="1" x14ac:dyDescent="0.35">
      <c r="A648" t="s">
        <v>1357</v>
      </c>
      <c r="B648" t="s">
        <v>1358</v>
      </c>
      <c r="C648" t="s">
        <v>109</v>
      </c>
      <c r="D648" t="s">
        <v>108</v>
      </c>
      <c r="E648" s="2">
        <v>1065463.28</v>
      </c>
      <c r="F648" s="2"/>
      <c r="G648" s="2"/>
      <c r="H648" s="8" t="str">
        <f t="shared" si="20"/>
        <v/>
      </c>
      <c r="I648" s="10" t="str">
        <f t="shared" si="21"/>
        <v/>
      </c>
      <c r="J648" s="2"/>
      <c r="K648" s="2"/>
      <c r="L648" s="2"/>
    </row>
    <row r="649" spans="1:12" ht="30" customHeight="1" x14ac:dyDescent="0.35">
      <c r="A649" t="s">
        <v>1359</v>
      </c>
      <c r="B649" t="s">
        <v>1360</v>
      </c>
      <c r="C649" t="s">
        <v>67</v>
      </c>
      <c r="D649" t="s">
        <v>66</v>
      </c>
      <c r="E649" s="2"/>
      <c r="F649" s="2">
        <v>16514.34</v>
      </c>
      <c r="G649" s="2"/>
      <c r="H649" s="8">
        <f t="shared" si="20"/>
        <v>16514.34</v>
      </c>
      <c r="I649" s="10">
        <f t="shared" si="21"/>
        <v>0</v>
      </c>
      <c r="J649" s="2"/>
      <c r="K649" s="2"/>
      <c r="L649" s="2"/>
    </row>
    <row r="650" spans="1:12" ht="30" customHeight="1" x14ac:dyDescent="0.35">
      <c r="A650" t="s">
        <v>1361</v>
      </c>
      <c r="B650" t="s">
        <v>1362</v>
      </c>
      <c r="C650" t="s">
        <v>51</v>
      </c>
      <c r="D650" t="s">
        <v>50</v>
      </c>
      <c r="E650" s="2"/>
      <c r="F650" s="2">
        <v>12550.93</v>
      </c>
      <c r="G650" s="2"/>
      <c r="H650" s="8">
        <f t="shared" si="20"/>
        <v>12550.93</v>
      </c>
      <c r="I650" s="10">
        <f t="shared" si="21"/>
        <v>0</v>
      </c>
      <c r="J650" s="2"/>
      <c r="K650" s="2"/>
      <c r="L650" s="2"/>
    </row>
    <row r="651" spans="1:12" ht="30" customHeight="1" x14ac:dyDescent="0.35">
      <c r="A651" t="s">
        <v>1363</v>
      </c>
      <c r="B651" t="s">
        <v>1364</v>
      </c>
      <c r="C651" t="s">
        <v>385</v>
      </c>
      <c r="D651" t="s">
        <v>384</v>
      </c>
      <c r="E651" s="2"/>
      <c r="F651" s="2">
        <v>46500.23</v>
      </c>
      <c r="G651" s="2"/>
      <c r="H651" s="8">
        <f t="shared" si="20"/>
        <v>46500.23</v>
      </c>
      <c r="I651" s="10">
        <f t="shared" si="21"/>
        <v>0</v>
      </c>
      <c r="J651" s="2"/>
      <c r="K651" s="2"/>
      <c r="L651" s="2"/>
    </row>
    <row r="652" spans="1:12" ht="30" customHeight="1" x14ac:dyDescent="0.35">
      <c r="A652" t="s">
        <v>1365</v>
      </c>
      <c r="B652" t="s">
        <v>1366</v>
      </c>
      <c r="C652" t="s">
        <v>109</v>
      </c>
      <c r="D652" t="s">
        <v>108</v>
      </c>
      <c r="E652" s="2">
        <v>219970.59</v>
      </c>
      <c r="F652" s="2">
        <v>184268.26</v>
      </c>
      <c r="G652" s="2"/>
      <c r="H652" s="8">
        <f t="shared" si="20"/>
        <v>184268.26</v>
      </c>
      <c r="I652" s="10">
        <f t="shared" si="21"/>
        <v>1.1937519245039812</v>
      </c>
      <c r="J652" s="2"/>
      <c r="K652" s="2"/>
      <c r="L652" s="2"/>
    </row>
    <row r="653" spans="1:12" ht="30" customHeight="1" x14ac:dyDescent="0.35">
      <c r="A653" t="s">
        <v>1367</v>
      </c>
      <c r="B653" t="s">
        <v>1368</v>
      </c>
      <c r="C653" t="s">
        <v>15</v>
      </c>
      <c r="D653" t="s">
        <v>14</v>
      </c>
      <c r="E653" s="2">
        <v>366.3</v>
      </c>
      <c r="F653" s="2"/>
      <c r="G653" s="2"/>
      <c r="H653" s="8" t="str">
        <f t="shared" si="20"/>
        <v/>
      </c>
      <c r="I653" s="10" t="str">
        <f t="shared" si="21"/>
        <v/>
      </c>
      <c r="J653" s="2"/>
      <c r="K653" s="2"/>
      <c r="L653" s="2"/>
    </row>
    <row r="654" spans="1:12" ht="30" customHeight="1" x14ac:dyDescent="0.35">
      <c r="A654" t="s">
        <v>1369</v>
      </c>
      <c r="B654" t="s">
        <v>1370</v>
      </c>
      <c r="C654" t="s">
        <v>213</v>
      </c>
      <c r="D654" t="s">
        <v>212</v>
      </c>
      <c r="E654" s="2">
        <v>1943.29</v>
      </c>
      <c r="F654" s="2">
        <v>442136.39</v>
      </c>
      <c r="G654" s="2">
        <v>-227.67</v>
      </c>
      <c r="H654" s="8">
        <f t="shared" si="20"/>
        <v>441908.72000000003</v>
      </c>
      <c r="I654" s="10">
        <f t="shared" si="21"/>
        <v>4.3974918621203039E-3</v>
      </c>
      <c r="J654" s="2"/>
      <c r="K654" s="2"/>
      <c r="L654" s="2"/>
    </row>
    <row r="655" spans="1:12" ht="30" customHeight="1" x14ac:dyDescent="0.35">
      <c r="A655" t="s">
        <v>1371</v>
      </c>
      <c r="B655" t="s">
        <v>1372</v>
      </c>
      <c r="C655" t="s">
        <v>15</v>
      </c>
      <c r="D655" t="s">
        <v>14</v>
      </c>
      <c r="E655" s="2">
        <v>10000</v>
      </c>
      <c r="F655" s="2">
        <v>7561579.71</v>
      </c>
      <c r="G655" s="2"/>
      <c r="H655" s="8">
        <f t="shared" si="20"/>
        <v>7561579.71</v>
      </c>
      <c r="I655" s="10">
        <f t="shared" si="21"/>
        <v>1.3224749832069151E-3</v>
      </c>
      <c r="J655" s="2"/>
      <c r="K655" s="2"/>
      <c r="L655" s="2"/>
    </row>
    <row r="656" spans="1:12" ht="30" customHeight="1" x14ac:dyDescent="0.35">
      <c r="A656" t="s">
        <v>1373</v>
      </c>
      <c r="B656" t="s">
        <v>1374</v>
      </c>
      <c r="C656" t="s">
        <v>642</v>
      </c>
      <c r="D656" t="s">
        <v>641</v>
      </c>
      <c r="E656" s="2">
        <v>7007.31</v>
      </c>
      <c r="F656" s="2">
        <v>69127.61</v>
      </c>
      <c r="G656" s="2"/>
      <c r="H656" s="8">
        <f t="shared" si="20"/>
        <v>69127.61</v>
      </c>
      <c r="I656" s="10">
        <f t="shared" si="21"/>
        <v>0.10136774582543792</v>
      </c>
      <c r="J656" s="2"/>
      <c r="K656" s="2"/>
      <c r="L656" s="2"/>
    </row>
    <row r="657" spans="1:12" ht="30" customHeight="1" x14ac:dyDescent="0.35">
      <c r="A657" t="s">
        <v>1375</v>
      </c>
      <c r="B657" t="s">
        <v>1376</v>
      </c>
      <c r="C657" t="s">
        <v>57</v>
      </c>
      <c r="D657" t="s">
        <v>56</v>
      </c>
      <c r="E657" s="2">
        <v>115260.6</v>
      </c>
      <c r="F657" s="2">
        <v>112387.79</v>
      </c>
      <c r="G657" s="2"/>
      <c r="H657" s="8">
        <f t="shared" si="20"/>
        <v>112387.79</v>
      </c>
      <c r="I657" s="10">
        <f t="shared" si="21"/>
        <v>1.0255615845813857</v>
      </c>
      <c r="J657" s="2"/>
      <c r="K657" s="2"/>
      <c r="L657" s="2"/>
    </row>
    <row r="658" spans="1:12" ht="30" customHeight="1" x14ac:dyDescent="0.35">
      <c r="A658" t="s">
        <v>1377</v>
      </c>
      <c r="B658" t="s">
        <v>1378</v>
      </c>
      <c r="C658" t="s">
        <v>101</v>
      </c>
      <c r="D658" t="s">
        <v>100</v>
      </c>
      <c r="E658" s="2">
        <v>105468.07</v>
      </c>
      <c r="F658" s="2"/>
      <c r="G658" s="2"/>
      <c r="H658" s="8" t="str">
        <f t="shared" si="20"/>
        <v/>
      </c>
      <c r="I658" s="10" t="str">
        <f t="shared" si="21"/>
        <v/>
      </c>
      <c r="J658" s="2"/>
      <c r="K658" s="2"/>
      <c r="L658" s="2"/>
    </row>
    <row r="659" spans="1:12" ht="30" customHeight="1" x14ac:dyDescent="0.35">
      <c r="A659" t="s">
        <v>1379</v>
      </c>
      <c r="B659" t="s">
        <v>1380</v>
      </c>
      <c r="C659" t="s">
        <v>67</v>
      </c>
      <c r="D659" t="s">
        <v>66</v>
      </c>
      <c r="E659" s="2">
        <v>3728.9</v>
      </c>
      <c r="F659" s="2">
        <v>111208.29</v>
      </c>
      <c r="G659" s="2">
        <v>54791.71</v>
      </c>
      <c r="H659" s="8">
        <f t="shared" si="20"/>
        <v>166000</v>
      </c>
      <c r="I659" s="10">
        <f t="shared" si="21"/>
        <v>2.2463253012048195E-2</v>
      </c>
      <c r="J659" s="2"/>
      <c r="K659" s="2"/>
      <c r="L659" s="2"/>
    </row>
    <row r="660" spans="1:12" ht="30" customHeight="1" x14ac:dyDescent="0.35">
      <c r="A660" t="s">
        <v>1381</v>
      </c>
      <c r="B660" t="s">
        <v>1382</v>
      </c>
      <c r="C660" t="s">
        <v>15</v>
      </c>
      <c r="D660" t="s">
        <v>14</v>
      </c>
      <c r="E660" s="2">
        <v>19194.78</v>
      </c>
      <c r="F660" s="2">
        <v>201023.81</v>
      </c>
      <c r="G660" s="2"/>
      <c r="H660" s="8">
        <f t="shared" si="20"/>
        <v>201023.81</v>
      </c>
      <c r="I660" s="10">
        <f t="shared" si="21"/>
        <v>9.548510696320002E-2</v>
      </c>
      <c r="J660" s="2"/>
      <c r="K660" s="2"/>
      <c r="L660" s="2"/>
    </row>
    <row r="661" spans="1:12" ht="30" customHeight="1" x14ac:dyDescent="0.35">
      <c r="A661" t="s">
        <v>1383</v>
      </c>
      <c r="B661" t="s">
        <v>1384</v>
      </c>
      <c r="C661" t="s">
        <v>253</v>
      </c>
      <c r="D661" t="s">
        <v>252</v>
      </c>
      <c r="E661" s="2">
        <v>642698.92000000004</v>
      </c>
      <c r="F661" s="2">
        <v>259708.24</v>
      </c>
      <c r="G661" s="2">
        <v>237000</v>
      </c>
      <c r="H661" s="8">
        <f t="shared" si="20"/>
        <v>496708.24</v>
      </c>
      <c r="I661" s="10">
        <f t="shared" si="21"/>
        <v>1.2939163642624492</v>
      </c>
      <c r="J661" s="2"/>
      <c r="K661" s="2"/>
      <c r="L661" s="2"/>
    </row>
    <row r="662" spans="1:12" ht="30" customHeight="1" x14ac:dyDescent="0.35">
      <c r="A662" t="s">
        <v>1385</v>
      </c>
      <c r="B662" t="s">
        <v>1386</v>
      </c>
      <c r="C662" t="s">
        <v>457</v>
      </c>
      <c r="D662" t="s">
        <v>456</v>
      </c>
      <c r="E662" s="2">
        <v>64432.9</v>
      </c>
      <c r="F662" s="2">
        <v>415910.92</v>
      </c>
      <c r="G662" s="2">
        <v>0</v>
      </c>
      <c r="H662" s="8">
        <f t="shared" si="20"/>
        <v>415910.92</v>
      </c>
      <c r="I662" s="10">
        <f t="shared" si="21"/>
        <v>0.15491995257061297</v>
      </c>
      <c r="J662" s="2"/>
      <c r="K662" s="2"/>
      <c r="L662" s="2"/>
    </row>
    <row r="663" spans="1:12" ht="30" customHeight="1" x14ac:dyDescent="0.35">
      <c r="A663" t="s">
        <v>1387</v>
      </c>
      <c r="B663" t="s">
        <v>1388</v>
      </c>
      <c r="C663" t="s">
        <v>259</v>
      </c>
      <c r="D663" t="s">
        <v>258</v>
      </c>
      <c r="E663" s="2"/>
      <c r="F663" s="2">
        <v>4206630.87</v>
      </c>
      <c r="G663" s="2"/>
      <c r="H663" s="8">
        <f t="shared" si="20"/>
        <v>4206630.87</v>
      </c>
      <c r="I663" s="10">
        <f t="shared" si="21"/>
        <v>0</v>
      </c>
      <c r="J663" s="2"/>
      <c r="K663" s="2"/>
      <c r="L663" s="2"/>
    </row>
    <row r="664" spans="1:12" ht="30" customHeight="1" x14ac:dyDescent="0.35">
      <c r="A664" t="s">
        <v>252</v>
      </c>
      <c r="B664" t="s">
        <v>1389</v>
      </c>
      <c r="C664" t="s">
        <v>101</v>
      </c>
      <c r="D664" t="s">
        <v>100</v>
      </c>
      <c r="E664" s="2">
        <v>332006.93</v>
      </c>
      <c r="F664" s="2"/>
      <c r="G664" s="2"/>
      <c r="H664" s="8" t="str">
        <f t="shared" si="20"/>
        <v/>
      </c>
      <c r="I664" s="10" t="str">
        <f t="shared" si="21"/>
        <v/>
      </c>
      <c r="J664" s="2"/>
      <c r="K664" s="2"/>
      <c r="L664" s="2"/>
    </row>
    <row r="665" spans="1:12" ht="30" customHeight="1" x14ac:dyDescent="0.35">
      <c r="A665" t="s">
        <v>1390</v>
      </c>
      <c r="B665" t="s">
        <v>1391</v>
      </c>
      <c r="C665" t="s">
        <v>33</v>
      </c>
      <c r="D665" t="s">
        <v>32</v>
      </c>
      <c r="E665" s="2">
        <v>16248.5</v>
      </c>
      <c r="F665" s="2">
        <v>430568.59</v>
      </c>
      <c r="G665" s="2"/>
      <c r="H665" s="8">
        <f t="shared" si="20"/>
        <v>430568.59</v>
      </c>
      <c r="I665" s="10">
        <f t="shared" si="21"/>
        <v>3.7737309170648048E-2</v>
      </c>
      <c r="J665" s="2"/>
      <c r="K665" s="2"/>
      <c r="L665" s="2"/>
    </row>
    <row r="666" spans="1:12" ht="30" customHeight="1" x14ac:dyDescent="0.35">
      <c r="A666" t="s">
        <v>1392</v>
      </c>
      <c r="B666" t="s">
        <v>1393</v>
      </c>
      <c r="C666" t="s">
        <v>41</v>
      </c>
      <c r="D666" t="s">
        <v>40</v>
      </c>
      <c r="E666" s="2">
        <v>276129.58</v>
      </c>
      <c r="F666" s="2">
        <v>293897.03999999998</v>
      </c>
      <c r="G666" s="2"/>
      <c r="H666" s="8">
        <f t="shared" si="20"/>
        <v>293897.03999999998</v>
      </c>
      <c r="I666" s="10">
        <f t="shared" si="21"/>
        <v>0.93954529109922313</v>
      </c>
      <c r="J666" s="2"/>
      <c r="K666" s="2"/>
      <c r="L666" s="2"/>
    </row>
    <row r="667" spans="1:12" ht="30" customHeight="1" x14ac:dyDescent="0.35">
      <c r="A667" t="s">
        <v>1394</v>
      </c>
      <c r="B667" t="s">
        <v>1395</v>
      </c>
      <c r="C667" t="s">
        <v>259</v>
      </c>
      <c r="D667" t="s">
        <v>258</v>
      </c>
      <c r="E667" s="2">
        <v>4152884</v>
      </c>
      <c r="F667" s="2">
        <v>3230153.49</v>
      </c>
      <c r="G667" s="2"/>
      <c r="H667" s="8">
        <f t="shared" si="20"/>
        <v>3230153.49</v>
      </c>
      <c r="I667" s="10">
        <f t="shared" si="21"/>
        <v>1.2856615058252232</v>
      </c>
      <c r="J667" s="2"/>
      <c r="K667" s="2"/>
      <c r="L667" s="2"/>
    </row>
    <row r="668" spans="1:12" ht="30" customHeight="1" x14ac:dyDescent="0.35">
      <c r="A668" t="s">
        <v>486</v>
      </c>
      <c r="B668" t="s">
        <v>1396</v>
      </c>
      <c r="C668" t="s">
        <v>41</v>
      </c>
      <c r="D668" t="s">
        <v>40</v>
      </c>
      <c r="E668" s="2">
        <v>6535.15</v>
      </c>
      <c r="F668" s="2"/>
      <c r="G668" s="2"/>
      <c r="H668" s="8" t="str">
        <f t="shared" si="20"/>
        <v/>
      </c>
      <c r="I668" s="10" t="str">
        <f t="shared" si="21"/>
        <v/>
      </c>
      <c r="J668" s="2"/>
      <c r="K668" s="2"/>
      <c r="L668" s="2"/>
    </row>
    <row r="669" spans="1:12" ht="30" customHeight="1" x14ac:dyDescent="0.35">
      <c r="A669" t="s">
        <v>1397</v>
      </c>
      <c r="B669" t="s">
        <v>1398</v>
      </c>
      <c r="C669" t="s">
        <v>15</v>
      </c>
      <c r="D669" t="s">
        <v>14</v>
      </c>
      <c r="E669" s="2">
        <v>344177.59</v>
      </c>
      <c r="F669" s="2">
        <v>0</v>
      </c>
      <c r="G669" s="2"/>
      <c r="H669" s="8">
        <f t="shared" si="20"/>
        <v>0</v>
      </c>
      <c r="I669" s="10" t="e">
        <f t="shared" si="21"/>
        <v>#DIV/0!</v>
      </c>
      <c r="J669" s="2"/>
      <c r="K669" s="2"/>
      <c r="L669" s="2"/>
    </row>
    <row r="670" spans="1:12" ht="30" customHeight="1" x14ac:dyDescent="0.35">
      <c r="A670" t="s">
        <v>1399</v>
      </c>
      <c r="B670" t="s">
        <v>1400</v>
      </c>
      <c r="C670" t="s">
        <v>41</v>
      </c>
      <c r="D670" t="s">
        <v>40</v>
      </c>
      <c r="E670" s="2">
        <v>90627.31</v>
      </c>
      <c r="F670" s="2">
        <v>500479.72</v>
      </c>
      <c r="G670" s="2"/>
      <c r="H670" s="8">
        <f t="shared" si="20"/>
        <v>500479.72</v>
      </c>
      <c r="I670" s="10">
        <f t="shared" si="21"/>
        <v>0.1810808837568883</v>
      </c>
      <c r="J670" s="2"/>
      <c r="K670" s="2"/>
      <c r="L670" s="2"/>
    </row>
    <row r="671" spans="1:12" ht="30" customHeight="1" x14ac:dyDescent="0.35">
      <c r="A671" t="s">
        <v>1401</v>
      </c>
      <c r="B671" t="s">
        <v>1402</v>
      </c>
      <c r="C671" t="s">
        <v>15</v>
      </c>
      <c r="D671" t="s">
        <v>14</v>
      </c>
      <c r="E671" s="2">
        <v>442526.6</v>
      </c>
      <c r="F671" s="2">
        <v>5991315.0800000001</v>
      </c>
      <c r="G671" s="2"/>
      <c r="H671" s="8">
        <f t="shared" si="20"/>
        <v>5991315.0800000001</v>
      </c>
      <c r="I671" s="10">
        <f t="shared" si="21"/>
        <v>7.386134664778804E-2</v>
      </c>
      <c r="J671" s="2"/>
      <c r="K671" s="2"/>
      <c r="L671" s="2"/>
    </row>
    <row r="672" spans="1:12" ht="30" customHeight="1" x14ac:dyDescent="0.35">
      <c r="A672" t="s">
        <v>1403</v>
      </c>
      <c r="B672" t="s">
        <v>1404</v>
      </c>
      <c r="C672" t="s">
        <v>41</v>
      </c>
      <c r="D672" t="s">
        <v>40</v>
      </c>
      <c r="E672" s="2">
        <v>345588.72</v>
      </c>
      <c r="F672" s="2">
        <v>206137.18</v>
      </c>
      <c r="G672" s="2">
        <v>57287.34</v>
      </c>
      <c r="H672" s="8">
        <f t="shared" si="20"/>
        <v>263424.52</v>
      </c>
      <c r="I672" s="10">
        <f t="shared" si="21"/>
        <v>1.3119079423585926</v>
      </c>
      <c r="J672" s="2"/>
      <c r="K672" s="2"/>
      <c r="L672" s="2"/>
    </row>
    <row r="673" spans="1:12" ht="30" customHeight="1" x14ac:dyDescent="0.35">
      <c r="A673" t="s">
        <v>1405</v>
      </c>
      <c r="B673" t="s">
        <v>1406</v>
      </c>
      <c r="C673" t="s">
        <v>213</v>
      </c>
      <c r="D673" t="s">
        <v>212</v>
      </c>
      <c r="E673" s="2">
        <v>16193.94</v>
      </c>
      <c r="F673" s="2">
        <v>163579.26</v>
      </c>
      <c r="G673" s="2"/>
      <c r="H673" s="8">
        <f t="shared" si="20"/>
        <v>163579.26</v>
      </c>
      <c r="I673" s="10">
        <f t="shared" si="21"/>
        <v>9.8997513498960688E-2</v>
      </c>
      <c r="J673" s="2"/>
      <c r="K673" s="2"/>
      <c r="L673" s="2"/>
    </row>
    <row r="674" spans="1:12" ht="30" customHeight="1" x14ac:dyDescent="0.35">
      <c r="A674" t="s">
        <v>1407</v>
      </c>
      <c r="B674" t="s">
        <v>1408</v>
      </c>
      <c r="C674" t="s">
        <v>213</v>
      </c>
      <c r="D674" t="s">
        <v>212</v>
      </c>
      <c r="E674" s="2"/>
      <c r="F674" s="2">
        <v>1648359.68</v>
      </c>
      <c r="G674" s="2"/>
      <c r="H674" s="8">
        <f t="shared" si="20"/>
        <v>1648359.68</v>
      </c>
      <c r="I674" s="10">
        <f t="shared" si="21"/>
        <v>0</v>
      </c>
      <c r="J674" s="2"/>
      <c r="K674" s="2"/>
      <c r="L674" s="2"/>
    </row>
    <row r="675" spans="1:12" ht="30" customHeight="1" x14ac:dyDescent="0.35">
      <c r="A675" t="s">
        <v>1409</v>
      </c>
      <c r="B675" t="s">
        <v>1410</v>
      </c>
      <c r="C675" t="s">
        <v>67</v>
      </c>
      <c r="D675" t="s">
        <v>66</v>
      </c>
      <c r="E675" s="2"/>
      <c r="F675" s="2">
        <v>2479916.23</v>
      </c>
      <c r="G675" s="2">
        <v>71285.83</v>
      </c>
      <c r="H675" s="8">
        <f t="shared" si="20"/>
        <v>2551202.06</v>
      </c>
      <c r="I675" s="10">
        <f t="shared" si="21"/>
        <v>0</v>
      </c>
      <c r="J675" s="2"/>
      <c r="K675" s="2"/>
      <c r="L675" s="2"/>
    </row>
    <row r="676" spans="1:12" ht="30" customHeight="1" x14ac:dyDescent="0.35">
      <c r="A676" t="s">
        <v>1411</v>
      </c>
      <c r="B676" t="s">
        <v>1412</v>
      </c>
      <c r="C676" t="s">
        <v>253</v>
      </c>
      <c r="D676" t="s">
        <v>252</v>
      </c>
      <c r="E676" s="2">
        <v>299243.7</v>
      </c>
      <c r="F676" s="2">
        <v>4640806.67</v>
      </c>
      <c r="G676" s="2"/>
      <c r="H676" s="8">
        <f t="shared" si="20"/>
        <v>4640806.67</v>
      </c>
      <c r="I676" s="10">
        <f t="shared" si="21"/>
        <v>6.4480966624709674E-2</v>
      </c>
      <c r="J676" s="2"/>
      <c r="K676" s="2"/>
      <c r="L676" s="2"/>
    </row>
    <row r="677" spans="1:12" ht="30" customHeight="1" x14ac:dyDescent="0.35">
      <c r="A677" t="s">
        <v>1413</v>
      </c>
      <c r="B677" t="s">
        <v>1414</v>
      </c>
      <c r="C677" t="s">
        <v>253</v>
      </c>
      <c r="D677" t="s">
        <v>252</v>
      </c>
      <c r="E677" s="2">
        <v>208515.77</v>
      </c>
      <c r="F677" s="2">
        <v>314089.02</v>
      </c>
      <c r="G677" s="2">
        <v>600145.74</v>
      </c>
      <c r="H677" s="8">
        <f t="shared" si="20"/>
        <v>914234.76</v>
      </c>
      <c r="I677" s="10">
        <f t="shared" si="21"/>
        <v>0.22807683444457963</v>
      </c>
      <c r="J677" s="2"/>
      <c r="K677" s="2"/>
      <c r="L677" s="2"/>
    </row>
    <row r="678" spans="1:12" ht="30" customHeight="1" x14ac:dyDescent="0.35">
      <c r="A678" t="s">
        <v>1415</v>
      </c>
      <c r="B678" t="s">
        <v>1416</v>
      </c>
      <c r="C678" t="s">
        <v>259</v>
      </c>
      <c r="D678" t="s">
        <v>258</v>
      </c>
      <c r="E678" s="2">
        <v>35758.36</v>
      </c>
      <c r="F678" s="2">
        <v>643118.11</v>
      </c>
      <c r="G678" s="2"/>
      <c r="H678" s="8">
        <f t="shared" si="20"/>
        <v>643118.11</v>
      </c>
      <c r="I678" s="10">
        <f t="shared" si="21"/>
        <v>5.5601544170479043E-2</v>
      </c>
      <c r="J678" s="2"/>
      <c r="K678" s="2"/>
      <c r="L678" s="2"/>
    </row>
    <row r="679" spans="1:12" ht="30" customHeight="1" x14ac:dyDescent="0.35">
      <c r="A679" t="s">
        <v>1417</v>
      </c>
      <c r="B679" t="s">
        <v>1418</v>
      </c>
      <c r="C679" t="s">
        <v>253</v>
      </c>
      <c r="D679" t="s">
        <v>252</v>
      </c>
      <c r="E679" s="2"/>
      <c r="F679" s="2">
        <v>2855854.21</v>
      </c>
      <c r="G679" s="2"/>
      <c r="H679" s="8">
        <f t="shared" si="20"/>
        <v>2855854.21</v>
      </c>
      <c r="I679" s="10">
        <f t="shared" si="21"/>
        <v>0</v>
      </c>
      <c r="J679" s="2"/>
      <c r="K679" s="2"/>
      <c r="L679" s="2"/>
    </row>
    <row r="680" spans="1:12" ht="30" customHeight="1" x14ac:dyDescent="0.35">
      <c r="A680" t="s">
        <v>1419</v>
      </c>
      <c r="B680" t="s">
        <v>1420</v>
      </c>
      <c r="C680" t="s">
        <v>101</v>
      </c>
      <c r="D680" t="s">
        <v>100</v>
      </c>
      <c r="E680" s="2">
        <v>6008.37</v>
      </c>
      <c r="F680" s="2"/>
      <c r="G680" s="2"/>
      <c r="H680" s="8" t="str">
        <f t="shared" si="20"/>
        <v/>
      </c>
      <c r="I680" s="10" t="str">
        <f t="shared" si="21"/>
        <v/>
      </c>
      <c r="J680" s="2"/>
      <c r="K680" s="2"/>
      <c r="L680" s="2"/>
    </row>
    <row r="681" spans="1:12" ht="30" customHeight="1" x14ac:dyDescent="0.35">
      <c r="A681" t="s">
        <v>1421</v>
      </c>
      <c r="B681" t="s">
        <v>1422</v>
      </c>
      <c r="C681" t="s">
        <v>41</v>
      </c>
      <c r="D681" t="s">
        <v>40</v>
      </c>
      <c r="E681" s="2">
        <v>33669.26</v>
      </c>
      <c r="F681" s="2"/>
      <c r="G681" s="2"/>
      <c r="H681" s="8" t="str">
        <f t="shared" si="20"/>
        <v/>
      </c>
      <c r="I681" s="10" t="str">
        <f t="shared" si="21"/>
        <v/>
      </c>
      <c r="J681" s="2"/>
      <c r="K681" s="2"/>
      <c r="L681" s="2"/>
    </row>
    <row r="682" spans="1:12" ht="30" customHeight="1" x14ac:dyDescent="0.35">
      <c r="A682" t="s">
        <v>1423</v>
      </c>
      <c r="B682" t="s">
        <v>1424</v>
      </c>
      <c r="C682" t="s">
        <v>253</v>
      </c>
      <c r="D682" t="s">
        <v>252</v>
      </c>
      <c r="E682" s="2">
        <v>79343.839999999997</v>
      </c>
      <c r="F682" s="2">
        <v>1655193.88</v>
      </c>
      <c r="G682" s="2"/>
      <c r="H682" s="8">
        <f t="shared" si="20"/>
        <v>1655193.88</v>
      </c>
      <c r="I682" s="10">
        <f t="shared" si="21"/>
        <v>4.7936281639707368E-2</v>
      </c>
      <c r="J682" s="2"/>
      <c r="K682" s="2"/>
      <c r="L682" s="2"/>
    </row>
    <row r="683" spans="1:12" ht="30" customHeight="1" x14ac:dyDescent="0.35">
      <c r="A683" t="s">
        <v>1425</v>
      </c>
      <c r="B683" t="s">
        <v>1426</v>
      </c>
      <c r="C683" t="s">
        <v>457</v>
      </c>
      <c r="D683" t="s">
        <v>456</v>
      </c>
      <c r="E683" s="2">
        <v>126701.62</v>
      </c>
      <c r="F683" s="2">
        <v>265861.7</v>
      </c>
      <c r="G683" s="2">
        <v>314569.56</v>
      </c>
      <c r="H683" s="8">
        <f t="shared" si="20"/>
        <v>580431.26</v>
      </c>
      <c r="I683" s="10">
        <f t="shared" si="21"/>
        <v>0.21828875998167294</v>
      </c>
      <c r="J683" s="2"/>
      <c r="K683" s="2"/>
      <c r="L683" s="2"/>
    </row>
    <row r="684" spans="1:12" ht="30" customHeight="1" x14ac:dyDescent="0.35">
      <c r="A684" t="s">
        <v>1427</v>
      </c>
      <c r="B684" t="s">
        <v>1428</v>
      </c>
      <c r="C684" t="s">
        <v>253</v>
      </c>
      <c r="D684" t="s">
        <v>252</v>
      </c>
      <c r="E684" s="2"/>
      <c r="F684" s="2">
        <v>1079226.07</v>
      </c>
      <c r="G684" s="2"/>
      <c r="H684" s="8">
        <f t="shared" si="20"/>
        <v>1079226.07</v>
      </c>
      <c r="I684" s="10">
        <f t="shared" si="21"/>
        <v>0</v>
      </c>
      <c r="J684" s="2"/>
      <c r="K684" s="2"/>
      <c r="L684" s="2"/>
    </row>
    <row r="685" spans="1:12" ht="30" customHeight="1" x14ac:dyDescent="0.35">
      <c r="A685" t="s">
        <v>1429</v>
      </c>
      <c r="B685" t="s">
        <v>1430</v>
      </c>
      <c r="C685" t="s">
        <v>253</v>
      </c>
      <c r="D685" t="s">
        <v>252</v>
      </c>
      <c r="E685" s="2"/>
      <c r="F685" s="2">
        <v>3808718.71</v>
      </c>
      <c r="G685" s="2"/>
      <c r="H685" s="8">
        <f t="shared" si="20"/>
        <v>3808718.71</v>
      </c>
      <c r="I685" s="10">
        <f t="shared" si="21"/>
        <v>0</v>
      </c>
      <c r="J685" s="2"/>
      <c r="K685" s="2"/>
      <c r="L685" s="2"/>
    </row>
    <row r="686" spans="1:12" ht="30" customHeight="1" x14ac:dyDescent="0.35">
      <c r="A686" t="s">
        <v>1431</v>
      </c>
      <c r="B686" t="s">
        <v>1432</v>
      </c>
      <c r="C686" t="s">
        <v>15</v>
      </c>
      <c r="D686" t="s">
        <v>14</v>
      </c>
      <c r="E686" s="2">
        <v>2648156.96</v>
      </c>
      <c r="F686" s="2">
        <v>118705.24</v>
      </c>
      <c r="G686" s="2">
        <v>1000000</v>
      </c>
      <c r="H686" s="8">
        <f t="shared" si="20"/>
        <v>1118705.24</v>
      </c>
      <c r="I686" s="10">
        <f t="shared" si="21"/>
        <v>2.3671623813972662</v>
      </c>
      <c r="J686" s="2"/>
      <c r="K686" s="2"/>
      <c r="L686" s="2"/>
    </row>
    <row r="687" spans="1:12" ht="30" customHeight="1" x14ac:dyDescent="0.35">
      <c r="A687" t="s">
        <v>1433</v>
      </c>
      <c r="B687" t="s">
        <v>1434</v>
      </c>
      <c r="C687" t="s">
        <v>15</v>
      </c>
      <c r="D687" t="s">
        <v>14</v>
      </c>
      <c r="E687" s="2">
        <v>623230.31000000006</v>
      </c>
      <c r="F687" s="2">
        <v>0</v>
      </c>
      <c r="G687" s="2">
        <v>500000</v>
      </c>
      <c r="H687" s="8">
        <f t="shared" si="20"/>
        <v>500000</v>
      </c>
      <c r="I687" s="10">
        <f t="shared" si="21"/>
        <v>1.2464606200000001</v>
      </c>
      <c r="J687" s="2"/>
      <c r="K687" s="2"/>
      <c r="L687" s="2"/>
    </row>
    <row r="688" spans="1:12" ht="30" customHeight="1" x14ac:dyDescent="0.35">
      <c r="A688" t="s">
        <v>1435</v>
      </c>
      <c r="B688" t="s">
        <v>1436</v>
      </c>
      <c r="C688" t="s">
        <v>67</v>
      </c>
      <c r="D688" t="s">
        <v>66</v>
      </c>
      <c r="E688" s="2"/>
      <c r="F688" s="2">
        <v>124145.57</v>
      </c>
      <c r="G688" s="2"/>
      <c r="H688" s="8">
        <f t="shared" si="20"/>
        <v>124145.57</v>
      </c>
      <c r="I688" s="10">
        <f t="shared" si="21"/>
        <v>0</v>
      </c>
      <c r="J688" s="2"/>
      <c r="K688" s="2"/>
      <c r="L688" s="2"/>
    </row>
    <row r="689" spans="1:12" ht="30" customHeight="1" x14ac:dyDescent="0.35">
      <c r="A689" t="s">
        <v>1437</v>
      </c>
      <c r="B689" t="s">
        <v>1438</v>
      </c>
      <c r="C689" t="s">
        <v>41</v>
      </c>
      <c r="D689" t="s">
        <v>40</v>
      </c>
      <c r="E689" s="2"/>
      <c r="F689" s="2">
        <v>268692.19</v>
      </c>
      <c r="G689" s="2"/>
      <c r="H689" s="8">
        <f t="shared" si="20"/>
        <v>268692.19</v>
      </c>
      <c r="I689" s="10">
        <f t="shared" si="21"/>
        <v>0</v>
      </c>
      <c r="J689" s="2"/>
      <c r="K689" s="2"/>
      <c r="L689" s="2"/>
    </row>
    <row r="690" spans="1:12" ht="30" customHeight="1" x14ac:dyDescent="0.35">
      <c r="A690" t="s">
        <v>1439</v>
      </c>
      <c r="B690" t="s">
        <v>1440</v>
      </c>
      <c r="C690" t="s">
        <v>41</v>
      </c>
      <c r="D690" t="s">
        <v>40</v>
      </c>
      <c r="E690" s="2">
        <v>4919.01</v>
      </c>
      <c r="F690" s="2"/>
      <c r="G690" s="2"/>
      <c r="H690" s="8" t="str">
        <f t="shared" si="20"/>
        <v/>
      </c>
      <c r="I690" s="10" t="str">
        <f t="shared" si="21"/>
        <v/>
      </c>
      <c r="J690" s="2"/>
      <c r="K690" s="2"/>
      <c r="L690" s="2"/>
    </row>
    <row r="691" spans="1:12" ht="30" customHeight="1" x14ac:dyDescent="0.35">
      <c r="A691" t="s">
        <v>1441</v>
      </c>
      <c r="B691" t="s">
        <v>1442</v>
      </c>
      <c r="C691" t="s">
        <v>213</v>
      </c>
      <c r="D691" t="s">
        <v>212</v>
      </c>
      <c r="E691" s="2">
        <v>132629.35</v>
      </c>
      <c r="F691" s="2">
        <v>617331.09</v>
      </c>
      <c r="G691" s="2"/>
      <c r="H691" s="8">
        <f t="shared" si="20"/>
        <v>617331.09</v>
      </c>
      <c r="I691" s="10">
        <f t="shared" si="21"/>
        <v>0.21484314033171409</v>
      </c>
      <c r="J691" s="2"/>
      <c r="K691" s="2"/>
      <c r="L691" s="2"/>
    </row>
    <row r="692" spans="1:12" ht="30" customHeight="1" x14ac:dyDescent="0.35">
      <c r="A692" t="s">
        <v>1443</v>
      </c>
      <c r="B692" t="s">
        <v>1444</v>
      </c>
      <c r="C692" t="s">
        <v>19</v>
      </c>
      <c r="D692" t="s">
        <v>18</v>
      </c>
      <c r="E692" s="2">
        <v>67173.41</v>
      </c>
      <c r="F692" s="2"/>
      <c r="G692" s="2"/>
      <c r="H692" s="8" t="str">
        <f t="shared" si="20"/>
        <v/>
      </c>
      <c r="I692" s="10" t="str">
        <f t="shared" si="21"/>
        <v/>
      </c>
      <c r="J692" s="2"/>
      <c r="K692" s="2"/>
      <c r="L692" s="2"/>
    </row>
    <row r="693" spans="1:12" ht="30" customHeight="1" x14ac:dyDescent="0.35">
      <c r="A693" t="s">
        <v>1445</v>
      </c>
      <c r="B693" t="s">
        <v>1446</v>
      </c>
      <c r="C693" t="s">
        <v>457</v>
      </c>
      <c r="D693" t="s">
        <v>456</v>
      </c>
      <c r="E693" s="2"/>
      <c r="F693" s="2">
        <v>515306.45</v>
      </c>
      <c r="G693" s="2">
        <v>400000</v>
      </c>
      <c r="H693" s="8">
        <f t="shared" ref="H693:H755" si="22">IF(ISBLANK(F693), "",(F693+G693))</f>
        <v>915306.45</v>
      </c>
      <c r="I693" s="10">
        <f t="shared" ref="I693:I755" si="23">IF(ISBLANK(F693), "", E693/H693)</f>
        <v>0</v>
      </c>
      <c r="J693" s="2"/>
      <c r="K693" s="2"/>
      <c r="L693" s="2"/>
    </row>
    <row r="694" spans="1:12" ht="30" customHeight="1" x14ac:dyDescent="0.35">
      <c r="A694" t="s">
        <v>1447</v>
      </c>
      <c r="B694" t="s">
        <v>1448</v>
      </c>
      <c r="C694" t="s">
        <v>465</v>
      </c>
      <c r="D694" t="s">
        <v>464</v>
      </c>
      <c r="E694" s="2">
        <v>2173805.69</v>
      </c>
      <c r="F694" s="2">
        <v>3516694.15</v>
      </c>
      <c r="G694" s="2"/>
      <c r="H694" s="8">
        <f t="shared" si="22"/>
        <v>3516694.15</v>
      </c>
      <c r="I694" s="10">
        <f t="shared" si="23"/>
        <v>0.6181389672457015</v>
      </c>
      <c r="J694" s="2"/>
      <c r="K694" s="2"/>
      <c r="L694" s="2"/>
    </row>
    <row r="695" spans="1:12" ht="30" customHeight="1" x14ac:dyDescent="0.35">
      <c r="A695" t="s">
        <v>1449</v>
      </c>
      <c r="B695" t="s">
        <v>1450</v>
      </c>
      <c r="C695" t="s">
        <v>253</v>
      </c>
      <c r="D695" t="s">
        <v>252</v>
      </c>
      <c r="E695" s="2">
        <v>62111.56</v>
      </c>
      <c r="F695" s="2">
        <v>732930.36</v>
      </c>
      <c r="G695" s="2"/>
      <c r="H695" s="8">
        <f t="shared" si="22"/>
        <v>732930.36</v>
      </c>
      <c r="I695" s="10">
        <f t="shared" si="23"/>
        <v>8.4744149498732727E-2</v>
      </c>
      <c r="J695" s="2"/>
      <c r="K695" s="2"/>
      <c r="L695" s="2"/>
    </row>
    <row r="696" spans="1:12" ht="30" customHeight="1" x14ac:dyDescent="0.35">
      <c r="A696" t="s">
        <v>1451</v>
      </c>
      <c r="B696" t="s">
        <v>1452</v>
      </c>
      <c r="C696" t="s">
        <v>19</v>
      </c>
      <c r="D696" t="s">
        <v>18</v>
      </c>
      <c r="E696" s="2">
        <v>8647.17</v>
      </c>
      <c r="F696" s="2"/>
      <c r="G696" s="2"/>
      <c r="H696" s="8" t="str">
        <f t="shared" si="22"/>
        <v/>
      </c>
      <c r="I696" s="10" t="str">
        <f t="shared" si="23"/>
        <v/>
      </c>
      <c r="J696" s="2"/>
      <c r="K696" s="2"/>
      <c r="L696" s="2"/>
    </row>
    <row r="697" spans="1:12" ht="30" customHeight="1" x14ac:dyDescent="0.35">
      <c r="A697" t="s">
        <v>1453</v>
      </c>
      <c r="B697" t="s">
        <v>1454</v>
      </c>
      <c r="C697" t="s">
        <v>101</v>
      </c>
      <c r="D697" t="s">
        <v>100</v>
      </c>
      <c r="E697" s="2">
        <v>422452.55</v>
      </c>
      <c r="F697" s="2">
        <v>2797985.66</v>
      </c>
      <c r="G697" s="2">
        <v>500000</v>
      </c>
      <c r="H697" s="8">
        <f t="shared" si="22"/>
        <v>3297985.66</v>
      </c>
      <c r="I697" s="10">
        <f t="shared" si="23"/>
        <v>0.12809411366573376</v>
      </c>
      <c r="J697" s="2"/>
      <c r="K697" s="2"/>
      <c r="L697" s="2"/>
    </row>
    <row r="698" spans="1:12" ht="30" customHeight="1" x14ac:dyDescent="0.35">
      <c r="A698" t="s">
        <v>1455</v>
      </c>
      <c r="B698" t="s">
        <v>1456</v>
      </c>
      <c r="C698" t="s">
        <v>19</v>
      </c>
      <c r="D698" t="s">
        <v>18</v>
      </c>
      <c r="E698" s="2">
        <v>55095.360000000001</v>
      </c>
      <c r="F698" s="2"/>
      <c r="G698" s="2"/>
      <c r="H698" s="8" t="str">
        <f t="shared" si="22"/>
        <v/>
      </c>
      <c r="I698" s="10" t="str">
        <f t="shared" si="23"/>
        <v/>
      </c>
      <c r="J698" s="2"/>
      <c r="K698" s="2"/>
      <c r="L698" s="2"/>
    </row>
    <row r="699" spans="1:12" ht="30" customHeight="1" x14ac:dyDescent="0.35">
      <c r="A699" t="s">
        <v>1457</v>
      </c>
      <c r="B699" t="s">
        <v>1458</v>
      </c>
      <c r="C699" t="s">
        <v>19</v>
      </c>
      <c r="D699" t="s">
        <v>18</v>
      </c>
      <c r="E699" s="2">
        <v>2939.88</v>
      </c>
      <c r="F699" s="2">
        <v>0</v>
      </c>
      <c r="G699" s="2">
        <v>100000</v>
      </c>
      <c r="H699" s="8">
        <f t="shared" si="22"/>
        <v>100000</v>
      </c>
      <c r="I699" s="10">
        <f t="shared" si="23"/>
        <v>2.9398800000000003E-2</v>
      </c>
      <c r="J699" s="2"/>
      <c r="K699" s="2"/>
      <c r="L699" s="2"/>
    </row>
    <row r="700" spans="1:12" ht="30" customHeight="1" x14ac:dyDescent="0.35">
      <c r="A700" t="s">
        <v>1459</v>
      </c>
      <c r="B700" t="s">
        <v>1460</v>
      </c>
      <c r="C700" t="s">
        <v>213</v>
      </c>
      <c r="D700" t="s">
        <v>212</v>
      </c>
      <c r="E700" s="2">
        <v>77027.289999999994</v>
      </c>
      <c r="F700" s="2">
        <v>236028.54</v>
      </c>
      <c r="G700" s="2">
        <v>12735.3</v>
      </c>
      <c r="H700" s="8">
        <f t="shared" si="22"/>
        <v>248763.84</v>
      </c>
      <c r="I700" s="10">
        <f t="shared" si="23"/>
        <v>0.3096402194145258</v>
      </c>
      <c r="J700" s="2"/>
      <c r="K700" s="2"/>
      <c r="L700" s="2"/>
    </row>
    <row r="701" spans="1:12" ht="30" customHeight="1" x14ac:dyDescent="0.35">
      <c r="A701" t="s">
        <v>1461</v>
      </c>
      <c r="B701" t="s">
        <v>1462</v>
      </c>
      <c r="C701" t="s">
        <v>29</v>
      </c>
      <c r="D701" t="s">
        <v>28</v>
      </c>
      <c r="E701" s="2">
        <v>204200.88</v>
      </c>
      <c r="F701" s="2"/>
      <c r="G701" s="2"/>
      <c r="H701" s="8" t="str">
        <f t="shared" si="22"/>
        <v/>
      </c>
      <c r="I701" s="10" t="str">
        <f t="shared" si="23"/>
        <v/>
      </c>
      <c r="J701" s="2"/>
      <c r="K701" s="2"/>
      <c r="L701" s="2"/>
    </row>
    <row r="702" spans="1:12" ht="30" customHeight="1" x14ac:dyDescent="0.35">
      <c r="A702" t="s">
        <v>1463</v>
      </c>
      <c r="B702" t="s">
        <v>1464</v>
      </c>
      <c r="C702" t="s">
        <v>67</v>
      </c>
      <c r="D702" t="s">
        <v>66</v>
      </c>
      <c r="E702" s="2"/>
      <c r="F702" s="2">
        <v>28783.97</v>
      </c>
      <c r="G702" s="2"/>
      <c r="H702" s="8">
        <f t="shared" si="22"/>
        <v>28783.97</v>
      </c>
      <c r="I702" s="10">
        <f t="shared" si="23"/>
        <v>0</v>
      </c>
      <c r="J702" s="2"/>
      <c r="K702" s="2"/>
      <c r="L702" s="2"/>
    </row>
    <row r="703" spans="1:12" ht="30" customHeight="1" x14ac:dyDescent="0.35">
      <c r="A703" t="s">
        <v>1465</v>
      </c>
      <c r="B703" t="s">
        <v>1466</v>
      </c>
      <c r="C703" t="s">
        <v>101</v>
      </c>
      <c r="D703" t="s">
        <v>100</v>
      </c>
      <c r="E703" s="2">
        <v>2472270.9300000002</v>
      </c>
      <c r="F703" s="2">
        <v>1988885.79</v>
      </c>
      <c r="G703" s="2">
        <v>2349050</v>
      </c>
      <c r="H703" s="8">
        <f t="shared" si="22"/>
        <v>4337935.79</v>
      </c>
      <c r="I703" s="10">
        <f t="shared" si="23"/>
        <v>0.5699187469992496</v>
      </c>
      <c r="J703" s="2"/>
      <c r="K703" s="2"/>
      <c r="L703" s="2"/>
    </row>
    <row r="704" spans="1:12" ht="30" customHeight="1" x14ac:dyDescent="0.35">
      <c r="A704" t="s">
        <v>1467</v>
      </c>
      <c r="B704" t="s">
        <v>1468</v>
      </c>
      <c r="C704" t="s">
        <v>457</v>
      </c>
      <c r="D704" t="s">
        <v>456</v>
      </c>
      <c r="E704" s="2">
        <v>10909.29</v>
      </c>
      <c r="F704" s="2">
        <v>343450.43</v>
      </c>
      <c r="G704" s="2">
        <v>1386.08</v>
      </c>
      <c r="H704" s="8">
        <f t="shared" si="22"/>
        <v>344836.51</v>
      </c>
      <c r="I704" s="10">
        <f t="shared" si="23"/>
        <v>3.1636122288791292E-2</v>
      </c>
      <c r="J704" s="2"/>
      <c r="K704" s="2"/>
      <c r="L704" s="2"/>
    </row>
    <row r="705" spans="1:12" ht="30" customHeight="1" x14ac:dyDescent="0.35">
      <c r="A705" t="s">
        <v>1469</v>
      </c>
      <c r="B705" t="s">
        <v>1470</v>
      </c>
      <c r="C705" t="s">
        <v>213</v>
      </c>
      <c r="D705" t="s">
        <v>212</v>
      </c>
      <c r="E705" s="2"/>
      <c r="F705" s="2">
        <v>2031596.67</v>
      </c>
      <c r="G705" s="2"/>
      <c r="H705" s="8">
        <f t="shared" si="22"/>
        <v>2031596.67</v>
      </c>
      <c r="I705" s="10">
        <f t="shared" si="23"/>
        <v>0</v>
      </c>
      <c r="J705" s="2"/>
      <c r="K705" s="2"/>
      <c r="L705" s="2"/>
    </row>
    <row r="706" spans="1:12" ht="30" customHeight="1" x14ac:dyDescent="0.35">
      <c r="A706" t="s">
        <v>1471</v>
      </c>
      <c r="B706" t="s">
        <v>1472</v>
      </c>
      <c r="C706" t="s">
        <v>259</v>
      </c>
      <c r="D706" t="s">
        <v>258</v>
      </c>
      <c r="E706" s="2">
        <v>38201.5</v>
      </c>
      <c r="F706" s="2">
        <v>704658.42</v>
      </c>
      <c r="G706" s="2"/>
      <c r="H706" s="8">
        <f t="shared" si="22"/>
        <v>704658.42</v>
      </c>
      <c r="I706" s="10">
        <f t="shared" si="23"/>
        <v>5.4212791496907109E-2</v>
      </c>
      <c r="J706" s="2"/>
      <c r="K706" s="2"/>
      <c r="L706" s="2"/>
    </row>
    <row r="707" spans="1:12" ht="30" customHeight="1" x14ac:dyDescent="0.35">
      <c r="A707" t="s">
        <v>1473</v>
      </c>
      <c r="B707" t="s">
        <v>1474</v>
      </c>
      <c r="C707" t="s">
        <v>101</v>
      </c>
      <c r="D707" t="s">
        <v>100</v>
      </c>
      <c r="E707" s="2">
        <v>10329356.960000001</v>
      </c>
      <c r="F707" s="2">
        <v>5674780.5199999996</v>
      </c>
      <c r="G707" s="2">
        <v>1000000</v>
      </c>
      <c r="H707" s="8">
        <f t="shared" si="22"/>
        <v>6674780.5199999996</v>
      </c>
      <c r="I707" s="10">
        <f t="shared" si="23"/>
        <v>1.5475200913422695</v>
      </c>
      <c r="J707" s="2"/>
      <c r="K707" s="2"/>
      <c r="L707" s="2"/>
    </row>
    <row r="708" spans="1:12" ht="30" customHeight="1" x14ac:dyDescent="0.35">
      <c r="A708" t="s">
        <v>1475</v>
      </c>
      <c r="B708" t="s">
        <v>1476</v>
      </c>
      <c r="C708" t="s">
        <v>465</v>
      </c>
      <c r="D708" t="s">
        <v>464</v>
      </c>
      <c r="E708" s="2">
        <v>1697986</v>
      </c>
      <c r="F708" s="2">
        <v>2862018</v>
      </c>
      <c r="G708" s="2">
        <v>237121.85</v>
      </c>
      <c r="H708" s="8">
        <f t="shared" si="22"/>
        <v>3099139.85</v>
      </c>
      <c r="I708" s="10">
        <f t="shared" si="23"/>
        <v>0.54788944100086345</v>
      </c>
      <c r="J708" s="2"/>
      <c r="K708" s="2"/>
      <c r="L708" s="2"/>
    </row>
    <row r="709" spans="1:12" ht="30" customHeight="1" x14ac:dyDescent="0.35">
      <c r="A709" t="s">
        <v>1477</v>
      </c>
      <c r="B709" t="s">
        <v>1478</v>
      </c>
      <c r="C709" t="s">
        <v>185</v>
      </c>
      <c r="D709" t="s">
        <v>184</v>
      </c>
      <c r="E709" s="2">
        <v>30.8</v>
      </c>
      <c r="F709" s="2">
        <v>265163.32</v>
      </c>
      <c r="G709" s="2"/>
      <c r="H709" s="8">
        <f t="shared" si="22"/>
        <v>265163.32</v>
      </c>
      <c r="I709" s="10">
        <f t="shared" si="23"/>
        <v>1.1615482865427993E-4</v>
      </c>
      <c r="J709" s="2"/>
      <c r="K709" s="2"/>
      <c r="L709" s="2"/>
    </row>
    <row r="710" spans="1:12" ht="30" customHeight="1" x14ac:dyDescent="0.35">
      <c r="A710" t="s">
        <v>1479</v>
      </c>
      <c r="B710" t="s">
        <v>1480</v>
      </c>
      <c r="C710" t="s">
        <v>487</v>
      </c>
      <c r="D710" t="s">
        <v>486</v>
      </c>
      <c r="E710" s="2">
        <v>1527139.08</v>
      </c>
      <c r="F710" s="2">
        <v>4599070.7699999996</v>
      </c>
      <c r="G710" s="2"/>
      <c r="H710" s="8">
        <f t="shared" si="22"/>
        <v>4599070.7699999996</v>
      </c>
      <c r="I710" s="10">
        <f t="shared" si="23"/>
        <v>0.33205383356168711</v>
      </c>
      <c r="J710" s="2"/>
      <c r="K710" s="2"/>
      <c r="L710" s="2"/>
    </row>
    <row r="711" spans="1:12" ht="30" customHeight="1" x14ac:dyDescent="0.35">
      <c r="A711" t="s">
        <v>1481</v>
      </c>
      <c r="B711" t="s">
        <v>1482</v>
      </c>
      <c r="C711" t="s">
        <v>213</v>
      </c>
      <c r="D711" t="s">
        <v>212</v>
      </c>
      <c r="E711" s="2"/>
      <c r="F711" s="2">
        <v>199942.48</v>
      </c>
      <c r="G711" s="2">
        <v>57.52</v>
      </c>
      <c r="H711" s="8">
        <f t="shared" si="22"/>
        <v>200000</v>
      </c>
      <c r="I711" s="10">
        <f t="shared" si="23"/>
        <v>0</v>
      </c>
      <c r="J711" s="2"/>
      <c r="K711" s="2"/>
      <c r="L711" s="2"/>
    </row>
    <row r="712" spans="1:12" ht="30" customHeight="1" x14ac:dyDescent="0.35">
      <c r="A712" t="s">
        <v>1483</v>
      </c>
      <c r="B712" t="s">
        <v>1484</v>
      </c>
      <c r="C712" t="s">
        <v>77</v>
      </c>
      <c r="D712" t="s">
        <v>76</v>
      </c>
      <c r="E712" s="2">
        <v>5076.1499999999996</v>
      </c>
      <c r="F712" s="2">
        <v>75005</v>
      </c>
      <c r="G712" s="2">
        <v>1241</v>
      </c>
      <c r="H712" s="8">
        <f t="shared" si="22"/>
        <v>76246</v>
      </c>
      <c r="I712" s="10">
        <f t="shared" si="23"/>
        <v>6.6575951525325916E-2</v>
      </c>
      <c r="J712" s="2"/>
      <c r="K712" s="2"/>
      <c r="L712" s="2"/>
    </row>
    <row r="713" spans="1:12" ht="30" customHeight="1" x14ac:dyDescent="0.35">
      <c r="A713" t="s">
        <v>1485</v>
      </c>
      <c r="B713" t="s">
        <v>1486</v>
      </c>
      <c r="C713" t="s">
        <v>465</v>
      </c>
      <c r="D713" t="s">
        <v>464</v>
      </c>
      <c r="E713" s="2">
        <v>1818872.66</v>
      </c>
      <c r="F713" s="2">
        <v>0</v>
      </c>
      <c r="G713" s="2">
        <v>500000</v>
      </c>
      <c r="H713" s="8">
        <f t="shared" si="22"/>
        <v>500000</v>
      </c>
      <c r="I713" s="10">
        <f t="shared" si="23"/>
        <v>3.6377453199999996</v>
      </c>
      <c r="J713" s="2"/>
      <c r="K713" s="2"/>
      <c r="L713" s="2"/>
    </row>
    <row r="714" spans="1:12" ht="30" customHeight="1" x14ac:dyDescent="0.35">
      <c r="A714" t="s">
        <v>1487</v>
      </c>
      <c r="B714" t="s">
        <v>1488</v>
      </c>
      <c r="C714" t="s">
        <v>15</v>
      </c>
      <c r="D714" t="s">
        <v>14</v>
      </c>
      <c r="E714" s="2">
        <v>888898.28</v>
      </c>
      <c r="F714" s="2">
        <v>8264156.0499999998</v>
      </c>
      <c r="G714" s="2">
        <v>98586.72</v>
      </c>
      <c r="H714" s="8">
        <f t="shared" si="22"/>
        <v>8362742.7699999996</v>
      </c>
      <c r="I714" s="10">
        <f t="shared" si="23"/>
        <v>0.10629267268494498</v>
      </c>
      <c r="J714" s="2"/>
      <c r="K714" s="2"/>
      <c r="L714" s="2"/>
    </row>
    <row r="715" spans="1:12" ht="30" customHeight="1" x14ac:dyDescent="0.35">
      <c r="A715" t="s">
        <v>1489</v>
      </c>
      <c r="B715" t="s">
        <v>1490</v>
      </c>
      <c r="C715" t="s">
        <v>385</v>
      </c>
      <c r="D715" t="s">
        <v>384</v>
      </c>
      <c r="E715" s="2">
        <v>34371.71</v>
      </c>
      <c r="F715" s="2">
        <v>458273.9</v>
      </c>
      <c r="G715" s="2">
        <v>54000.959999999999</v>
      </c>
      <c r="H715" s="8">
        <f t="shared" si="22"/>
        <v>512274.86000000004</v>
      </c>
      <c r="I715" s="10">
        <f t="shared" si="23"/>
        <v>6.7096226428132733E-2</v>
      </c>
      <c r="J715" s="2"/>
      <c r="K715" s="2"/>
      <c r="L715" s="2"/>
    </row>
    <row r="716" spans="1:12" ht="30" customHeight="1" x14ac:dyDescent="0.35">
      <c r="A716" t="s">
        <v>1491</v>
      </c>
      <c r="B716" t="s">
        <v>1492</v>
      </c>
      <c r="C716" t="s">
        <v>101</v>
      </c>
      <c r="D716" t="s">
        <v>100</v>
      </c>
      <c r="E716" s="2">
        <v>372601.06</v>
      </c>
      <c r="F716" s="2">
        <v>0</v>
      </c>
      <c r="G716" s="2">
        <v>1000000</v>
      </c>
      <c r="H716" s="8">
        <f t="shared" si="22"/>
        <v>1000000</v>
      </c>
      <c r="I716" s="10">
        <f t="shared" si="23"/>
        <v>0.37260105999999998</v>
      </c>
      <c r="J716" s="2"/>
      <c r="K716" s="2"/>
      <c r="L716" s="2"/>
    </row>
    <row r="717" spans="1:12" ht="30" customHeight="1" x14ac:dyDescent="0.35">
      <c r="A717" t="s">
        <v>1493</v>
      </c>
      <c r="B717" t="s">
        <v>1494</v>
      </c>
      <c r="C717" t="s">
        <v>11</v>
      </c>
      <c r="D717" t="s">
        <v>10</v>
      </c>
      <c r="E717" s="2">
        <v>2342.4499999999998</v>
      </c>
      <c r="F717" s="2">
        <v>3458138.4</v>
      </c>
      <c r="G717" s="2"/>
      <c r="H717" s="8">
        <f t="shared" si="22"/>
        <v>3458138.4</v>
      </c>
      <c r="I717" s="10">
        <f t="shared" si="23"/>
        <v>6.7737312075190511E-4</v>
      </c>
      <c r="J717" s="2"/>
      <c r="K717" s="2"/>
      <c r="L717" s="2"/>
    </row>
    <row r="718" spans="1:12" ht="30" customHeight="1" x14ac:dyDescent="0.35">
      <c r="A718" t="s">
        <v>1495</v>
      </c>
      <c r="B718" t="s">
        <v>1496</v>
      </c>
      <c r="C718" t="s">
        <v>185</v>
      </c>
      <c r="D718" t="s">
        <v>184</v>
      </c>
      <c r="E718" s="2">
        <v>10421.64</v>
      </c>
      <c r="F718" s="2">
        <v>103809.97</v>
      </c>
      <c r="G718" s="2"/>
      <c r="H718" s="8">
        <f t="shared" si="22"/>
        <v>103809.97</v>
      </c>
      <c r="I718" s="10">
        <f t="shared" si="23"/>
        <v>0.10039151345482519</v>
      </c>
      <c r="J718" s="2"/>
      <c r="K718" s="2"/>
      <c r="L718" s="2"/>
    </row>
    <row r="719" spans="1:12" ht="30" customHeight="1" x14ac:dyDescent="0.35">
      <c r="A719" t="s">
        <v>1497</v>
      </c>
      <c r="B719" t="s">
        <v>1498</v>
      </c>
      <c r="C719" t="s">
        <v>253</v>
      </c>
      <c r="D719" t="s">
        <v>252</v>
      </c>
      <c r="E719" s="2">
        <v>2285.0500000000002</v>
      </c>
      <c r="F719" s="2">
        <v>434994.91</v>
      </c>
      <c r="G719" s="2"/>
      <c r="H719" s="8">
        <f t="shared" si="22"/>
        <v>434994.91</v>
      </c>
      <c r="I719" s="10">
        <f t="shared" si="23"/>
        <v>5.2530499724697931E-3</v>
      </c>
      <c r="J719" s="2"/>
      <c r="K719" s="2"/>
      <c r="L719" s="2"/>
    </row>
    <row r="720" spans="1:12" ht="30" customHeight="1" x14ac:dyDescent="0.35">
      <c r="A720" t="s">
        <v>1499</v>
      </c>
      <c r="B720" t="s">
        <v>1500</v>
      </c>
      <c r="C720" t="s">
        <v>19</v>
      </c>
      <c r="D720" t="s">
        <v>18</v>
      </c>
      <c r="E720" s="2"/>
      <c r="F720" s="2">
        <v>201350.3</v>
      </c>
      <c r="G720" s="2"/>
      <c r="H720" s="8">
        <f t="shared" si="22"/>
        <v>201350.3</v>
      </c>
      <c r="I720" s="10">
        <f t="shared" si="23"/>
        <v>0</v>
      </c>
      <c r="J720" s="2"/>
      <c r="K720" s="2"/>
      <c r="L720" s="2"/>
    </row>
    <row r="721" spans="1:12" ht="30" customHeight="1" x14ac:dyDescent="0.35">
      <c r="A721" t="s">
        <v>1501</v>
      </c>
      <c r="B721" t="s">
        <v>1502</v>
      </c>
      <c r="C721" t="s">
        <v>11</v>
      </c>
      <c r="D721" t="s">
        <v>10</v>
      </c>
      <c r="E721" s="2">
        <v>463272.63</v>
      </c>
      <c r="F721" s="2">
        <v>4468952.72</v>
      </c>
      <c r="G721" s="2">
        <v>378400.12</v>
      </c>
      <c r="H721" s="8">
        <f t="shared" si="22"/>
        <v>4847352.84</v>
      </c>
      <c r="I721" s="10">
        <f t="shared" si="23"/>
        <v>9.5572293846057227E-2</v>
      </c>
      <c r="J721" s="2"/>
      <c r="K721" s="2"/>
      <c r="L721" s="2"/>
    </row>
    <row r="722" spans="1:12" ht="30" customHeight="1" x14ac:dyDescent="0.35">
      <c r="A722" t="s">
        <v>1503</v>
      </c>
      <c r="B722" t="s">
        <v>1504</v>
      </c>
      <c r="C722" t="s">
        <v>19</v>
      </c>
      <c r="D722" t="s">
        <v>18</v>
      </c>
      <c r="E722" s="2">
        <v>78961.05</v>
      </c>
      <c r="F722" s="2">
        <v>441655.39</v>
      </c>
      <c r="G722" s="2"/>
      <c r="H722" s="8">
        <f t="shared" si="22"/>
        <v>441655.39</v>
      </c>
      <c r="I722" s="10">
        <f t="shared" si="23"/>
        <v>0.17878430058331224</v>
      </c>
      <c r="J722" s="2"/>
      <c r="K722" s="2"/>
      <c r="L722" s="2"/>
    </row>
    <row r="723" spans="1:12" ht="30" customHeight="1" x14ac:dyDescent="0.35">
      <c r="A723" t="s">
        <v>1505</v>
      </c>
      <c r="B723" t="s">
        <v>1506</v>
      </c>
      <c r="C723" t="s">
        <v>57</v>
      </c>
      <c r="D723" t="s">
        <v>56</v>
      </c>
      <c r="E723" s="2">
        <v>6325.81</v>
      </c>
      <c r="F723" s="2"/>
      <c r="G723" s="2"/>
      <c r="H723" s="8" t="str">
        <f t="shared" si="22"/>
        <v/>
      </c>
      <c r="I723" s="10" t="str">
        <f t="shared" si="23"/>
        <v/>
      </c>
      <c r="J723" s="2"/>
      <c r="K723" s="2"/>
      <c r="L723" s="2"/>
    </row>
    <row r="724" spans="1:12" ht="30" customHeight="1" x14ac:dyDescent="0.35">
      <c r="A724" t="s">
        <v>1507</v>
      </c>
      <c r="B724" t="s">
        <v>1508</v>
      </c>
      <c r="C724" t="s">
        <v>259</v>
      </c>
      <c r="D724" t="s">
        <v>258</v>
      </c>
      <c r="E724" s="2"/>
      <c r="F724" s="2">
        <v>144729.12</v>
      </c>
      <c r="G724" s="2"/>
      <c r="H724" s="8">
        <f t="shared" si="22"/>
        <v>144729.12</v>
      </c>
      <c r="I724" s="10">
        <f t="shared" si="23"/>
        <v>0</v>
      </c>
      <c r="J724" s="2"/>
      <c r="K724" s="2"/>
      <c r="L724" s="2"/>
    </row>
    <row r="725" spans="1:12" ht="30" customHeight="1" x14ac:dyDescent="0.35">
      <c r="A725" t="s">
        <v>1509</v>
      </c>
      <c r="B725" t="s">
        <v>1510</v>
      </c>
      <c r="C725" t="s">
        <v>253</v>
      </c>
      <c r="D725" t="s">
        <v>252</v>
      </c>
      <c r="E725" s="2">
        <v>35165.040000000001</v>
      </c>
      <c r="F725" s="2">
        <v>5829109.29</v>
      </c>
      <c r="G725" s="2"/>
      <c r="H725" s="8">
        <f t="shared" si="22"/>
        <v>5829109.29</v>
      </c>
      <c r="I725" s="10">
        <f t="shared" si="23"/>
        <v>6.0326609522189968E-3</v>
      </c>
      <c r="J725" s="2"/>
      <c r="K725" s="2"/>
      <c r="L725" s="2"/>
    </row>
    <row r="726" spans="1:12" ht="30" customHeight="1" x14ac:dyDescent="0.35">
      <c r="A726" t="s">
        <v>1511</v>
      </c>
      <c r="B726" t="s">
        <v>1512</v>
      </c>
      <c r="C726" t="s">
        <v>77</v>
      </c>
      <c r="D726" t="s">
        <v>76</v>
      </c>
      <c r="E726" s="2">
        <v>12833.52</v>
      </c>
      <c r="F726" s="2">
        <v>73982.240000000005</v>
      </c>
      <c r="G726" s="2"/>
      <c r="H726" s="8">
        <f t="shared" si="22"/>
        <v>73982.240000000005</v>
      </c>
      <c r="I726" s="10">
        <f t="shared" si="23"/>
        <v>0.17346757816470548</v>
      </c>
      <c r="J726" s="2"/>
      <c r="K726" s="2"/>
      <c r="L726" s="2"/>
    </row>
    <row r="727" spans="1:12" ht="30" customHeight="1" x14ac:dyDescent="0.35">
      <c r="A727" t="s">
        <v>1513</v>
      </c>
      <c r="B727" t="s">
        <v>1514</v>
      </c>
      <c r="C727" t="s">
        <v>19</v>
      </c>
      <c r="D727" t="s">
        <v>18</v>
      </c>
      <c r="E727" s="2">
        <v>191545.54</v>
      </c>
      <c r="F727" s="2">
        <v>427255.18</v>
      </c>
      <c r="G727" s="2">
        <v>2608487.54</v>
      </c>
      <c r="H727" s="8">
        <f t="shared" si="22"/>
        <v>3035742.72</v>
      </c>
      <c r="I727" s="10">
        <f t="shared" si="23"/>
        <v>6.3096763351539881E-2</v>
      </c>
      <c r="J727" s="2"/>
      <c r="K727" s="2"/>
      <c r="L727" s="2"/>
    </row>
    <row r="728" spans="1:12" ht="30" customHeight="1" x14ac:dyDescent="0.35">
      <c r="A728" t="s">
        <v>10</v>
      </c>
      <c r="B728" t="s">
        <v>1515</v>
      </c>
      <c r="C728" t="s">
        <v>33</v>
      </c>
      <c r="D728" t="s">
        <v>32</v>
      </c>
      <c r="E728" s="2">
        <v>366427.9</v>
      </c>
      <c r="F728" s="2"/>
      <c r="G728" s="2"/>
      <c r="H728" s="8" t="str">
        <f t="shared" si="22"/>
        <v/>
      </c>
      <c r="I728" s="10" t="str">
        <f t="shared" si="23"/>
        <v/>
      </c>
      <c r="J728" s="2"/>
      <c r="K728" s="2"/>
      <c r="L728" s="2"/>
    </row>
    <row r="729" spans="1:12" ht="30" customHeight="1" x14ac:dyDescent="0.35">
      <c r="A729" t="s">
        <v>1516</v>
      </c>
      <c r="B729" t="s">
        <v>1517</v>
      </c>
      <c r="C729" t="s">
        <v>253</v>
      </c>
      <c r="D729" t="s">
        <v>252</v>
      </c>
      <c r="E729" s="2">
        <v>449075.04</v>
      </c>
      <c r="F729" s="2">
        <v>28394.48</v>
      </c>
      <c r="G729" s="2">
        <v>250000</v>
      </c>
      <c r="H729" s="8">
        <f t="shared" si="22"/>
        <v>278394.48</v>
      </c>
      <c r="I729" s="10">
        <f t="shared" si="23"/>
        <v>1.6130888802105559</v>
      </c>
      <c r="J729" s="2"/>
      <c r="K729" s="2"/>
      <c r="L729" s="2"/>
    </row>
    <row r="730" spans="1:12" ht="30" customHeight="1" x14ac:dyDescent="0.35">
      <c r="A730" t="s">
        <v>1518</v>
      </c>
      <c r="B730" t="s">
        <v>1519</v>
      </c>
      <c r="C730" t="s">
        <v>33</v>
      </c>
      <c r="D730" t="s">
        <v>32</v>
      </c>
      <c r="E730" s="2">
        <v>448852.21</v>
      </c>
      <c r="F730" s="2"/>
      <c r="G730" s="2"/>
      <c r="H730" s="8" t="str">
        <f t="shared" si="22"/>
        <v/>
      </c>
      <c r="I730" s="10" t="str">
        <f t="shared" si="23"/>
        <v/>
      </c>
      <c r="J730" s="2"/>
      <c r="K730" s="2"/>
      <c r="L730" s="2"/>
    </row>
    <row r="731" spans="1:12" ht="30" customHeight="1" x14ac:dyDescent="0.35">
      <c r="A731" t="s">
        <v>14</v>
      </c>
      <c r="B731" t="s">
        <v>1520</v>
      </c>
      <c r="C731" t="s">
        <v>253</v>
      </c>
      <c r="D731" t="s">
        <v>252</v>
      </c>
      <c r="E731" s="2">
        <v>369405.17</v>
      </c>
      <c r="F731" s="2">
        <v>3595608.01</v>
      </c>
      <c r="G731" s="2">
        <v>200000</v>
      </c>
      <c r="H731" s="8">
        <f t="shared" si="22"/>
        <v>3795608.01</v>
      </c>
      <c r="I731" s="10">
        <f t="shared" si="23"/>
        <v>9.7324373071917936E-2</v>
      </c>
      <c r="J731" s="2"/>
      <c r="K731" s="2"/>
      <c r="L731" s="2"/>
    </row>
    <row r="732" spans="1:12" ht="30" customHeight="1" x14ac:dyDescent="0.35">
      <c r="A732" t="s">
        <v>1521</v>
      </c>
      <c r="B732" t="s">
        <v>1522</v>
      </c>
      <c r="C732" t="s">
        <v>33</v>
      </c>
      <c r="D732" t="s">
        <v>32</v>
      </c>
      <c r="E732" s="2">
        <v>78518.259999999995</v>
      </c>
      <c r="F732" s="2"/>
      <c r="G732" s="2"/>
      <c r="H732" s="8" t="str">
        <f t="shared" si="22"/>
        <v/>
      </c>
      <c r="I732" s="10" t="str">
        <f t="shared" si="23"/>
        <v/>
      </c>
      <c r="J732" s="2"/>
      <c r="K732" s="2"/>
      <c r="L732" s="2"/>
    </row>
    <row r="733" spans="1:12" ht="30" customHeight="1" x14ac:dyDescent="0.35">
      <c r="A733" t="s">
        <v>464</v>
      </c>
      <c r="B733" t="s">
        <v>1523</v>
      </c>
      <c r="C733" t="s">
        <v>15</v>
      </c>
      <c r="D733" t="s">
        <v>14</v>
      </c>
      <c r="E733" s="2">
        <v>70771.42</v>
      </c>
      <c r="F733" s="2"/>
      <c r="G733" s="2"/>
      <c r="H733" s="8" t="str">
        <f t="shared" si="22"/>
        <v/>
      </c>
      <c r="I733" s="10" t="str">
        <f t="shared" si="23"/>
        <v/>
      </c>
      <c r="J733" s="2"/>
      <c r="K733" s="2"/>
      <c r="L733" s="2"/>
    </row>
    <row r="734" spans="1:12" ht="30" customHeight="1" x14ac:dyDescent="0.35">
      <c r="A734" t="s">
        <v>258</v>
      </c>
      <c r="B734" t="s">
        <v>1524</v>
      </c>
      <c r="C734" t="s">
        <v>385</v>
      </c>
      <c r="D734" t="s">
        <v>384</v>
      </c>
      <c r="E734" s="2">
        <v>175614.01</v>
      </c>
      <c r="F734" s="2">
        <v>0</v>
      </c>
      <c r="G734" s="2">
        <v>250000</v>
      </c>
      <c r="H734" s="8">
        <f t="shared" si="22"/>
        <v>250000</v>
      </c>
      <c r="I734" s="10">
        <f t="shared" si="23"/>
        <v>0.70245604000000006</v>
      </c>
      <c r="J734" s="2"/>
      <c r="K734" s="2"/>
      <c r="L734" s="2"/>
    </row>
    <row r="735" spans="1:12" ht="30" customHeight="1" x14ac:dyDescent="0.35">
      <c r="A735" t="s">
        <v>1525</v>
      </c>
      <c r="B735" t="s">
        <v>1526</v>
      </c>
      <c r="C735" t="s">
        <v>253</v>
      </c>
      <c r="D735" t="s">
        <v>252</v>
      </c>
      <c r="E735" s="2"/>
      <c r="F735" s="2">
        <v>384204.64</v>
      </c>
      <c r="G735" s="2"/>
      <c r="H735" s="8">
        <f t="shared" si="22"/>
        <v>384204.64</v>
      </c>
      <c r="I735" s="10">
        <f t="shared" si="23"/>
        <v>0</v>
      </c>
      <c r="J735" s="2"/>
      <c r="K735" s="2"/>
      <c r="L735" s="2"/>
    </row>
    <row r="736" spans="1:12" ht="30" customHeight="1" x14ac:dyDescent="0.35">
      <c r="A736" t="s">
        <v>1527</v>
      </c>
      <c r="B736" t="s">
        <v>1528</v>
      </c>
      <c r="C736" t="s">
        <v>259</v>
      </c>
      <c r="D736" t="s">
        <v>258</v>
      </c>
      <c r="E736" s="2">
        <v>132850.66</v>
      </c>
      <c r="F736" s="2">
        <v>907117.64</v>
      </c>
      <c r="G736" s="2"/>
      <c r="H736" s="8">
        <f t="shared" si="22"/>
        <v>907117.64</v>
      </c>
      <c r="I736" s="10">
        <f t="shared" si="23"/>
        <v>0.14645361763662759</v>
      </c>
      <c r="J736" s="2"/>
      <c r="K736" s="2"/>
      <c r="L736" s="2"/>
    </row>
    <row r="737" spans="1:12" ht="30" customHeight="1" x14ac:dyDescent="0.35">
      <c r="A737" t="s">
        <v>1529</v>
      </c>
      <c r="B737" t="s">
        <v>1530</v>
      </c>
      <c r="C737" t="s">
        <v>185</v>
      </c>
      <c r="D737" t="s">
        <v>184</v>
      </c>
      <c r="E737" s="2"/>
      <c r="F737" s="2">
        <v>376697.67</v>
      </c>
      <c r="G737" s="2"/>
      <c r="H737" s="8">
        <f t="shared" si="22"/>
        <v>376697.67</v>
      </c>
      <c r="I737" s="10">
        <f t="shared" si="23"/>
        <v>0</v>
      </c>
      <c r="J737" s="2"/>
      <c r="K737" s="2"/>
      <c r="L737" s="2"/>
    </row>
    <row r="738" spans="1:12" ht="30" customHeight="1" x14ac:dyDescent="0.35">
      <c r="A738" t="s">
        <v>1531</v>
      </c>
      <c r="B738" t="s">
        <v>1532</v>
      </c>
      <c r="C738" t="s">
        <v>457</v>
      </c>
      <c r="D738" t="s">
        <v>456</v>
      </c>
      <c r="E738" s="2">
        <v>344650.43</v>
      </c>
      <c r="F738" s="2">
        <v>1457589.13</v>
      </c>
      <c r="G738" s="2"/>
      <c r="H738" s="8">
        <f t="shared" si="22"/>
        <v>1457589.13</v>
      </c>
      <c r="I738" s="10">
        <f t="shared" si="23"/>
        <v>0.23645238764918616</v>
      </c>
      <c r="J738" s="2"/>
      <c r="K738" s="2"/>
      <c r="L738" s="2"/>
    </row>
    <row r="739" spans="1:12" ht="30" customHeight="1" x14ac:dyDescent="0.35">
      <c r="A739" t="s">
        <v>1533</v>
      </c>
      <c r="B739" t="s">
        <v>1534</v>
      </c>
      <c r="C739" t="s">
        <v>33</v>
      </c>
      <c r="D739" t="s">
        <v>32</v>
      </c>
      <c r="E739" s="2">
        <v>43669.29</v>
      </c>
      <c r="F739" s="2">
        <v>26217.34</v>
      </c>
      <c r="G739" s="2"/>
      <c r="H739" s="8">
        <f t="shared" si="22"/>
        <v>26217.34</v>
      </c>
      <c r="I739" s="10">
        <f t="shared" si="23"/>
        <v>1.6656644037877222</v>
      </c>
      <c r="J739" s="2"/>
      <c r="K739" s="2"/>
      <c r="L739" s="2"/>
    </row>
    <row r="740" spans="1:12" ht="30" customHeight="1" x14ac:dyDescent="0.35">
      <c r="A740" t="s">
        <v>1535</v>
      </c>
      <c r="B740" t="s">
        <v>1536</v>
      </c>
      <c r="C740" t="s">
        <v>101</v>
      </c>
      <c r="D740" t="s">
        <v>100</v>
      </c>
      <c r="E740" s="2">
        <v>441215.93</v>
      </c>
      <c r="F740" s="2">
        <v>1142090.1399999999</v>
      </c>
      <c r="G740" s="2"/>
      <c r="H740" s="8">
        <f t="shared" si="22"/>
        <v>1142090.1399999999</v>
      </c>
      <c r="I740" s="10">
        <f t="shared" si="23"/>
        <v>0.38632321088071037</v>
      </c>
      <c r="J740" s="2"/>
      <c r="K740" s="2"/>
      <c r="L740" s="2"/>
    </row>
    <row r="741" spans="1:12" ht="30" customHeight="1" x14ac:dyDescent="0.35">
      <c r="A741" t="s">
        <v>1537</v>
      </c>
      <c r="B741" t="s">
        <v>1538</v>
      </c>
      <c r="C741" t="s">
        <v>259</v>
      </c>
      <c r="D741" t="s">
        <v>258</v>
      </c>
      <c r="E741" s="2">
        <v>162055.82</v>
      </c>
      <c r="F741" s="2">
        <v>2620837.94</v>
      </c>
      <c r="G741" s="2">
        <v>1057305.0900000001</v>
      </c>
      <c r="H741" s="8">
        <f t="shared" si="22"/>
        <v>3678143.0300000003</v>
      </c>
      <c r="I741" s="10">
        <f t="shared" si="23"/>
        <v>4.4059140353767047E-2</v>
      </c>
      <c r="J741" s="2"/>
      <c r="K741" s="2"/>
      <c r="L741" s="2"/>
    </row>
    <row r="742" spans="1:12" ht="30" customHeight="1" x14ac:dyDescent="0.35">
      <c r="A742" t="s">
        <v>1539</v>
      </c>
      <c r="B742" t="s">
        <v>1540</v>
      </c>
      <c r="C742" t="s">
        <v>213</v>
      </c>
      <c r="D742" t="s">
        <v>212</v>
      </c>
      <c r="E742" s="2"/>
      <c r="F742" s="2">
        <v>262099.15</v>
      </c>
      <c r="G742" s="2"/>
      <c r="H742" s="8">
        <f t="shared" si="22"/>
        <v>262099.15</v>
      </c>
      <c r="I742" s="10">
        <f t="shared" si="23"/>
        <v>0</v>
      </c>
      <c r="J742" s="2"/>
      <c r="K742" s="2"/>
      <c r="L742" s="2"/>
    </row>
    <row r="743" spans="1:12" ht="30" customHeight="1" x14ac:dyDescent="0.35">
      <c r="A743" t="s">
        <v>1541</v>
      </c>
      <c r="B743" t="s">
        <v>1542</v>
      </c>
      <c r="C743" t="s">
        <v>51</v>
      </c>
      <c r="D743" t="s">
        <v>50</v>
      </c>
      <c r="E743" s="2">
        <v>122230.31</v>
      </c>
      <c r="F743" s="2"/>
      <c r="G743" s="2"/>
      <c r="H743" s="8" t="str">
        <f t="shared" si="22"/>
        <v/>
      </c>
      <c r="I743" s="10" t="str">
        <f t="shared" si="23"/>
        <v/>
      </c>
      <c r="J743" s="2"/>
      <c r="K743" s="2"/>
      <c r="L743" s="2"/>
    </row>
    <row r="744" spans="1:12" ht="30" customHeight="1" x14ac:dyDescent="0.35">
      <c r="A744" t="s">
        <v>1543</v>
      </c>
      <c r="B744" t="s">
        <v>1544</v>
      </c>
      <c r="C744" t="s">
        <v>487</v>
      </c>
      <c r="D744" t="s">
        <v>486</v>
      </c>
      <c r="E744" s="2">
        <v>50</v>
      </c>
      <c r="F744" s="2"/>
      <c r="G744" s="2"/>
      <c r="H744" s="8" t="str">
        <f t="shared" si="22"/>
        <v/>
      </c>
      <c r="I744" s="10" t="str">
        <f t="shared" si="23"/>
        <v/>
      </c>
      <c r="J744" s="2"/>
      <c r="K744" s="2"/>
      <c r="L744" s="2"/>
    </row>
    <row r="745" spans="1:12" ht="30" customHeight="1" x14ac:dyDescent="0.35">
      <c r="A745" t="s">
        <v>384</v>
      </c>
      <c r="B745" t="s">
        <v>1545</v>
      </c>
      <c r="C745" t="s">
        <v>51</v>
      </c>
      <c r="D745" t="s">
        <v>50</v>
      </c>
      <c r="E745" s="2">
        <v>1446282.27</v>
      </c>
      <c r="F745" s="2">
        <v>418341.31</v>
      </c>
      <c r="G745" s="2"/>
      <c r="H745" s="8">
        <f t="shared" si="22"/>
        <v>418341.31</v>
      </c>
      <c r="I745" s="10">
        <f t="shared" si="23"/>
        <v>3.4571825335633242</v>
      </c>
      <c r="J745" s="2"/>
      <c r="K745" s="2"/>
      <c r="L745" s="2"/>
    </row>
    <row r="746" spans="1:12" ht="30" customHeight="1" x14ac:dyDescent="0.35">
      <c r="A746" t="s">
        <v>1546</v>
      </c>
      <c r="B746" t="s">
        <v>1547</v>
      </c>
      <c r="C746" t="s">
        <v>965</v>
      </c>
      <c r="D746" t="s">
        <v>964</v>
      </c>
      <c r="E746" s="2">
        <v>0</v>
      </c>
      <c r="F746" s="2">
        <v>0</v>
      </c>
      <c r="G746" s="2"/>
      <c r="H746" s="8">
        <f t="shared" si="22"/>
        <v>0</v>
      </c>
      <c r="I746" s="10" t="e">
        <f t="shared" si="23"/>
        <v>#DIV/0!</v>
      </c>
      <c r="J746" s="2"/>
      <c r="K746" s="2"/>
      <c r="L746" s="2"/>
    </row>
    <row r="747" spans="1:12" ht="30" customHeight="1" x14ac:dyDescent="0.35">
      <c r="A747" t="s">
        <v>1548</v>
      </c>
      <c r="B747" t="s">
        <v>1549</v>
      </c>
      <c r="C747" t="s">
        <v>259</v>
      </c>
      <c r="D747" t="s">
        <v>258</v>
      </c>
      <c r="E747" s="2">
        <v>157628.76999999999</v>
      </c>
      <c r="F747" s="2">
        <v>1943107.59</v>
      </c>
      <c r="G747" s="2"/>
      <c r="H747" s="8">
        <f t="shared" si="22"/>
        <v>1943107.59</v>
      </c>
      <c r="I747" s="10">
        <f t="shared" si="23"/>
        <v>8.1121997984681837E-2</v>
      </c>
      <c r="J747" s="2"/>
      <c r="K747" s="2"/>
      <c r="L747" s="2"/>
    </row>
    <row r="748" spans="1:12" ht="30" customHeight="1" x14ac:dyDescent="0.35">
      <c r="A748" t="s">
        <v>1550</v>
      </c>
      <c r="B748" t="s">
        <v>1551</v>
      </c>
      <c r="C748" t="s">
        <v>19</v>
      </c>
      <c r="D748" t="s">
        <v>18</v>
      </c>
      <c r="E748" s="2">
        <v>19056.060000000001</v>
      </c>
      <c r="F748" s="2">
        <v>650722.25</v>
      </c>
      <c r="G748" s="2"/>
      <c r="H748" s="8">
        <f t="shared" si="22"/>
        <v>650722.25</v>
      </c>
      <c r="I748" s="10">
        <f t="shared" si="23"/>
        <v>2.9284475826667985E-2</v>
      </c>
      <c r="J748" s="2"/>
      <c r="K748" s="2"/>
      <c r="L748" s="2"/>
    </row>
    <row r="749" spans="1:12" ht="30" customHeight="1" x14ac:dyDescent="0.35">
      <c r="A749" t="s">
        <v>1552</v>
      </c>
      <c r="B749" t="s">
        <v>1553</v>
      </c>
      <c r="C749" t="s">
        <v>19</v>
      </c>
      <c r="D749" t="s">
        <v>18</v>
      </c>
      <c r="E749" s="2">
        <v>968084.21</v>
      </c>
      <c r="F749" s="2"/>
      <c r="G749" s="2"/>
      <c r="H749" s="8" t="str">
        <f t="shared" si="22"/>
        <v/>
      </c>
      <c r="I749" s="10" t="str">
        <f t="shared" si="23"/>
        <v/>
      </c>
      <c r="J749" s="2"/>
      <c r="K749" s="2"/>
      <c r="L749" s="2"/>
    </row>
    <row r="750" spans="1:12" ht="30" customHeight="1" x14ac:dyDescent="0.35">
      <c r="A750" t="s">
        <v>1554</v>
      </c>
      <c r="B750" t="s">
        <v>1555</v>
      </c>
      <c r="C750" t="s">
        <v>213</v>
      </c>
      <c r="D750" t="s">
        <v>212</v>
      </c>
      <c r="E750" s="2"/>
      <c r="F750" s="2">
        <v>11813.54</v>
      </c>
      <c r="G750" s="2"/>
      <c r="H750" s="8">
        <f t="shared" si="22"/>
        <v>11813.54</v>
      </c>
      <c r="I750" s="10">
        <f t="shared" si="23"/>
        <v>0</v>
      </c>
      <c r="J750" s="2"/>
      <c r="K750" s="2"/>
      <c r="L750" s="2"/>
    </row>
    <row r="751" spans="1:12" ht="30" customHeight="1" x14ac:dyDescent="0.35">
      <c r="A751" t="s">
        <v>2228</v>
      </c>
      <c r="B751" t="s">
        <v>2229</v>
      </c>
      <c r="C751" t="s">
        <v>29</v>
      </c>
      <c r="D751" t="s">
        <v>28</v>
      </c>
      <c r="E751" s="2">
        <v>611.23</v>
      </c>
      <c r="F751" s="2"/>
      <c r="G751" s="2"/>
      <c r="H751" s="8" t="str">
        <f t="shared" si="22"/>
        <v/>
      </c>
      <c r="I751" s="10" t="str">
        <f t="shared" si="23"/>
        <v/>
      </c>
      <c r="J751" s="2"/>
      <c r="K751" s="2"/>
      <c r="L751" s="2"/>
    </row>
    <row r="752" spans="1:12" ht="30" customHeight="1" x14ac:dyDescent="0.35">
      <c r="A752" t="s">
        <v>1556</v>
      </c>
      <c r="B752" t="s">
        <v>1557</v>
      </c>
      <c r="C752" t="s">
        <v>67</v>
      </c>
      <c r="D752" t="s">
        <v>66</v>
      </c>
      <c r="E752" s="2">
        <v>112960.29</v>
      </c>
      <c r="F752" s="2">
        <v>0</v>
      </c>
      <c r="G752" s="2">
        <v>500</v>
      </c>
      <c r="H752" s="8">
        <f t="shared" si="22"/>
        <v>500</v>
      </c>
      <c r="I752" s="10">
        <f t="shared" si="23"/>
        <v>225.92058</v>
      </c>
      <c r="J752" s="2"/>
      <c r="K752" s="2"/>
      <c r="L752" s="2"/>
    </row>
    <row r="753" spans="1:12" ht="30" customHeight="1" x14ac:dyDescent="0.35">
      <c r="A753" t="s">
        <v>1558</v>
      </c>
      <c r="B753" t="s">
        <v>1559</v>
      </c>
      <c r="C753" t="s">
        <v>19</v>
      </c>
      <c r="D753" t="s">
        <v>18</v>
      </c>
      <c r="E753" s="2">
        <v>2.85</v>
      </c>
      <c r="F753" s="2"/>
      <c r="G753" s="2"/>
      <c r="H753" s="8" t="str">
        <f t="shared" si="22"/>
        <v/>
      </c>
      <c r="I753" s="10" t="str">
        <f t="shared" si="23"/>
        <v/>
      </c>
      <c r="J753" s="2"/>
      <c r="K753" s="2"/>
      <c r="L753" s="2"/>
    </row>
    <row r="754" spans="1:12" ht="30" customHeight="1" x14ac:dyDescent="0.35">
      <c r="A754" t="s">
        <v>1560</v>
      </c>
      <c r="B754" t="s">
        <v>1561</v>
      </c>
      <c r="C754" t="s">
        <v>19</v>
      </c>
      <c r="D754" t="s">
        <v>18</v>
      </c>
      <c r="E754" s="2">
        <v>16727.78</v>
      </c>
      <c r="F754" s="2">
        <v>216843.34</v>
      </c>
      <c r="G754" s="2"/>
      <c r="H754" s="8">
        <f t="shared" si="22"/>
        <v>216843.34</v>
      </c>
      <c r="I754" s="10">
        <f t="shared" si="23"/>
        <v>7.7142235495911468E-2</v>
      </c>
      <c r="J754" s="2"/>
      <c r="K754" s="2"/>
      <c r="L754" s="2"/>
    </row>
    <row r="755" spans="1:12" ht="30" customHeight="1" x14ac:dyDescent="0.35">
      <c r="A755" t="s">
        <v>1562</v>
      </c>
      <c r="B755" t="s">
        <v>1563</v>
      </c>
      <c r="C755" t="s">
        <v>457</v>
      </c>
      <c r="D755" t="s">
        <v>456</v>
      </c>
      <c r="E755" s="2"/>
      <c r="F755" s="2">
        <v>391348.24</v>
      </c>
      <c r="G755" s="2"/>
      <c r="H755" s="8">
        <f t="shared" si="22"/>
        <v>391348.24</v>
      </c>
      <c r="I755" s="10">
        <f t="shared" si="23"/>
        <v>0</v>
      </c>
      <c r="J755" s="2"/>
      <c r="K755" s="2"/>
      <c r="L755" s="2"/>
    </row>
    <row r="756" spans="1:12" ht="30" customHeight="1" x14ac:dyDescent="0.35">
      <c r="A756" t="s">
        <v>1564</v>
      </c>
      <c r="B756" t="s">
        <v>1565</v>
      </c>
      <c r="C756" t="s">
        <v>253</v>
      </c>
      <c r="D756" t="s">
        <v>252</v>
      </c>
      <c r="E756" s="2"/>
      <c r="F756" s="2">
        <v>6457994.7199999997</v>
      </c>
      <c r="G756" s="2"/>
      <c r="H756" s="8">
        <f t="shared" ref="H756:H819" si="24">IF(ISBLANK(F756), "",(F756+G756))</f>
        <v>6457994.7199999997</v>
      </c>
      <c r="I756" s="10">
        <f t="shared" ref="I756:I819" si="25">IF(ISBLANK(F756), "", E756/H756)</f>
        <v>0</v>
      </c>
      <c r="J756" s="2"/>
      <c r="K756" s="2"/>
      <c r="L756" s="2"/>
    </row>
    <row r="757" spans="1:12" ht="30" customHeight="1" x14ac:dyDescent="0.35">
      <c r="A757" t="s">
        <v>1566</v>
      </c>
      <c r="B757" t="s">
        <v>1567</v>
      </c>
      <c r="C757" t="s">
        <v>29</v>
      </c>
      <c r="D757" t="s">
        <v>28</v>
      </c>
      <c r="E757" s="2">
        <v>91586.05</v>
      </c>
      <c r="F757" s="2">
        <v>2273.34</v>
      </c>
      <c r="G757" s="2">
        <v>79759.69</v>
      </c>
      <c r="H757" s="8">
        <f t="shared" si="24"/>
        <v>82033.03</v>
      </c>
      <c r="I757" s="10">
        <f t="shared" si="25"/>
        <v>1.1164533359306612</v>
      </c>
      <c r="J757" s="2"/>
      <c r="K757" s="2"/>
      <c r="L757" s="2"/>
    </row>
    <row r="758" spans="1:12" ht="30" customHeight="1" x14ac:dyDescent="0.35">
      <c r="A758" t="s">
        <v>1568</v>
      </c>
      <c r="B758" t="s">
        <v>1569</v>
      </c>
      <c r="C758" t="s">
        <v>465</v>
      </c>
      <c r="D758" t="s">
        <v>464</v>
      </c>
      <c r="E758" s="2">
        <v>318616.49</v>
      </c>
      <c r="F758" s="2">
        <v>19427.009999999998</v>
      </c>
      <c r="G758" s="2">
        <v>200000</v>
      </c>
      <c r="H758" s="8">
        <f t="shared" si="24"/>
        <v>219427.01</v>
      </c>
      <c r="I758" s="10">
        <f t="shared" si="25"/>
        <v>1.4520386072799332</v>
      </c>
      <c r="J758" s="2"/>
      <c r="K758" s="2"/>
      <c r="L758" s="2"/>
    </row>
    <row r="759" spans="1:12" ht="30" customHeight="1" x14ac:dyDescent="0.35">
      <c r="A759" t="s">
        <v>1570</v>
      </c>
      <c r="B759" t="s">
        <v>1571</v>
      </c>
      <c r="C759" t="s">
        <v>29</v>
      </c>
      <c r="D759" t="s">
        <v>28</v>
      </c>
      <c r="E759" s="2">
        <v>31002.560000000001</v>
      </c>
      <c r="F759" s="2">
        <v>44785.01</v>
      </c>
      <c r="G759" s="2">
        <v>8214.99</v>
      </c>
      <c r="H759" s="8">
        <f t="shared" si="24"/>
        <v>53000</v>
      </c>
      <c r="I759" s="10">
        <f t="shared" si="25"/>
        <v>0.58495396226415097</v>
      </c>
      <c r="J759" s="2"/>
      <c r="K759" s="2"/>
      <c r="L759" s="2"/>
    </row>
    <row r="760" spans="1:12" ht="30" customHeight="1" x14ac:dyDescent="0.35">
      <c r="A760" t="s">
        <v>1572</v>
      </c>
      <c r="B760" t="s">
        <v>1573</v>
      </c>
      <c r="C760" t="s">
        <v>385</v>
      </c>
      <c r="D760" t="s">
        <v>384</v>
      </c>
      <c r="E760" s="2">
        <v>218931.53</v>
      </c>
      <c r="F760" s="2">
        <v>50777.91</v>
      </c>
      <c r="G760" s="2">
        <v>49222.09</v>
      </c>
      <c r="H760" s="8">
        <f t="shared" si="24"/>
        <v>100000</v>
      </c>
      <c r="I760" s="10">
        <f t="shared" si="25"/>
        <v>2.1893153000000001</v>
      </c>
      <c r="J760" s="2"/>
      <c r="K760" s="2"/>
      <c r="L760" s="2"/>
    </row>
    <row r="761" spans="1:12" ht="30" customHeight="1" x14ac:dyDescent="0.35">
      <c r="A761" t="s">
        <v>1574</v>
      </c>
      <c r="B761" t="s">
        <v>1575</v>
      </c>
      <c r="C761" t="s">
        <v>19</v>
      </c>
      <c r="D761" t="s">
        <v>18</v>
      </c>
      <c r="E761" s="2">
        <v>15699.86</v>
      </c>
      <c r="F761" s="2"/>
      <c r="G761" s="2"/>
      <c r="H761" s="8" t="str">
        <f t="shared" si="24"/>
        <v/>
      </c>
      <c r="I761" s="10" t="str">
        <f t="shared" si="25"/>
        <v/>
      </c>
      <c r="J761" s="2"/>
      <c r="K761" s="2"/>
      <c r="L761" s="2"/>
    </row>
    <row r="762" spans="1:12" ht="30" customHeight="1" x14ac:dyDescent="0.35">
      <c r="A762" t="s">
        <v>1576</v>
      </c>
      <c r="B762" t="s">
        <v>1577</v>
      </c>
      <c r="C762" t="s">
        <v>15</v>
      </c>
      <c r="D762" t="s">
        <v>14</v>
      </c>
      <c r="E762" s="2">
        <v>56979.72</v>
      </c>
      <c r="F762" s="2">
        <v>1974757.99</v>
      </c>
      <c r="G762" s="2"/>
      <c r="H762" s="8">
        <f t="shared" si="24"/>
        <v>1974757.99</v>
      </c>
      <c r="I762" s="10">
        <f t="shared" si="25"/>
        <v>2.8854026816724009E-2</v>
      </c>
      <c r="J762" s="2"/>
      <c r="K762" s="2"/>
      <c r="L762" s="2"/>
    </row>
    <row r="763" spans="1:12" ht="30" customHeight="1" x14ac:dyDescent="0.35">
      <c r="A763" t="s">
        <v>964</v>
      </c>
      <c r="B763" t="s">
        <v>1578</v>
      </c>
      <c r="C763" t="s">
        <v>465</v>
      </c>
      <c r="D763" t="s">
        <v>464</v>
      </c>
      <c r="E763" s="2">
        <v>4921666.9400000004</v>
      </c>
      <c r="F763" s="2">
        <v>2455669.7400000002</v>
      </c>
      <c r="G763" s="2">
        <v>202644</v>
      </c>
      <c r="H763" s="8">
        <f t="shared" si="24"/>
        <v>2658313.7400000002</v>
      </c>
      <c r="I763" s="10">
        <f t="shared" si="25"/>
        <v>1.8514244071130597</v>
      </c>
      <c r="J763" s="2"/>
      <c r="K763" s="2"/>
      <c r="L763" s="2"/>
    </row>
    <row r="764" spans="1:12" ht="30" customHeight="1" x14ac:dyDescent="0.35">
      <c r="A764" t="s">
        <v>212</v>
      </c>
      <c r="B764" t="s">
        <v>1579</v>
      </c>
      <c r="C764" t="s">
        <v>19</v>
      </c>
      <c r="D764" t="s">
        <v>18</v>
      </c>
      <c r="E764" s="2">
        <v>624.23</v>
      </c>
      <c r="F764" s="2"/>
      <c r="G764" s="2"/>
      <c r="H764" s="8" t="str">
        <f t="shared" si="24"/>
        <v/>
      </c>
      <c r="I764" s="10" t="str">
        <f t="shared" si="25"/>
        <v/>
      </c>
      <c r="J764" s="2"/>
      <c r="K764" s="2"/>
      <c r="L764" s="2"/>
    </row>
    <row r="765" spans="1:12" ht="30" customHeight="1" x14ac:dyDescent="0.35">
      <c r="A765" t="s">
        <v>1580</v>
      </c>
      <c r="B765" t="s">
        <v>1581</v>
      </c>
      <c r="C765" t="s">
        <v>19</v>
      </c>
      <c r="D765" t="s">
        <v>18</v>
      </c>
      <c r="E765" s="2">
        <v>89162.54</v>
      </c>
      <c r="F765" s="2">
        <v>341434.13</v>
      </c>
      <c r="G765" s="2"/>
      <c r="H765" s="8">
        <f t="shared" si="24"/>
        <v>341434.13</v>
      </c>
      <c r="I765" s="10">
        <f t="shared" si="25"/>
        <v>0.26114126317717562</v>
      </c>
      <c r="J765" s="2"/>
      <c r="K765" s="2"/>
      <c r="L765" s="2"/>
    </row>
    <row r="766" spans="1:12" ht="30" customHeight="1" x14ac:dyDescent="0.35">
      <c r="A766" t="s">
        <v>1582</v>
      </c>
      <c r="B766" t="s">
        <v>1583</v>
      </c>
      <c r="C766" t="s">
        <v>457</v>
      </c>
      <c r="D766" t="s">
        <v>456</v>
      </c>
      <c r="E766" s="2">
        <v>253514.92</v>
      </c>
      <c r="F766" s="2">
        <v>2137825.88</v>
      </c>
      <c r="G766" s="2"/>
      <c r="H766" s="8">
        <f t="shared" si="24"/>
        <v>2137825.88</v>
      </c>
      <c r="I766" s="10">
        <f t="shared" si="25"/>
        <v>0.11858539199647074</v>
      </c>
      <c r="J766" s="2"/>
      <c r="K766" s="2"/>
      <c r="L766" s="2"/>
    </row>
    <row r="767" spans="1:12" ht="30" customHeight="1" x14ac:dyDescent="0.35">
      <c r="A767" t="s">
        <v>1584</v>
      </c>
      <c r="B767" t="s">
        <v>1585</v>
      </c>
      <c r="C767" t="s">
        <v>313</v>
      </c>
      <c r="D767" t="s">
        <v>312</v>
      </c>
      <c r="E767" s="2">
        <v>54618.03</v>
      </c>
      <c r="F767" s="2"/>
      <c r="G767" s="2"/>
      <c r="H767" s="8" t="str">
        <f t="shared" si="24"/>
        <v/>
      </c>
      <c r="I767" s="10" t="str">
        <f t="shared" si="25"/>
        <v/>
      </c>
      <c r="J767" s="2"/>
      <c r="K767" s="2"/>
      <c r="L767" s="2"/>
    </row>
    <row r="768" spans="1:12" ht="30" customHeight="1" x14ac:dyDescent="0.35">
      <c r="A768" t="s">
        <v>1586</v>
      </c>
      <c r="B768" t="s">
        <v>1587</v>
      </c>
      <c r="C768" t="s">
        <v>457</v>
      </c>
      <c r="D768" t="s">
        <v>456</v>
      </c>
      <c r="E768" s="2">
        <v>15783.89</v>
      </c>
      <c r="F768" s="2">
        <v>68388</v>
      </c>
      <c r="G768" s="2"/>
      <c r="H768" s="8">
        <f t="shared" si="24"/>
        <v>68388</v>
      </c>
      <c r="I768" s="10">
        <f t="shared" si="25"/>
        <v>0.23079911680411766</v>
      </c>
      <c r="J768" s="2"/>
      <c r="K768" s="2"/>
      <c r="L768" s="2"/>
    </row>
    <row r="769" spans="1:12" ht="30" customHeight="1" x14ac:dyDescent="0.35">
      <c r="A769" t="s">
        <v>1588</v>
      </c>
      <c r="B769" t="s">
        <v>1589</v>
      </c>
      <c r="C769" t="s">
        <v>57</v>
      </c>
      <c r="D769" t="s">
        <v>56</v>
      </c>
      <c r="E769" s="2">
        <v>117199.6</v>
      </c>
      <c r="F769" s="2">
        <v>92009.67</v>
      </c>
      <c r="G769" s="2">
        <v>11856.07</v>
      </c>
      <c r="H769" s="8">
        <f t="shared" si="24"/>
        <v>103865.73999999999</v>
      </c>
      <c r="I769" s="10">
        <f t="shared" si="25"/>
        <v>1.1283759206837598</v>
      </c>
      <c r="J769" s="2"/>
      <c r="K769" s="2"/>
      <c r="L769" s="2"/>
    </row>
    <row r="770" spans="1:12" ht="30" customHeight="1" x14ac:dyDescent="0.35">
      <c r="A770" t="s">
        <v>1590</v>
      </c>
      <c r="B770" t="s">
        <v>1591</v>
      </c>
      <c r="C770" t="s">
        <v>465</v>
      </c>
      <c r="D770" t="s">
        <v>464</v>
      </c>
      <c r="E770" s="2">
        <v>19661.37</v>
      </c>
      <c r="F770" s="2">
        <v>1509261.02</v>
      </c>
      <c r="G770" s="2">
        <v>250000</v>
      </c>
      <c r="H770" s="8">
        <f t="shared" si="24"/>
        <v>1759261.02</v>
      </c>
      <c r="I770" s="10">
        <f t="shared" si="25"/>
        <v>1.1175925446242194E-2</v>
      </c>
      <c r="J770" s="2"/>
      <c r="K770" s="2"/>
      <c r="L770" s="2"/>
    </row>
    <row r="771" spans="1:12" ht="30" customHeight="1" x14ac:dyDescent="0.35">
      <c r="A771" t="s">
        <v>456</v>
      </c>
      <c r="B771" t="s">
        <v>1592</v>
      </c>
      <c r="C771" t="s">
        <v>185</v>
      </c>
      <c r="D771" t="s">
        <v>184</v>
      </c>
      <c r="E771" s="2">
        <v>10771.69</v>
      </c>
      <c r="F771" s="2">
        <v>880643.73</v>
      </c>
      <c r="G771" s="2"/>
      <c r="H771" s="8">
        <f t="shared" si="24"/>
        <v>880643.73</v>
      </c>
      <c r="I771" s="10">
        <f t="shared" si="25"/>
        <v>1.2231609257014752E-2</v>
      </c>
      <c r="J771" s="2"/>
      <c r="K771" s="2"/>
      <c r="L771" s="2"/>
    </row>
    <row r="772" spans="1:12" ht="30" customHeight="1" x14ac:dyDescent="0.35">
      <c r="A772" t="s">
        <v>1593</v>
      </c>
      <c r="B772" t="s">
        <v>1594</v>
      </c>
      <c r="C772" t="s">
        <v>253</v>
      </c>
      <c r="D772" t="s">
        <v>252</v>
      </c>
      <c r="E772" s="2"/>
      <c r="F772" s="2">
        <v>339819.37</v>
      </c>
      <c r="G772" s="2">
        <v>180.63</v>
      </c>
      <c r="H772" s="8">
        <f t="shared" si="24"/>
        <v>340000</v>
      </c>
      <c r="I772" s="10">
        <f t="shared" si="25"/>
        <v>0</v>
      </c>
      <c r="J772" s="2"/>
      <c r="K772" s="2"/>
      <c r="L772" s="2"/>
    </row>
    <row r="773" spans="1:12" ht="30" customHeight="1" x14ac:dyDescent="0.35">
      <c r="A773" t="s">
        <v>1595</v>
      </c>
      <c r="B773" t="s">
        <v>1596</v>
      </c>
      <c r="C773" t="s">
        <v>15</v>
      </c>
      <c r="D773" t="s">
        <v>14</v>
      </c>
      <c r="E773" s="2">
        <v>41498.300000000003</v>
      </c>
      <c r="F773" s="2">
        <v>1015450.91</v>
      </c>
      <c r="G773" s="2"/>
      <c r="H773" s="8">
        <f t="shared" si="24"/>
        <v>1015450.91</v>
      </c>
      <c r="I773" s="10">
        <f t="shared" si="25"/>
        <v>4.0866869674674872E-2</v>
      </c>
      <c r="J773" s="2"/>
      <c r="K773" s="2"/>
      <c r="L773" s="2"/>
    </row>
    <row r="774" spans="1:12" ht="30" customHeight="1" x14ac:dyDescent="0.35">
      <c r="A774" t="s">
        <v>1597</v>
      </c>
      <c r="B774" t="s">
        <v>1598</v>
      </c>
      <c r="C774" t="s">
        <v>19</v>
      </c>
      <c r="D774" t="s">
        <v>18</v>
      </c>
      <c r="E774" s="2">
        <v>118712.09</v>
      </c>
      <c r="F774" s="2">
        <v>232953.64</v>
      </c>
      <c r="G774" s="2">
        <v>46.36</v>
      </c>
      <c r="H774" s="8">
        <f t="shared" si="24"/>
        <v>233000</v>
      </c>
      <c r="I774" s="10">
        <f t="shared" si="25"/>
        <v>0.50949394849785401</v>
      </c>
      <c r="J774" s="2"/>
      <c r="K774" s="2"/>
      <c r="L774" s="2"/>
    </row>
    <row r="775" spans="1:12" ht="30" customHeight="1" x14ac:dyDescent="0.35">
      <c r="A775" t="s">
        <v>1599</v>
      </c>
      <c r="B775" t="s">
        <v>1600</v>
      </c>
      <c r="C775" t="s">
        <v>385</v>
      </c>
      <c r="D775" t="s">
        <v>384</v>
      </c>
      <c r="E775" s="2">
        <v>10060.700000000001</v>
      </c>
      <c r="F775" s="2">
        <v>110000</v>
      </c>
      <c r="G775" s="2">
        <v>0</v>
      </c>
      <c r="H775" s="8">
        <f t="shared" si="24"/>
        <v>110000</v>
      </c>
      <c r="I775" s="10">
        <f t="shared" si="25"/>
        <v>9.1460909090909093E-2</v>
      </c>
      <c r="J775" s="2"/>
      <c r="K775" s="2"/>
      <c r="L775" s="2"/>
    </row>
    <row r="776" spans="1:12" ht="30" customHeight="1" x14ac:dyDescent="0.35">
      <c r="A776" t="s">
        <v>1601</v>
      </c>
      <c r="B776" t="s">
        <v>1602</v>
      </c>
      <c r="C776" t="s">
        <v>33</v>
      </c>
      <c r="D776" t="s">
        <v>32</v>
      </c>
      <c r="E776" s="2">
        <v>55799.69</v>
      </c>
      <c r="F776" s="2">
        <v>175740.4</v>
      </c>
      <c r="G776" s="2"/>
      <c r="H776" s="8">
        <f t="shared" si="24"/>
        <v>175740.4</v>
      </c>
      <c r="I776" s="10">
        <f t="shared" si="25"/>
        <v>0.31751202341635731</v>
      </c>
      <c r="J776" s="2"/>
      <c r="K776" s="2"/>
      <c r="L776" s="2"/>
    </row>
    <row r="777" spans="1:12" ht="30" customHeight="1" x14ac:dyDescent="0.35">
      <c r="A777" t="s">
        <v>1603</v>
      </c>
      <c r="B777" t="s">
        <v>1604</v>
      </c>
      <c r="C777" t="s">
        <v>41</v>
      </c>
      <c r="D777" t="s">
        <v>40</v>
      </c>
      <c r="E777" s="2"/>
      <c r="F777" s="2">
        <v>559697.96</v>
      </c>
      <c r="G777" s="2"/>
      <c r="H777" s="8">
        <f t="shared" si="24"/>
        <v>559697.96</v>
      </c>
      <c r="I777" s="10">
        <f t="shared" si="25"/>
        <v>0</v>
      </c>
      <c r="J777" s="2"/>
      <c r="K777" s="2"/>
      <c r="L777" s="2"/>
    </row>
    <row r="778" spans="1:12" ht="30" customHeight="1" x14ac:dyDescent="0.35">
      <c r="A778" t="s">
        <v>1605</v>
      </c>
      <c r="B778" t="s">
        <v>1606</v>
      </c>
      <c r="C778" t="s">
        <v>51</v>
      </c>
      <c r="D778" t="s">
        <v>50</v>
      </c>
      <c r="E778" s="2">
        <v>11563.5</v>
      </c>
      <c r="F778" s="2">
        <v>21394.52</v>
      </c>
      <c r="G778" s="2">
        <v>20600</v>
      </c>
      <c r="H778" s="8">
        <f t="shared" si="24"/>
        <v>41994.520000000004</v>
      </c>
      <c r="I778" s="10">
        <f t="shared" si="25"/>
        <v>0.27535735615027862</v>
      </c>
      <c r="J778" s="2"/>
      <c r="K778" s="2"/>
      <c r="L778" s="2"/>
    </row>
    <row r="779" spans="1:12" ht="30" customHeight="1" x14ac:dyDescent="0.35">
      <c r="A779" t="s">
        <v>1607</v>
      </c>
      <c r="B779" t="s">
        <v>1608</v>
      </c>
      <c r="C779" t="s">
        <v>213</v>
      </c>
      <c r="D779" t="s">
        <v>212</v>
      </c>
      <c r="E779" s="2">
        <v>21723.84</v>
      </c>
      <c r="F779" s="2">
        <v>345301.64</v>
      </c>
      <c r="G779" s="2">
        <v>6.19</v>
      </c>
      <c r="H779" s="8">
        <f t="shared" si="24"/>
        <v>345307.83</v>
      </c>
      <c r="I779" s="10">
        <f t="shared" si="25"/>
        <v>6.291151868754323E-2</v>
      </c>
      <c r="J779" s="2"/>
      <c r="K779" s="2"/>
      <c r="L779" s="2"/>
    </row>
    <row r="780" spans="1:12" ht="30" customHeight="1" x14ac:dyDescent="0.35">
      <c r="A780" t="s">
        <v>1609</v>
      </c>
      <c r="B780" t="s">
        <v>1610</v>
      </c>
      <c r="C780" t="s">
        <v>51</v>
      </c>
      <c r="D780" t="s">
        <v>50</v>
      </c>
      <c r="E780" s="2">
        <v>26800.6</v>
      </c>
      <c r="F780" s="2">
        <v>7094.6</v>
      </c>
      <c r="G780" s="2"/>
      <c r="H780" s="8">
        <f t="shared" si="24"/>
        <v>7094.6</v>
      </c>
      <c r="I780" s="10">
        <f t="shared" si="25"/>
        <v>3.7776055027767592</v>
      </c>
      <c r="J780" s="2"/>
      <c r="K780" s="2"/>
      <c r="L780" s="2"/>
    </row>
    <row r="781" spans="1:12" ht="30" customHeight="1" x14ac:dyDescent="0.35">
      <c r="A781" t="s">
        <v>1611</v>
      </c>
      <c r="B781" t="s">
        <v>1612</v>
      </c>
      <c r="C781" t="s">
        <v>109</v>
      </c>
      <c r="D781" t="s">
        <v>108</v>
      </c>
      <c r="E781" s="2">
        <v>15089.85</v>
      </c>
      <c r="F781" s="2"/>
      <c r="G781" s="2"/>
      <c r="H781" s="8" t="str">
        <f t="shared" si="24"/>
        <v/>
      </c>
      <c r="I781" s="10" t="str">
        <f t="shared" si="25"/>
        <v/>
      </c>
      <c r="J781" s="2"/>
      <c r="K781" s="2"/>
      <c r="L781" s="2"/>
    </row>
    <row r="782" spans="1:12" ht="30" customHeight="1" x14ac:dyDescent="0.35">
      <c r="A782" t="s">
        <v>1613</v>
      </c>
      <c r="B782" t="s">
        <v>1614</v>
      </c>
      <c r="C782" t="s">
        <v>385</v>
      </c>
      <c r="D782" t="s">
        <v>384</v>
      </c>
      <c r="E782" s="2">
        <v>1269396.8999999999</v>
      </c>
      <c r="F782" s="2">
        <v>44254.76</v>
      </c>
      <c r="G782" s="2">
        <v>44645.24</v>
      </c>
      <c r="H782" s="8">
        <f t="shared" si="24"/>
        <v>88900</v>
      </c>
      <c r="I782" s="10">
        <f t="shared" si="25"/>
        <v>14.27893025871766</v>
      </c>
      <c r="J782" s="2"/>
      <c r="K782" s="2"/>
      <c r="L782" s="2"/>
    </row>
    <row r="783" spans="1:12" ht="30" customHeight="1" x14ac:dyDescent="0.35">
      <c r="A783" t="s">
        <v>1615</v>
      </c>
      <c r="B783" t="s">
        <v>1616</v>
      </c>
      <c r="C783" t="s">
        <v>33</v>
      </c>
      <c r="D783" t="s">
        <v>32</v>
      </c>
      <c r="E783" s="2">
        <v>261815.49</v>
      </c>
      <c r="F783" s="2">
        <v>0</v>
      </c>
      <c r="G783" s="2">
        <v>222735</v>
      </c>
      <c r="H783" s="8">
        <f t="shared" si="24"/>
        <v>222735</v>
      </c>
      <c r="I783" s="10">
        <f t="shared" si="25"/>
        <v>1.1754573371944239</v>
      </c>
      <c r="J783" s="2"/>
      <c r="K783" s="2"/>
      <c r="L783" s="2"/>
    </row>
    <row r="784" spans="1:12" ht="30" customHeight="1" x14ac:dyDescent="0.35">
      <c r="A784" t="s">
        <v>1617</v>
      </c>
      <c r="B784" t="s">
        <v>1618</v>
      </c>
      <c r="C784" t="s">
        <v>457</v>
      </c>
      <c r="D784" t="s">
        <v>456</v>
      </c>
      <c r="E784" s="2"/>
      <c r="F784" s="2">
        <v>215491.02</v>
      </c>
      <c r="G784" s="2"/>
      <c r="H784" s="8">
        <f t="shared" si="24"/>
        <v>215491.02</v>
      </c>
      <c r="I784" s="10">
        <f t="shared" si="25"/>
        <v>0</v>
      </c>
      <c r="J784" s="2"/>
      <c r="K784" s="2"/>
      <c r="L784" s="2"/>
    </row>
    <row r="785" spans="1:12" ht="30" customHeight="1" x14ac:dyDescent="0.35">
      <c r="A785" t="s">
        <v>22</v>
      </c>
      <c r="B785" t="s">
        <v>1619</v>
      </c>
      <c r="C785" t="s">
        <v>259</v>
      </c>
      <c r="D785" t="s">
        <v>258</v>
      </c>
      <c r="E785" s="2">
        <v>337054.78</v>
      </c>
      <c r="F785" s="2">
        <v>170488.02</v>
      </c>
      <c r="G785" s="2"/>
      <c r="H785" s="8">
        <f t="shared" si="24"/>
        <v>170488.02</v>
      </c>
      <c r="I785" s="10">
        <f t="shared" si="25"/>
        <v>1.9769997915396051</v>
      </c>
      <c r="J785" s="2"/>
      <c r="K785" s="2"/>
      <c r="L785" s="2"/>
    </row>
    <row r="786" spans="1:12" ht="30" customHeight="1" x14ac:dyDescent="0.35">
      <c r="A786" t="s">
        <v>470</v>
      </c>
      <c r="B786" t="s">
        <v>1620</v>
      </c>
      <c r="C786" t="s">
        <v>101</v>
      </c>
      <c r="D786" t="s">
        <v>100</v>
      </c>
      <c r="E786" s="2">
        <v>87265.919999999998</v>
      </c>
      <c r="F786" s="2">
        <v>539533.48</v>
      </c>
      <c r="G786" s="2"/>
      <c r="H786" s="8">
        <f t="shared" si="24"/>
        <v>539533.48</v>
      </c>
      <c r="I786" s="10">
        <f t="shared" si="25"/>
        <v>0.16174328977693841</v>
      </c>
      <c r="J786" s="2"/>
      <c r="K786" s="2"/>
      <c r="L786" s="2"/>
    </row>
    <row r="787" spans="1:12" ht="30" customHeight="1" x14ac:dyDescent="0.35">
      <c r="A787" t="s">
        <v>1621</v>
      </c>
      <c r="B787" t="s">
        <v>1622</v>
      </c>
      <c r="C787" t="s">
        <v>213</v>
      </c>
      <c r="D787" t="s">
        <v>212</v>
      </c>
      <c r="E787" s="2">
        <v>50743.01</v>
      </c>
      <c r="F787" s="2">
        <v>2413547.56</v>
      </c>
      <c r="G787" s="2"/>
      <c r="H787" s="8">
        <f t="shared" si="24"/>
        <v>2413547.56</v>
      </c>
      <c r="I787" s="10">
        <f t="shared" si="25"/>
        <v>2.1024242836963195E-2</v>
      </c>
      <c r="J787" s="2"/>
      <c r="K787" s="2"/>
      <c r="L787" s="2"/>
    </row>
    <row r="788" spans="1:12" ht="30" customHeight="1" x14ac:dyDescent="0.35">
      <c r="A788" t="s">
        <v>1623</v>
      </c>
      <c r="B788" t="s">
        <v>1624</v>
      </c>
      <c r="C788" t="s">
        <v>259</v>
      </c>
      <c r="D788" t="s">
        <v>258</v>
      </c>
      <c r="E788" s="2"/>
      <c r="F788" s="2">
        <v>4601866.9400000004</v>
      </c>
      <c r="G788" s="2"/>
      <c r="H788" s="8">
        <f t="shared" si="24"/>
        <v>4601866.9400000004</v>
      </c>
      <c r="I788" s="10">
        <f t="shared" si="25"/>
        <v>0</v>
      </c>
      <c r="J788" s="2"/>
      <c r="K788" s="2"/>
      <c r="L788" s="2"/>
    </row>
    <row r="789" spans="1:12" ht="30" customHeight="1" x14ac:dyDescent="0.35">
      <c r="A789" t="s">
        <v>1625</v>
      </c>
      <c r="B789" t="s">
        <v>1626</v>
      </c>
      <c r="C789" t="s">
        <v>457</v>
      </c>
      <c r="D789" t="s">
        <v>456</v>
      </c>
      <c r="E789" s="2">
        <v>80</v>
      </c>
      <c r="F789" s="2">
        <v>210735.72</v>
      </c>
      <c r="G789" s="2"/>
      <c r="H789" s="8">
        <f t="shared" si="24"/>
        <v>210735.72</v>
      </c>
      <c r="I789" s="10">
        <f t="shared" si="25"/>
        <v>3.7962240098641083E-4</v>
      </c>
      <c r="J789" s="2"/>
      <c r="K789" s="2"/>
      <c r="L789" s="2"/>
    </row>
    <row r="790" spans="1:12" ht="30" customHeight="1" x14ac:dyDescent="0.35">
      <c r="A790" t="s">
        <v>404</v>
      </c>
      <c r="B790" t="s">
        <v>1627</v>
      </c>
      <c r="C790" t="s">
        <v>465</v>
      </c>
      <c r="D790" t="s">
        <v>464</v>
      </c>
      <c r="E790" s="2">
        <v>106276.87</v>
      </c>
      <c r="F790" s="2">
        <v>1184214.95</v>
      </c>
      <c r="G790" s="2"/>
      <c r="H790" s="8">
        <f t="shared" si="24"/>
        <v>1184214.95</v>
      </c>
      <c r="I790" s="10">
        <f t="shared" si="25"/>
        <v>8.9744577198590511E-2</v>
      </c>
      <c r="J790" s="2"/>
      <c r="K790" s="2"/>
      <c r="L790" s="2"/>
    </row>
    <row r="791" spans="1:12" ht="30" customHeight="1" x14ac:dyDescent="0.35">
      <c r="A791" t="s">
        <v>599</v>
      </c>
      <c r="B791" t="s">
        <v>1628</v>
      </c>
      <c r="C791" t="s">
        <v>29</v>
      </c>
      <c r="D791" t="s">
        <v>28</v>
      </c>
      <c r="E791" s="2">
        <v>1865</v>
      </c>
      <c r="F791" s="2">
        <v>140613.12</v>
      </c>
      <c r="G791" s="2"/>
      <c r="H791" s="8">
        <f t="shared" si="24"/>
        <v>140613.12</v>
      </c>
      <c r="I791" s="10">
        <f t="shared" si="25"/>
        <v>1.3263342709414315E-2</v>
      </c>
      <c r="J791" s="2"/>
      <c r="K791" s="2"/>
      <c r="L791" s="2"/>
    </row>
    <row r="792" spans="1:12" ht="30" customHeight="1" x14ac:dyDescent="0.35">
      <c r="A792" t="s">
        <v>1629</v>
      </c>
      <c r="B792" t="s">
        <v>1630</v>
      </c>
      <c r="C792" t="s">
        <v>259</v>
      </c>
      <c r="D792" t="s">
        <v>258</v>
      </c>
      <c r="E792" s="2">
        <v>726111.19</v>
      </c>
      <c r="F792" s="2">
        <v>90033.02</v>
      </c>
      <c r="G792" s="2">
        <v>1500000</v>
      </c>
      <c r="H792" s="8">
        <f t="shared" si="24"/>
        <v>1590033.02</v>
      </c>
      <c r="I792" s="10">
        <f t="shared" si="25"/>
        <v>0.45666422072165513</v>
      </c>
      <c r="J792" s="2"/>
      <c r="K792" s="2"/>
      <c r="L792" s="2"/>
    </row>
    <row r="793" spans="1:12" ht="30" customHeight="1" x14ac:dyDescent="0.35">
      <c r="A793" t="s">
        <v>1631</v>
      </c>
      <c r="B793" t="s">
        <v>1632</v>
      </c>
      <c r="C793" t="s">
        <v>41</v>
      </c>
      <c r="D793" t="s">
        <v>40</v>
      </c>
      <c r="E793" s="2">
        <v>251769.39</v>
      </c>
      <c r="F793" s="2">
        <v>200000</v>
      </c>
      <c r="G793" s="2">
        <v>150000</v>
      </c>
      <c r="H793" s="8">
        <f t="shared" si="24"/>
        <v>350000</v>
      </c>
      <c r="I793" s="10">
        <f t="shared" si="25"/>
        <v>0.71934111428571434</v>
      </c>
      <c r="J793" s="2"/>
      <c r="K793" s="2"/>
      <c r="L793" s="2"/>
    </row>
    <row r="794" spans="1:12" ht="30" customHeight="1" x14ac:dyDescent="0.35">
      <c r="A794" t="s">
        <v>1633</v>
      </c>
      <c r="B794" t="s">
        <v>1634</v>
      </c>
      <c r="C794" t="s">
        <v>457</v>
      </c>
      <c r="D794" t="s">
        <v>456</v>
      </c>
      <c r="E794" s="2">
        <v>301139.78000000003</v>
      </c>
      <c r="F794" s="2">
        <v>1061106.1399999999</v>
      </c>
      <c r="G794" s="2">
        <v>1000000</v>
      </c>
      <c r="H794" s="8">
        <f t="shared" si="24"/>
        <v>2061106.14</v>
      </c>
      <c r="I794" s="10">
        <f t="shared" si="25"/>
        <v>0.14610590602578091</v>
      </c>
      <c r="J794" s="2"/>
      <c r="K794" s="2"/>
      <c r="L794" s="2"/>
    </row>
    <row r="795" spans="1:12" ht="30" customHeight="1" x14ac:dyDescent="0.35">
      <c r="A795" t="s">
        <v>1635</v>
      </c>
      <c r="B795" t="s">
        <v>1636</v>
      </c>
      <c r="C795" t="s">
        <v>213</v>
      </c>
      <c r="D795" t="s">
        <v>212</v>
      </c>
      <c r="E795" s="2">
        <v>1358.31</v>
      </c>
      <c r="F795" s="2">
        <v>183673.28</v>
      </c>
      <c r="G795" s="2"/>
      <c r="H795" s="8">
        <f t="shared" si="24"/>
        <v>183673.28</v>
      </c>
      <c r="I795" s="10">
        <f t="shared" si="25"/>
        <v>7.395250958658766E-3</v>
      </c>
      <c r="J795" s="2"/>
      <c r="K795" s="2"/>
      <c r="L795" s="2"/>
    </row>
    <row r="796" spans="1:12" ht="30" customHeight="1" x14ac:dyDescent="0.35">
      <c r="A796" t="s">
        <v>1637</v>
      </c>
      <c r="B796" t="s">
        <v>1638</v>
      </c>
      <c r="C796" t="s">
        <v>67</v>
      </c>
      <c r="D796" t="s">
        <v>66</v>
      </c>
      <c r="E796" s="2">
        <v>156467.85</v>
      </c>
      <c r="F796" s="2">
        <v>0</v>
      </c>
      <c r="G796" s="2">
        <v>525000</v>
      </c>
      <c r="H796" s="8">
        <f t="shared" si="24"/>
        <v>525000</v>
      </c>
      <c r="I796" s="10">
        <f t="shared" si="25"/>
        <v>0.29803400000000002</v>
      </c>
      <c r="J796" s="2"/>
      <c r="K796" s="2"/>
      <c r="L796" s="2"/>
    </row>
    <row r="797" spans="1:12" ht="30" customHeight="1" x14ac:dyDescent="0.35">
      <c r="A797" t="s">
        <v>1639</v>
      </c>
      <c r="B797" t="s">
        <v>1640</v>
      </c>
      <c r="C797" t="s">
        <v>101</v>
      </c>
      <c r="D797" t="s">
        <v>100</v>
      </c>
      <c r="E797" s="2">
        <v>93514.58</v>
      </c>
      <c r="F797" s="2">
        <v>1481679.9</v>
      </c>
      <c r="G797" s="2">
        <v>50000</v>
      </c>
      <c r="H797" s="8">
        <f t="shared" si="24"/>
        <v>1531679.9</v>
      </c>
      <c r="I797" s="10">
        <f t="shared" si="25"/>
        <v>6.1053605260472509E-2</v>
      </c>
      <c r="J797" s="2"/>
      <c r="K797" s="2"/>
      <c r="L797" s="2"/>
    </row>
    <row r="798" spans="1:12" ht="30" customHeight="1" x14ac:dyDescent="0.35">
      <c r="A798" t="s">
        <v>1641</v>
      </c>
      <c r="B798" t="s">
        <v>1642</v>
      </c>
      <c r="C798" t="s">
        <v>487</v>
      </c>
      <c r="D798" t="s">
        <v>486</v>
      </c>
      <c r="E798" s="2">
        <v>728840.61</v>
      </c>
      <c r="F798" s="2">
        <v>6066457.5</v>
      </c>
      <c r="G798" s="2">
        <v>1431639.41</v>
      </c>
      <c r="H798" s="8">
        <f t="shared" si="24"/>
        <v>7498096.9100000001</v>
      </c>
      <c r="I798" s="10">
        <f t="shared" si="25"/>
        <v>9.7203412912410594E-2</v>
      </c>
      <c r="J798" s="2"/>
      <c r="K798" s="2"/>
      <c r="L798" s="2"/>
    </row>
    <row r="799" spans="1:12" ht="30" customHeight="1" x14ac:dyDescent="0.35">
      <c r="A799" t="s">
        <v>1643</v>
      </c>
      <c r="B799" t="s">
        <v>1644</v>
      </c>
      <c r="C799" t="s">
        <v>15</v>
      </c>
      <c r="D799" t="s">
        <v>14</v>
      </c>
      <c r="E799" s="2">
        <v>64581</v>
      </c>
      <c r="F799" s="2">
        <v>3598174.84</v>
      </c>
      <c r="G799" s="2"/>
      <c r="H799" s="8">
        <f t="shared" si="24"/>
        <v>3598174.84</v>
      </c>
      <c r="I799" s="10">
        <f t="shared" si="25"/>
        <v>1.7948266238224268E-2</v>
      </c>
      <c r="J799" s="2"/>
      <c r="K799" s="2"/>
      <c r="L799" s="2"/>
    </row>
    <row r="800" spans="1:12" ht="30" customHeight="1" x14ac:dyDescent="0.35">
      <c r="A800" t="s">
        <v>2230</v>
      </c>
      <c r="B800" t="s">
        <v>2231</v>
      </c>
      <c r="C800" t="s">
        <v>253</v>
      </c>
      <c r="D800" t="s">
        <v>252</v>
      </c>
      <c r="E800" s="2">
        <v>244.68</v>
      </c>
      <c r="F800" s="2"/>
      <c r="G800" s="2"/>
      <c r="H800" s="8" t="str">
        <f t="shared" si="24"/>
        <v/>
      </c>
      <c r="I800" s="10" t="str">
        <f t="shared" si="25"/>
        <v/>
      </c>
      <c r="J800" s="2"/>
      <c r="K800" s="2"/>
      <c r="L800" s="2"/>
    </row>
    <row r="801" spans="1:12" ht="30" customHeight="1" x14ac:dyDescent="0.35">
      <c r="A801" t="s">
        <v>1645</v>
      </c>
      <c r="B801" t="s">
        <v>1646</v>
      </c>
      <c r="C801" t="s">
        <v>253</v>
      </c>
      <c r="D801" t="s">
        <v>252</v>
      </c>
      <c r="E801" s="2">
        <v>18793.189999999999</v>
      </c>
      <c r="F801" s="2">
        <v>1345313.63</v>
      </c>
      <c r="G801" s="2"/>
      <c r="H801" s="8">
        <f t="shared" si="24"/>
        <v>1345313.63</v>
      </c>
      <c r="I801" s="10">
        <f t="shared" si="25"/>
        <v>1.3969374561380159E-2</v>
      </c>
      <c r="J801" s="2"/>
      <c r="K801" s="2"/>
      <c r="L801" s="2"/>
    </row>
    <row r="802" spans="1:12" ht="30" customHeight="1" x14ac:dyDescent="0.35">
      <c r="A802" t="s">
        <v>1647</v>
      </c>
      <c r="B802" t="s">
        <v>1648</v>
      </c>
      <c r="C802" t="s">
        <v>259</v>
      </c>
      <c r="D802" t="s">
        <v>258</v>
      </c>
      <c r="E802" s="2">
        <v>295010.81</v>
      </c>
      <c r="F802" s="2">
        <v>546155.02</v>
      </c>
      <c r="G802" s="2">
        <v>586.41</v>
      </c>
      <c r="H802" s="8">
        <f t="shared" si="24"/>
        <v>546741.43000000005</v>
      </c>
      <c r="I802" s="10">
        <f t="shared" si="25"/>
        <v>0.53958012656915344</v>
      </c>
      <c r="J802" s="2"/>
      <c r="K802" s="2"/>
      <c r="L802" s="2"/>
    </row>
    <row r="803" spans="1:12" ht="30" customHeight="1" x14ac:dyDescent="0.35">
      <c r="A803" t="s">
        <v>1649</v>
      </c>
      <c r="B803" t="s">
        <v>1650</v>
      </c>
      <c r="C803" t="s">
        <v>457</v>
      </c>
      <c r="D803" t="s">
        <v>456</v>
      </c>
      <c r="E803" s="2">
        <v>25370.97</v>
      </c>
      <c r="F803" s="2">
        <v>129964.48</v>
      </c>
      <c r="G803" s="2"/>
      <c r="H803" s="8">
        <f t="shared" si="24"/>
        <v>129964.48</v>
      </c>
      <c r="I803" s="10">
        <f t="shared" si="25"/>
        <v>0.19521464634029237</v>
      </c>
      <c r="J803" s="2"/>
      <c r="K803" s="2"/>
      <c r="L803" s="2"/>
    </row>
    <row r="804" spans="1:12" ht="30" customHeight="1" x14ac:dyDescent="0.35">
      <c r="A804" t="s">
        <v>1651</v>
      </c>
      <c r="B804" t="s">
        <v>1652</v>
      </c>
      <c r="C804" t="s">
        <v>73</v>
      </c>
      <c r="D804" t="s">
        <v>72</v>
      </c>
      <c r="E804" s="2">
        <v>8270.86</v>
      </c>
      <c r="F804" s="2"/>
      <c r="G804" s="2"/>
      <c r="H804" s="8" t="str">
        <f t="shared" si="24"/>
        <v/>
      </c>
      <c r="I804" s="10" t="str">
        <f t="shared" si="25"/>
        <v/>
      </c>
      <c r="J804" s="2"/>
      <c r="K804" s="2"/>
      <c r="L804" s="2"/>
    </row>
    <row r="805" spans="1:12" ht="30" customHeight="1" x14ac:dyDescent="0.35">
      <c r="A805" t="s">
        <v>1653</v>
      </c>
      <c r="B805" t="s">
        <v>1654</v>
      </c>
      <c r="C805" t="s">
        <v>487</v>
      </c>
      <c r="D805" t="s">
        <v>486</v>
      </c>
      <c r="E805" s="2">
        <v>41285.49</v>
      </c>
      <c r="F805" s="2">
        <v>735987.71</v>
      </c>
      <c r="G805" s="2"/>
      <c r="H805" s="8">
        <f t="shared" si="24"/>
        <v>735987.71</v>
      </c>
      <c r="I805" s="10">
        <f t="shared" si="25"/>
        <v>5.6095352461795867E-2</v>
      </c>
      <c r="J805" s="2"/>
      <c r="K805" s="2"/>
      <c r="L805" s="2"/>
    </row>
    <row r="806" spans="1:12" ht="30" customHeight="1" x14ac:dyDescent="0.35">
      <c r="A806" t="s">
        <v>1655</v>
      </c>
      <c r="B806" t="s">
        <v>1656</v>
      </c>
      <c r="C806" t="s">
        <v>259</v>
      </c>
      <c r="D806" t="s">
        <v>258</v>
      </c>
      <c r="E806" s="2">
        <v>90612.4</v>
      </c>
      <c r="F806" s="2">
        <v>622281.51</v>
      </c>
      <c r="G806" s="2"/>
      <c r="H806" s="8">
        <f t="shared" si="24"/>
        <v>622281.51</v>
      </c>
      <c r="I806" s="10">
        <f t="shared" si="25"/>
        <v>0.1456131968311255</v>
      </c>
      <c r="J806" s="2"/>
      <c r="K806" s="2"/>
      <c r="L806" s="2"/>
    </row>
    <row r="807" spans="1:12" ht="30" customHeight="1" x14ac:dyDescent="0.35">
      <c r="A807" t="s">
        <v>1657</v>
      </c>
      <c r="B807" t="s">
        <v>1658</v>
      </c>
      <c r="C807" t="s">
        <v>213</v>
      </c>
      <c r="D807" t="s">
        <v>212</v>
      </c>
      <c r="E807" s="2">
        <v>223.15</v>
      </c>
      <c r="F807" s="2">
        <v>94482.5</v>
      </c>
      <c r="G807" s="2">
        <v>5517.5</v>
      </c>
      <c r="H807" s="8">
        <f t="shared" si="24"/>
        <v>100000</v>
      </c>
      <c r="I807" s="10">
        <f t="shared" si="25"/>
        <v>2.2315E-3</v>
      </c>
      <c r="J807" s="2"/>
      <c r="K807" s="2"/>
      <c r="L807" s="2"/>
    </row>
    <row r="808" spans="1:12" ht="30" customHeight="1" x14ac:dyDescent="0.35">
      <c r="A808" t="s">
        <v>1659</v>
      </c>
      <c r="B808" t="s">
        <v>1660</v>
      </c>
      <c r="C808" t="s">
        <v>29</v>
      </c>
      <c r="D808" t="s">
        <v>28</v>
      </c>
      <c r="E808" s="2">
        <v>654.84</v>
      </c>
      <c r="F808" s="2">
        <v>79965.009999999995</v>
      </c>
      <c r="G808" s="2">
        <v>20034.990000000002</v>
      </c>
      <c r="H808" s="8">
        <f t="shared" si="24"/>
        <v>100000</v>
      </c>
      <c r="I808" s="10">
        <f t="shared" si="25"/>
        <v>6.5484000000000002E-3</v>
      </c>
      <c r="J808" s="2"/>
      <c r="K808" s="2"/>
      <c r="L808" s="2"/>
    </row>
    <row r="809" spans="1:12" ht="30" customHeight="1" x14ac:dyDescent="0.35">
      <c r="A809" t="s">
        <v>1661</v>
      </c>
      <c r="B809" t="s">
        <v>1662</v>
      </c>
      <c r="C809" t="s">
        <v>19</v>
      </c>
      <c r="D809" t="s">
        <v>18</v>
      </c>
      <c r="E809" s="2">
        <v>8124.06</v>
      </c>
      <c r="F809" s="2"/>
      <c r="G809" s="2"/>
      <c r="H809" s="8" t="str">
        <f t="shared" si="24"/>
        <v/>
      </c>
      <c r="I809" s="10" t="str">
        <f t="shared" si="25"/>
        <v/>
      </c>
      <c r="J809" s="2"/>
      <c r="K809" s="2"/>
      <c r="L809" s="2"/>
    </row>
    <row r="810" spans="1:12" ht="30" customHeight="1" x14ac:dyDescent="0.35">
      <c r="A810" t="s">
        <v>1663</v>
      </c>
      <c r="B810" t="s">
        <v>1664</v>
      </c>
      <c r="C810" t="s">
        <v>253</v>
      </c>
      <c r="D810" t="s">
        <v>252</v>
      </c>
      <c r="E810" s="2"/>
      <c r="F810" s="2">
        <v>10001.16</v>
      </c>
      <c r="G810" s="2"/>
      <c r="H810" s="8">
        <f t="shared" si="24"/>
        <v>10001.16</v>
      </c>
      <c r="I810" s="10">
        <f t="shared" si="25"/>
        <v>0</v>
      </c>
      <c r="J810" s="2"/>
      <c r="K810" s="2"/>
      <c r="L810" s="2"/>
    </row>
    <row r="811" spans="1:12" ht="30" customHeight="1" x14ac:dyDescent="0.35">
      <c r="A811" t="s">
        <v>1665</v>
      </c>
      <c r="B811" t="s">
        <v>1666</v>
      </c>
      <c r="C811" t="s">
        <v>385</v>
      </c>
      <c r="D811" t="s">
        <v>384</v>
      </c>
      <c r="E811" s="2">
        <v>2549.83</v>
      </c>
      <c r="F811" s="2">
        <v>102131.64</v>
      </c>
      <c r="G811" s="2">
        <v>147868.35999999999</v>
      </c>
      <c r="H811" s="8">
        <f t="shared" si="24"/>
        <v>250000</v>
      </c>
      <c r="I811" s="10">
        <f t="shared" si="25"/>
        <v>1.019932E-2</v>
      </c>
      <c r="J811" s="2"/>
      <c r="K811" s="2"/>
      <c r="L811" s="2"/>
    </row>
    <row r="812" spans="1:12" ht="30" customHeight="1" x14ac:dyDescent="0.35">
      <c r="A812" t="s">
        <v>1667</v>
      </c>
      <c r="B812" t="s">
        <v>1668</v>
      </c>
      <c r="C812" t="s">
        <v>33</v>
      </c>
      <c r="D812" t="s">
        <v>32</v>
      </c>
      <c r="E812" s="2">
        <v>492193.8</v>
      </c>
      <c r="F812" s="2">
        <v>113987.65</v>
      </c>
      <c r="G812" s="2">
        <v>136012.35</v>
      </c>
      <c r="H812" s="8">
        <f t="shared" si="24"/>
        <v>250000</v>
      </c>
      <c r="I812" s="10">
        <f t="shared" si="25"/>
        <v>1.9687752000000001</v>
      </c>
      <c r="J812" s="2"/>
      <c r="K812" s="2"/>
      <c r="L812" s="2"/>
    </row>
    <row r="813" spans="1:12" ht="30" customHeight="1" x14ac:dyDescent="0.35">
      <c r="A813" t="s">
        <v>1669</v>
      </c>
      <c r="B813" t="s">
        <v>1670</v>
      </c>
      <c r="C813" t="s">
        <v>487</v>
      </c>
      <c r="D813" t="s">
        <v>486</v>
      </c>
      <c r="E813" s="2">
        <v>685071.07</v>
      </c>
      <c r="F813" s="2">
        <v>1409535.92</v>
      </c>
      <c r="G813" s="2">
        <v>33500</v>
      </c>
      <c r="H813" s="8">
        <f t="shared" si="24"/>
        <v>1443035.92</v>
      </c>
      <c r="I813" s="10">
        <f t="shared" si="25"/>
        <v>0.4747429086865696</v>
      </c>
      <c r="J813" s="2"/>
      <c r="K813" s="2"/>
      <c r="L813" s="2"/>
    </row>
    <row r="814" spans="1:12" ht="30" customHeight="1" x14ac:dyDescent="0.35">
      <c r="A814" t="s">
        <v>1671</v>
      </c>
      <c r="B814" t="s">
        <v>1672</v>
      </c>
      <c r="C814" t="s">
        <v>259</v>
      </c>
      <c r="D814" t="s">
        <v>258</v>
      </c>
      <c r="E814" s="2">
        <v>94315.63</v>
      </c>
      <c r="F814" s="2">
        <v>676105.23</v>
      </c>
      <c r="G814" s="2"/>
      <c r="H814" s="8">
        <f t="shared" si="24"/>
        <v>676105.23</v>
      </c>
      <c r="I814" s="10">
        <f t="shared" si="25"/>
        <v>0.1394984476011227</v>
      </c>
      <c r="J814" s="2"/>
      <c r="K814" s="2"/>
      <c r="L814" s="2"/>
    </row>
    <row r="815" spans="1:12" ht="30" customHeight="1" x14ac:dyDescent="0.35">
      <c r="A815" t="s">
        <v>1673</v>
      </c>
      <c r="B815" t="s">
        <v>1674</v>
      </c>
      <c r="C815" t="s">
        <v>19</v>
      </c>
      <c r="D815" t="s">
        <v>18</v>
      </c>
      <c r="E815" s="2">
        <v>200034.61</v>
      </c>
      <c r="F815" s="2">
        <v>465628.84</v>
      </c>
      <c r="G815" s="2"/>
      <c r="H815" s="8">
        <f t="shared" si="24"/>
        <v>465628.84</v>
      </c>
      <c r="I815" s="10">
        <f t="shared" si="25"/>
        <v>0.42960098863292051</v>
      </c>
      <c r="J815" s="2"/>
      <c r="K815" s="2"/>
      <c r="L815" s="2"/>
    </row>
    <row r="816" spans="1:12" ht="30" customHeight="1" x14ac:dyDescent="0.35">
      <c r="A816" t="s">
        <v>1675</v>
      </c>
      <c r="B816" t="s">
        <v>1676</v>
      </c>
      <c r="C816" t="s">
        <v>77</v>
      </c>
      <c r="D816" t="s">
        <v>76</v>
      </c>
      <c r="E816" s="2">
        <v>24735.61</v>
      </c>
      <c r="F816" s="2">
        <v>395781.88</v>
      </c>
      <c r="G816" s="2"/>
      <c r="H816" s="8">
        <f t="shared" si="24"/>
        <v>395781.88</v>
      </c>
      <c r="I816" s="10">
        <f t="shared" si="25"/>
        <v>6.2498086067002363E-2</v>
      </c>
      <c r="J816" s="2"/>
      <c r="K816" s="2"/>
      <c r="L816" s="2"/>
    </row>
    <row r="817" spans="1:12" ht="30" customHeight="1" x14ac:dyDescent="0.35">
      <c r="A817" t="s">
        <v>1677</v>
      </c>
      <c r="B817" t="s">
        <v>1678</v>
      </c>
      <c r="C817" t="s">
        <v>1679</v>
      </c>
      <c r="D817" t="s">
        <v>1621</v>
      </c>
      <c r="E817" s="2"/>
      <c r="F817" s="2">
        <v>0</v>
      </c>
      <c r="G817" s="2">
        <v>67000</v>
      </c>
      <c r="H817" s="8">
        <f t="shared" si="24"/>
        <v>67000</v>
      </c>
      <c r="I817" s="10">
        <f t="shared" si="25"/>
        <v>0</v>
      </c>
      <c r="J817" s="2"/>
      <c r="K817" s="2"/>
      <c r="L817" s="2"/>
    </row>
    <row r="818" spans="1:12" ht="30" customHeight="1" x14ac:dyDescent="0.35">
      <c r="A818" t="s">
        <v>120</v>
      </c>
      <c r="B818" t="s">
        <v>1680</v>
      </c>
      <c r="C818" t="s">
        <v>51</v>
      </c>
      <c r="D818" t="s">
        <v>50</v>
      </c>
      <c r="E818" s="2">
        <v>109854.5</v>
      </c>
      <c r="F818" s="2"/>
      <c r="G818" s="2"/>
      <c r="H818" s="8" t="str">
        <f t="shared" si="24"/>
        <v/>
      </c>
      <c r="I818" s="10" t="str">
        <f t="shared" si="25"/>
        <v/>
      </c>
      <c r="J818" s="2"/>
      <c r="K818" s="2"/>
      <c r="L818" s="2"/>
    </row>
    <row r="819" spans="1:12" ht="30" customHeight="1" x14ac:dyDescent="0.35">
      <c r="A819" t="s">
        <v>1681</v>
      </c>
      <c r="B819" t="s">
        <v>1682</v>
      </c>
      <c r="C819" t="s">
        <v>41</v>
      </c>
      <c r="D819" t="s">
        <v>40</v>
      </c>
      <c r="E819" s="2">
        <v>14078.9</v>
      </c>
      <c r="F819" s="2">
        <v>28238.43</v>
      </c>
      <c r="G819" s="2">
        <v>250000</v>
      </c>
      <c r="H819" s="8">
        <f t="shared" si="24"/>
        <v>278238.43</v>
      </c>
      <c r="I819" s="10">
        <f t="shared" si="25"/>
        <v>5.0600127379959697E-2</v>
      </c>
      <c r="J819" s="2"/>
      <c r="K819" s="2"/>
      <c r="L819" s="2"/>
    </row>
    <row r="820" spans="1:12" ht="30" customHeight="1" x14ac:dyDescent="0.35">
      <c r="A820" t="s">
        <v>1683</v>
      </c>
      <c r="B820" t="s">
        <v>1684</v>
      </c>
      <c r="C820" t="s">
        <v>19</v>
      </c>
      <c r="D820" t="s">
        <v>18</v>
      </c>
      <c r="E820" s="2">
        <v>98399.02</v>
      </c>
      <c r="F820" s="2"/>
      <c r="G820" s="2"/>
      <c r="H820" s="8" t="str">
        <f t="shared" ref="H820:H883" si="26">IF(ISBLANK(F820), "",(F820+G820))</f>
        <v/>
      </c>
      <c r="I820" s="10" t="str">
        <f t="shared" ref="I820:I883" si="27">IF(ISBLANK(F820), "", E820/H820)</f>
        <v/>
      </c>
      <c r="J820" s="2"/>
      <c r="K820" s="2"/>
      <c r="L820" s="2"/>
    </row>
    <row r="821" spans="1:12" ht="30" customHeight="1" x14ac:dyDescent="0.35">
      <c r="A821" t="s">
        <v>1685</v>
      </c>
      <c r="B821" t="s">
        <v>1686</v>
      </c>
      <c r="C821" t="s">
        <v>29</v>
      </c>
      <c r="D821" t="s">
        <v>28</v>
      </c>
      <c r="E821" s="2">
        <v>119186.94</v>
      </c>
      <c r="F821" s="2">
        <v>208758.33</v>
      </c>
      <c r="G821" s="2">
        <v>1241.67</v>
      </c>
      <c r="H821" s="8">
        <f t="shared" si="26"/>
        <v>210000</v>
      </c>
      <c r="I821" s="10">
        <f t="shared" si="27"/>
        <v>0.5675568571428572</v>
      </c>
      <c r="J821" s="2"/>
      <c r="K821" s="2"/>
      <c r="L821" s="2"/>
    </row>
    <row r="822" spans="1:12" ht="30" customHeight="1" x14ac:dyDescent="0.35">
      <c r="A822" t="s">
        <v>1687</v>
      </c>
      <c r="B822" t="s">
        <v>1688</v>
      </c>
      <c r="C822" t="s">
        <v>109</v>
      </c>
      <c r="D822" t="s">
        <v>108</v>
      </c>
      <c r="E822" s="2">
        <v>8231.15</v>
      </c>
      <c r="F822" s="2">
        <v>44047.99</v>
      </c>
      <c r="G822" s="2">
        <v>5952.01</v>
      </c>
      <c r="H822" s="8">
        <f t="shared" si="26"/>
        <v>50000</v>
      </c>
      <c r="I822" s="10">
        <f t="shared" si="27"/>
        <v>0.16462299999999999</v>
      </c>
      <c r="J822" s="2"/>
      <c r="K822" s="2"/>
      <c r="L822" s="2"/>
    </row>
    <row r="823" spans="1:12" ht="30" customHeight="1" x14ac:dyDescent="0.35">
      <c r="A823" t="s">
        <v>1689</v>
      </c>
      <c r="B823" t="s">
        <v>1690</v>
      </c>
      <c r="C823" t="s">
        <v>19</v>
      </c>
      <c r="D823" t="s">
        <v>18</v>
      </c>
      <c r="E823" s="2">
        <v>73809.78</v>
      </c>
      <c r="F823" s="2"/>
      <c r="G823" s="2"/>
      <c r="H823" s="8" t="str">
        <f t="shared" si="26"/>
        <v/>
      </c>
      <c r="I823" s="10" t="str">
        <f t="shared" si="27"/>
        <v/>
      </c>
      <c r="J823" s="2"/>
      <c r="K823" s="2"/>
      <c r="L823" s="2"/>
    </row>
    <row r="824" spans="1:12" ht="30" customHeight="1" x14ac:dyDescent="0.35">
      <c r="A824" t="s">
        <v>1691</v>
      </c>
      <c r="B824" t="s">
        <v>1692</v>
      </c>
      <c r="C824" t="s">
        <v>457</v>
      </c>
      <c r="D824" t="s">
        <v>456</v>
      </c>
      <c r="E824" s="2">
        <v>606853.06999999995</v>
      </c>
      <c r="F824" s="2">
        <v>991191.61</v>
      </c>
      <c r="G824" s="2">
        <v>7486.5</v>
      </c>
      <c r="H824" s="8">
        <f t="shared" si="26"/>
        <v>998678.11</v>
      </c>
      <c r="I824" s="10">
        <f t="shared" si="27"/>
        <v>0.60765632481921528</v>
      </c>
      <c r="J824" s="2"/>
      <c r="K824" s="2"/>
      <c r="L824" s="2"/>
    </row>
    <row r="825" spans="1:12" ht="30" customHeight="1" x14ac:dyDescent="0.35">
      <c r="A825" t="s">
        <v>1693</v>
      </c>
      <c r="B825" t="s">
        <v>1694</v>
      </c>
      <c r="C825" t="s">
        <v>109</v>
      </c>
      <c r="D825" t="s">
        <v>108</v>
      </c>
      <c r="E825" s="2">
        <v>29762.36</v>
      </c>
      <c r="F825" s="2"/>
      <c r="G825" s="2"/>
      <c r="H825" s="8" t="str">
        <f t="shared" si="26"/>
        <v/>
      </c>
      <c r="I825" s="10" t="str">
        <f t="shared" si="27"/>
        <v/>
      </c>
      <c r="J825" s="2"/>
      <c r="K825" s="2"/>
      <c r="L825" s="2"/>
    </row>
    <row r="826" spans="1:12" ht="30" customHeight="1" x14ac:dyDescent="0.35">
      <c r="A826" t="s">
        <v>1695</v>
      </c>
      <c r="B826" t="s">
        <v>1696</v>
      </c>
      <c r="C826" t="s">
        <v>67</v>
      </c>
      <c r="D826" t="s">
        <v>66</v>
      </c>
      <c r="E826" s="2">
        <v>256378.08</v>
      </c>
      <c r="F826" s="2"/>
      <c r="G826" s="2"/>
      <c r="H826" s="8" t="str">
        <f t="shared" si="26"/>
        <v/>
      </c>
      <c r="I826" s="10" t="str">
        <f t="shared" si="27"/>
        <v/>
      </c>
      <c r="J826" s="2"/>
      <c r="K826" s="2"/>
      <c r="L826" s="2"/>
    </row>
    <row r="827" spans="1:12" ht="30" customHeight="1" x14ac:dyDescent="0.35">
      <c r="A827" t="s">
        <v>1697</v>
      </c>
      <c r="B827" t="s">
        <v>1698</v>
      </c>
      <c r="C827" t="s">
        <v>213</v>
      </c>
      <c r="D827" t="s">
        <v>212</v>
      </c>
      <c r="E827" s="2"/>
      <c r="F827" s="2">
        <v>0</v>
      </c>
      <c r="G827" s="2">
        <v>57.96</v>
      </c>
      <c r="H827" s="8">
        <f t="shared" si="26"/>
        <v>57.96</v>
      </c>
      <c r="I827" s="10">
        <f t="shared" si="27"/>
        <v>0</v>
      </c>
      <c r="J827" s="2"/>
      <c r="K827" s="2"/>
      <c r="L827" s="2"/>
    </row>
    <row r="828" spans="1:12" ht="30" customHeight="1" x14ac:dyDescent="0.35">
      <c r="A828" t="s">
        <v>1699</v>
      </c>
      <c r="B828" t="s">
        <v>1700</v>
      </c>
      <c r="C828" t="s">
        <v>259</v>
      </c>
      <c r="D828" t="s">
        <v>258</v>
      </c>
      <c r="E828" s="2">
        <v>1842857.48</v>
      </c>
      <c r="F828" s="2">
        <v>1499875.54</v>
      </c>
      <c r="G828" s="2">
        <v>500000</v>
      </c>
      <c r="H828" s="8">
        <f t="shared" si="26"/>
        <v>1999875.54</v>
      </c>
      <c r="I828" s="10">
        <f t="shared" si="27"/>
        <v>0.92148608407901222</v>
      </c>
      <c r="J828" s="2"/>
      <c r="K828" s="2"/>
      <c r="L828" s="2"/>
    </row>
    <row r="829" spans="1:12" ht="30" customHeight="1" x14ac:dyDescent="0.35">
      <c r="A829" t="s">
        <v>1701</v>
      </c>
      <c r="B829" t="s">
        <v>1702</v>
      </c>
      <c r="C829" t="s">
        <v>101</v>
      </c>
      <c r="D829" t="s">
        <v>100</v>
      </c>
      <c r="E829" s="2">
        <v>8521951.6400000006</v>
      </c>
      <c r="F829" s="2">
        <v>2570819.66</v>
      </c>
      <c r="G829" s="2">
        <v>2500000</v>
      </c>
      <c r="H829" s="8">
        <f t="shared" si="26"/>
        <v>5070819.66</v>
      </c>
      <c r="I829" s="10">
        <f t="shared" si="27"/>
        <v>1.6805866134864675</v>
      </c>
      <c r="J829" s="2"/>
      <c r="K829" s="2"/>
      <c r="L829" s="2"/>
    </row>
    <row r="830" spans="1:12" ht="30" customHeight="1" x14ac:dyDescent="0.35">
      <c r="A830" t="s">
        <v>1703</v>
      </c>
      <c r="B830" t="s">
        <v>1704</v>
      </c>
      <c r="C830" t="s">
        <v>11</v>
      </c>
      <c r="D830" t="s">
        <v>10</v>
      </c>
      <c r="E830" s="2">
        <v>139.03</v>
      </c>
      <c r="F830" s="2">
        <v>0</v>
      </c>
      <c r="G830" s="2">
        <v>600000</v>
      </c>
      <c r="H830" s="8">
        <f t="shared" si="26"/>
        <v>600000</v>
      </c>
      <c r="I830" s="10">
        <f t="shared" si="27"/>
        <v>2.3171666666666667E-4</v>
      </c>
      <c r="J830" s="2"/>
      <c r="K830" s="2"/>
      <c r="L830" s="2"/>
    </row>
    <row r="831" spans="1:12" ht="30" customHeight="1" x14ac:dyDescent="0.35">
      <c r="A831" t="s">
        <v>1705</v>
      </c>
      <c r="B831" t="s">
        <v>1706</v>
      </c>
      <c r="C831" t="s">
        <v>15</v>
      </c>
      <c r="D831" t="s">
        <v>14</v>
      </c>
      <c r="E831" s="2">
        <v>520305.38</v>
      </c>
      <c r="F831" s="2">
        <v>3532157.74</v>
      </c>
      <c r="G831" s="2"/>
      <c r="H831" s="8">
        <f t="shared" si="26"/>
        <v>3532157.74</v>
      </c>
      <c r="I831" s="10">
        <f t="shared" si="27"/>
        <v>0.14730525030289274</v>
      </c>
      <c r="J831" s="2"/>
      <c r="K831" s="2"/>
      <c r="L831" s="2"/>
    </row>
    <row r="832" spans="1:12" ht="30" customHeight="1" x14ac:dyDescent="0.35">
      <c r="A832" t="s">
        <v>1707</v>
      </c>
      <c r="B832" t="s">
        <v>1708</v>
      </c>
      <c r="C832" t="s">
        <v>77</v>
      </c>
      <c r="D832" t="s">
        <v>76</v>
      </c>
      <c r="E832" s="2">
        <v>16460.689999999999</v>
      </c>
      <c r="F832" s="2">
        <v>99879.06</v>
      </c>
      <c r="G832" s="2">
        <v>120.94</v>
      </c>
      <c r="H832" s="8">
        <f t="shared" si="26"/>
        <v>100000</v>
      </c>
      <c r="I832" s="10">
        <f t="shared" si="27"/>
        <v>0.1646069</v>
      </c>
      <c r="J832" s="2"/>
      <c r="K832" s="2"/>
      <c r="L832" s="2"/>
    </row>
    <row r="833" spans="1:12" ht="30" customHeight="1" x14ac:dyDescent="0.35">
      <c r="A833" t="s">
        <v>1709</v>
      </c>
      <c r="B833" t="s">
        <v>1710</v>
      </c>
      <c r="C833" t="s">
        <v>101</v>
      </c>
      <c r="D833" t="s">
        <v>100</v>
      </c>
      <c r="E833" s="2">
        <v>5275.84</v>
      </c>
      <c r="F833" s="2">
        <v>540854.74</v>
      </c>
      <c r="G833" s="2"/>
      <c r="H833" s="8">
        <f t="shared" si="26"/>
        <v>540854.74</v>
      </c>
      <c r="I833" s="10">
        <f t="shared" si="27"/>
        <v>9.7546339336879988E-3</v>
      </c>
      <c r="J833" s="2"/>
      <c r="K833" s="2"/>
      <c r="L833" s="2"/>
    </row>
    <row r="834" spans="1:12" ht="30" customHeight="1" x14ac:dyDescent="0.35">
      <c r="A834" t="s">
        <v>1711</v>
      </c>
      <c r="B834" t="s">
        <v>1712</v>
      </c>
      <c r="C834" t="s">
        <v>385</v>
      </c>
      <c r="D834" t="s">
        <v>384</v>
      </c>
      <c r="E834" s="2">
        <v>66336.98</v>
      </c>
      <c r="F834" s="2">
        <v>75537.94</v>
      </c>
      <c r="G834" s="2">
        <v>22600</v>
      </c>
      <c r="H834" s="8">
        <f t="shared" si="26"/>
        <v>98137.94</v>
      </c>
      <c r="I834" s="10">
        <f t="shared" si="27"/>
        <v>0.67595651589996686</v>
      </c>
      <c r="J834" s="2"/>
      <c r="K834" s="2"/>
      <c r="L834" s="2"/>
    </row>
    <row r="835" spans="1:12" ht="30" customHeight="1" x14ac:dyDescent="0.35">
      <c r="A835" t="s">
        <v>1713</v>
      </c>
      <c r="B835" t="s">
        <v>1714</v>
      </c>
      <c r="C835" t="s">
        <v>29</v>
      </c>
      <c r="D835" t="s">
        <v>28</v>
      </c>
      <c r="E835" s="2">
        <v>250646.23</v>
      </c>
      <c r="F835" s="2">
        <v>817.9</v>
      </c>
      <c r="G835" s="2">
        <v>2000</v>
      </c>
      <c r="H835" s="8">
        <f t="shared" si="26"/>
        <v>2817.9</v>
      </c>
      <c r="I835" s="10">
        <f t="shared" si="27"/>
        <v>88.947879626672346</v>
      </c>
      <c r="J835" s="2"/>
      <c r="K835" s="2"/>
      <c r="L835" s="2"/>
    </row>
    <row r="836" spans="1:12" ht="30" customHeight="1" x14ac:dyDescent="0.35">
      <c r="A836" t="s">
        <v>1715</v>
      </c>
      <c r="B836" t="s">
        <v>1716</v>
      </c>
      <c r="C836" t="s">
        <v>33</v>
      </c>
      <c r="D836" t="s">
        <v>32</v>
      </c>
      <c r="E836" s="2">
        <v>105.72</v>
      </c>
      <c r="F836" s="2"/>
      <c r="G836" s="2"/>
      <c r="H836" s="8" t="str">
        <f t="shared" si="26"/>
        <v/>
      </c>
      <c r="I836" s="10" t="str">
        <f t="shared" si="27"/>
        <v/>
      </c>
      <c r="J836" s="2"/>
      <c r="K836" s="2"/>
      <c r="L836" s="2"/>
    </row>
    <row r="837" spans="1:12" ht="30" customHeight="1" x14ac:dyDescent="0.35">
      <c r="A837" t="s">
        <v>1717</v>
      </c>
      <c r="B837" t="s">
        <v>1718</v>
      </c>
      <c r="C837" t="s">
        <v>385</v>
      </c>
      <c r="D837" t="s">
        <v>384</v>
      </c>
      <c r="E837" s="2">
        <v>63189.14</v>
      </c>
      <c r="F837" s="2">
        <v>229013.92</v>
      </c>
      <c r="G837" s="2">
        <v>132986.07999999999</v>
      </c>
      <c r="H837" s="8">
        <f t="shared" si="26"/>
        <v>362000</v>
      </c>
      <c r="I837" s="10">
        <f t="shared" si="27"/>
        <v>0.17455563535911603</v>
      </c>
      <c r="J837" s="2"/>
      <c r="K837" s="2"/>
      <c r="L837" s="2"/>
    </row>
    <row r="838" spans="1:12" ht="30" customHeight="1" x14ac:dyDescent="0.35">
      <c r="A838" t="s">
        <v>1719</v>
      </c>
      <c r="B838" t="s">
        <v>1720</v>
      </c>
      <c r="C838" t="s">
        <v>471</v>
      </c>
      <c r="D838" t="s">
        <v>470</v>
      </c>
      <c r="E838" s="2">
        <v>24205.96</v>
      </c>
      <c r="F838" s="2"/>
      <c r="G838" s="2"/>
      <c r="H838" s="8" t="str">
        <f t="shared" si="26"/>
        <v/>
      </c>
      <c r="I838" s="10" t="str">
        <f t="shared" si="27"/>
        <v/>
      </c>
      <c r="J838" s="2"/>
      <c r="K838" s="2"/>
      <c r="L838" s="2"/>
    </row>
    <row r="839" spans="1:12" ht="30" customHeight="1" x14ac:dyDescent="0.35">
      <c r="A839" t="s">
        <v>1721</v>
      </c>
      <c r="B839" t="s">
        <v>1722</v>
      </c>
      <c r="C839" t="s">
        <v>19</v>
      </c>
      <c r="D839" t="s">
        <v>18</v>
      </c>
      <c r="E839" s="2">
        <v>22108.48</v>
      </c>
      <c r="F839" s="2">
        <v>49447.19</v>
      </c>
      <c r="G839" s="2">
        <v>552.80999999999995</v>
      </c>
      <c r="H839" s="8">
        <f t="shared" si="26"/>
        <v>50000</v>
      </c>
      <c r="I839" s="10">
        <f t="shared" si="27"/>
        <v>0.4421696</v>
      </c>
      <c r="J839" s="2"/>
      <c r="K839" s="2"/>
      <c r="L839" s="2"/>
    </row>
    <row r="840" spans="1:12" ht="30" customHeight="1" x14ac:dyDescent="0.35">
      <c r="A840" t="s">
        <v>1723</v>
      </c>
      <c r="B840" t="s">
        <v>1724</v>
      </c>
      <c r="C840" t="s">
        <v>213</v>
      </c>
      <c r="D840" t="s">
        <v>212</v>
      </c>
      <c r="E840" s="2">
        <v>0</v>
      </c>
      <c r="F840" s="2">
        <v>636998.24</v>
      </c>
      <c r="G840" s="2">
        <v>18821.189999999999</v>
      </c>
      <c r="H840" s="8">
        <f t="shared" si="26"/>
        <v>655819.42999999993</v>
      </c>
      <c r="I840" s="10">
        <f t="shared" si="27"/>
        <v>0</v>
      </c>
      <c r="J840" s="2"/>
      <c r="K840" s="2"/>
      <c r="L840" s="2"/>
    </row>
    <row r="841" spans="1:12" ht="30" customHeight="1" x14ac:dyDescent="0.35">
      <c r="A841" t="s">
        <v>1725</v>
      </c>
      <c r="B841" t="s">
        <v>1726</v>
      </c>
      <c r="C841" t="s">
        <v>33</v>
      </c>
      <c r="D841" t="s">
        <v>32</v>
      </c>
      <c r="E841" s="2">
        <v>902.36</v>
      </c>
      <c r="F841" s="2">
        <v>68439.95</v>
      </c>
      <c r="G841" s="2">
        <v>1560.05</v>
      </c>
      <c r="H841" s="8">
        <f t="shared" si="26"/>
        <v>70000</v>
      </c>
      <c r="I841" s="10">
        <f t="shared" si="27"/>
        <v>1.2890857142857143E-2</v>
      </c>
      <c r="J841" s="2"/>
      <c r="K841" s="2"/>
      <c r="L841" s="2"/>
    </row>
    <row r="842" spans="1:12" ht="30" customHeight="1" x14ac:dyDescent="0.35">
      <c r="A842" t="s">
        <v>1727</v>
      </c>
      <c r="B842" t="s">
        <v>1728</v>
      </c>
      <c r="C842" t="s">
        <v>29</v>
      </c>
      <c r="D842" t="s">
        <v>28</v>
      </c>
      <c r="E842" s="2">
        <v>149941.41</v>
      </c>
      <c r="F842" s="2">
        <v>218439.27</v>
      </c>
      <c r="G842" s="2">
        <v>25415.07</v>
      </c>
      <c r="H842" s="8">
        <f t="shared" si="26"/>
        <v>243854.34</v>
      </c>
      <c r="I842" s="10">
        <f t="shared" si="27"/>
        <v>0.61488103923022241</v>
      </c>
      <c r="J842" s="2"/>
      <c r="K842" s="2"/>
      <c r="L842" s="2"/>
    </row>
    <row r="843" spans="1:12" ht="30" customHeight="1" x14ac:dyDescent="0.35">
      <c r="A843" t="s">
        <v>1729</v>
      </c>
      <c r="B843" t="s">
        <v>1730</v>
      </c>
      <c r="C843" t="s">
        <v>213</v>
      </c>
      <c r="D843" t="s">
        <v>212</v>
      </c>
      <c r="E843" s="2">
        <v>4649.47</v>
      </c>
      <c r="F843" s="2">
        <v>280715.58</v>
      </c>
      <c r="G843" s="2"/>
      <c r="H843" s="8">
        <f t="shared" si="26"/>
        <v>280715.58</v>
      </c>
      <c r="I843" s="10">
        <f t="shared" si="27"/>
        <v>1.656292108902541E-2</v>
      </c>
      <c r="J843" s="2"/>
      <c r="K843" s="2"/>
      <c r="L843" s="2"/>
    </row>
    <row r="844" spans="1:12" ht="30" customHeight="1" x14ac:dyDescent="0.35">
      <c r="A844" t="s">
        <v>1731</v>
      </c>
      <c r="B844" t="s">
        <v>1732</v>
      </c>
      <c r="C844" t="s">
        <v>57</v>
      </c>
      <c r="D844" t="s">
        <v>56</v>
      </c>
      <c r="E844" s="2">
        <v>2290.34</v>
      </c>
      <c r="F844" s="2">
        <v>15000</v>
      </c>
      <c r="G844" s="2">
        <v>0</v>
      </c>
      <c r="H844" s="8">
        <f t="shared" si="26"/>
        <v>15000</v>
      </c>
      <c r="I844" s="10">
        <f t="shared" si="27"/>
        <v>0.15268933333333334</v>
      </c>
      <c r="J844" s="2"/>
      <c r="K844" s="2"/>
      <c r="L844" s="2"/>
    </row>
    <row r="845" spans="1:12" ht="30" customHeight="1" x14ac:dyDescent="0.35">
      <c r="A845" t="s">
        <v>1733</v>
      </c>
      <c r="B845" t="s">
        <v>1734</v>
      </c>
      <c r="C845" t="s">
        <v>385</v>
      </c>
      <c r="D845" t="s">
        <v>384</v>
      </c>
      <c r="E845" s="2">
        <v>12693.48</v>
      </c>
      <c r="F845" s="2">
        <v>114993.38</v>
      </c>
      <c r="G845" s="2">
        <v>6.62</v>
      </c>
      <c r="H845" s="8">
        <f t="shared" si="26"/>
        <v>115000</v>
      </c>
      <c r="I845" s="10">
        <f t="shared" si="27"/>
        <v>0.11037808695652174</v>
      </c>
      <c r="J845" s="2"/>
      <c r="K845" s="2"/>
      <c r="L845" s="2"/>
    </row>
    <row r="846" spans="1:12" ht="30" customHeight="1" x14ac:dyDescent="0.35">
      <c r="A846" t="s">
        <v>1735</v>
      </c>
      <c r="B846" t="s">
        <v>1736</v>
      </c>
      <c r="C846" t="s">
        <v>57</v>
      </c>
      <c r="D846" t="s">
        <v>56</v>
      </c>
      <c r="E846" s="2">
        <v>19492.57</v>
      </c>
      <c r="F846" s="2">
        <v>19317.400000000001</v>
      </c>
      <c r="G846" s="2">
        <v>48882.6</v>
      </c>
      <c r="H846" s="8">
        <f t="shared" si="26"/>
        <v>68200</v>
      </c>
      <c r="I846" s="10">
        <f t="shared" si="27"/>
        <v>0.2858148093841642</v>
      </c>
      <c r="J846" s="2"/>
      <c r="K846" s="2"/>
      <c r="L846" s="2"/>
    </row>
    <row r="847" spans="1:12" ht="30" customHeight="1" x14ac:dyDescent="0.35">
      <c r="A847" t="s">
        <v>1737</v>
      </c>
      <c r="B847" t="s">
        <v>1738</v>
      </c>
      <c r="C847" t="s">
        <v>33</v>
      </c>
      <c r="D847" t="s">
        <v>32</v>
      </c>
      <c r="E847" s="2">
        <v>161285.47</v>
      </c>
      <c r="F847" s="2">
        <v>38300</v>
      </c>
      <c r="G847" s="2">
        <v>150000</v>
      </c>
      <c r="H847" s="8">
        <f t="shared" si="26"/>
        <v>188300</v>
      </c>
      <c r="I847" s="10">
        <f t="shared" si="27"/>
        <v>0.85653462559745086</v>
      </c>
      <c r="J847" s="2"/>
      <c r="K847" s="2"/>
      <c r="L847" s="2"/>
    </row>
    <row r="848" spans="1:12" ht="30" customHeight="1" x14ac:dyDescent="0.35">
      <c r="A848" t="s">
        <v>1739</v>
      </c>
      <c r="B848" t="s">
        <v>1740</v>
      </c>
      <c r="C848" t="s">
        <v>457</v>
      </c>
      <c r="D848" t="s">
        <v>456</v>
      </c>
      <c r="E848" s="2">
        <v>26744.28</v>
      </c>
      <c r="F848" s="2">
        <v>1333334.1399999999</v>
      </c>
      <c r="G848" s="2"/>
      <c r="H848" s="8">
        <f t="shared" si="26"/>
        <v>1333334.1399999999</v>
      </c>
      <c r="I848" s="10">
        <f t="shared" si="27"/>
        <v>2.0058197864790291E-2</v>
      </c>
      <c r="J848" s="2"/>
      <c r="K848" s="2"/>
      <c r="L848" s="2"/>
    </row>
    <row r="849" spans="1:12" ht="30" customHeight="1" x14ac:dyDescent="0.35">
      <c r="A849" t="s">
        <v>1741</v>
      </c>
      <c r="B849" t="s">
        <v>1742</v>
      </c>
      <c r="C849" t="s">
        <v>57</v>
      </c>
      <c r="D849" t="s">
        <v>56</v>
      </c>
      <c r="E849" s="2">
        <v>9934.7900000000009</v>
      </c>
      <c r="F849" s="2">
        <v>125318.17</v>
      </c>
      <c r="G849" s="2"/>
      <c r="H849" s="8">
        <f t="shared" si="26"/>
        <v>125318.17</v>
      </c>
      <c r="I849" s="10">
        <f t="shared" si="27"/>
        <v>7.9276532684765519E-2</v>
      </c>
      <c r="J849" s="2"/>
      <c r="K849" s="2"/>
      <c r="L849" s="2"/>
    </row>
    <row r="850" spans="1:12" ht="30" customHeight="1" x14ac:dyDescent="0.35">
      <c r="A850" t="s">
        <v>1743</v>
      </c>
      <c r="B850" t="s">
        <v>1744</v>
      </c>
      <c r="C850" t="s">
        <v>259</v>
      </c>
      <c r="D850" t="s">
        <v>258</v>
      </c>
      <c r="E850" s="2">
        <v>4042.04</v>
      </c>
      <c r="F850" s="2">
        <v>223132.31</v>
      </c>
      <c r="G850" s="2"/>
      <c r="H850" s="8">
        <f t="shared" si="26"/>
        <v>223132.31</v>
      </c>
      <c r="I850" s="10">
        <f t="shared" si="27"/>
        <v>1.8114991952532557E-2</v>
      </c>
      <c r="J850" s="2"/>
      <c r="K850" s="2"/>
      <c r="L850" s="2"/>
    </row>
    <row r="851" spans="1:12" ht="30" customHeight="1" x14ac:dyDescent="0.35">
      <c r="A851" t="s">
        <v>1745</v>
      </c>
      <c r="B851" t="s">
        <v>1746</v>
      </c>
      <c r="C851" t="s">
        <v>213</v>
      </c>
      <c r="D851" t="s">
        <v>212</v>
      </c>
      <c r="E851" s="2"/>
      <c r="F851" s="2">
        <v>221492.91</v>
      </c>
      <c r="G851" s="2"/>
      <c r="H851" s="8">
        <f t="shared" si="26"/>
        <v>221492.91</v>
      </c>
      <c r="I851" s="10">
        <f t="shared" si="27"/>
        <v>0</v>
      </c>
      <c r="J851" s="2"/>
      <c r="K851" s="2"/>
      <c r="L851" s="2"/>
    </row>
    <row r="852" spans="1:12" ht="30" customHeight="1" x14ac:dyDescent="0.35">
      <c r="A852" t="s">
        <v>1747</v>
      </c>
      <c r="B852" t="s">
        <v>1748</v>
      </c>
      <c r="C852" t="s">
        <v>19</v>
      </c>
      <c r="D852" t="s">
        <v>18</v>
      </c>
      <c r="E852" s="2">
        <v>29550.959999999999</v>
      </c>
      <c r="F852" s="2">
        <v>158752.63</v>
      </c>
      <c r="G852" s="2">
        <v>33000</v>
      </c>
      <c r="H852" s="8">
        <f t="shared" si="26"/>
        <v>191752.63</v>
      </c>
      <c r="I852" s="10">
        <f t="shared" si="27"/>
        <v>0.1541098028225219</v>
      </c>
      <c r="J852" s="2"/>
      <c r="K852" s="2"/>
      <c r="L852" s="2"/>
    </row>
    <row r="853" spans="1:12" ht="30" customHeight="1" x14ac:dyDescent="0.35">
      <c r="A853" t="s">
        <v>1749</v>
      </c>
      <c r="B853" t="s">
        <v>1750</v>
      </c>
      <c r="C853" t="s">
        <v>57</v>
      </c>
      <c r="D853" t="s">
        <v>56</v>
      </c>
      <c r="E853" s="2">
        <v>80770.960000000006</v>
      </c>
      <c r="F853" s="2">
        <v>130385.47</v>
      </c>
      <c r="G853" s="2">
        <v>35051.660000000003</v>
      </c>
      <c r="H853" s="8">
        <f t="shared" si="26"/>
        <v>165437.13</v>
      </c>
      <c r="I853" s="10">
        <f t="shared" si="27"/>
        <v>0.48822752183865864</v>
      </c>
      <c r="J853" s="2"/>
      <c r="K853" s="2"/>
      <c r="L853" s="2"/>
    </row>
    <row r="854" spans="1:12" ht="30" customHeight="1" x14ac:dyDescent="0.35">
      <c r="A854" t="s">
        <v>1751</v>
      </c>
      <c r="B854" t="s">
        <v>1752</v>
      </c>
      <c r="C854" t="s">
        <v>57</v>
      </c>
      <c r="D854" t="s">
        <v>56</v>
      </c>
      <c r="E854" s="2">
        <v>22346.05</v>
      </c>
      <c r="F854" s="2">
        <v>0</v>
      </c>
      <c r="G854" s="2">
        <v>1000</v>
      </c>
      <c r="H854" s="8">
        <f t="shared" si="26"/>
        <v>1000</v>
      </c>
      <c r="I854" s="10">
        <f t="shared" si="27"/>
        <v>22.346049999999998</v>
      </c>
      <c r="J854" s="2"/>
      <c r="K854" s="2"/>
      <c r="L854" s="2"/>
    </row>
    <row r="855" spans="1:12" ht="30" customHeight="1" x14ac:dyDescent="0.35">
      <c r="A855" t="s">
        <v>1753</v>
      </c>
      <c r="B855" t="s">
        <v>1754</v>
      </c>
      <c r="C855" t="s">
        <v>19</v>
      </c>
      <c r="D855" t="s">
        <v>18</v>
      </c>
      <c r="E855" s="2">
        <v>11447.36</v>
      </c>
      <c r="F855" s="2">
        <v>379194.3</v>
      </c>
      <c r="G855" s="2"/>
      <c r="H855" s="8">
        <f t="shared" si="26"/>
        <v>379194.3</v>
      </c>
      <c r="I855" s="10">
        <f t="shared" si="27"/>
        <v>3.0188639438936717E-2</v>
      </c>
      <c r="J855" s="2"/>
      <c r="K855" s="2"/>
      <c r="L855" s="2"/>
    </row>
    <row r="856" spans="1:12" ht="30" customHeight="1" x14ac:dyDescent="0.35">
      <c r="A856" t="s">
        <v>1755</v>
      </c>
      <c r="B856" t="s">
        <v>1756</v>
      </c>
      <c r="C856" t="s">
        <v>67</v>
      </c>
      <c r="D856" t="s">
        <v>66</v>
      </c>
      <c r="E856" s="2">
        <v>30010.23</v>
      </c>
      <c r="F856" s="2">
        <v>562952.25</v>
      </c>
      <c r="G856" s="2">
        <v>150000</v>
      </c>
      <c r="H856" s="8">
        <f t="shared" si="26"/>
        <v>712952.25</v>
      </c>
      <c r="I856" s="10">
        <f t="shared" si="27"/>
        <v>4.2092903136219849E-2</v>
      </c>
      <c r="J856" s="2"/>
      <c r="K856" s="2"/>
      <c r="L856" s="2"/>
    </row>
    <row r="857" spans="1:12" ht="30" customHeight="1" x14ac:dyDescent="0.35">
      <c r="A857" t="s">
        <v>1757</v>
      </c>
      <c r="B857" t="s">
        <v>1758</v>
      </c>
      <c r="C857" t="s">
        <v>19</v>
      </c>
      <c r="D857" t="s">
        <v>18</v>
      </c>
      <c r="E857" s="2">
        <v>66845.02</v>
      </c>
      <c r="F857" s="2"/>
      <c r="G857" s="2"/>
      <c r="H857" s="8" t="str">
        <f t="shared" si="26"/>
        <v/>
      </c>
      <c r="I857" s="10" t="str">
        <f t="shared" si="27"/>
        <v/>
      </c>
      <c r="J857" s="2"/>
      <c r="K857" s="2"/>
      <c r="L857" s="2"/>
    </row>
    <row r="858" spans="1:12" ht="30" customHeight="1" x14ac:dyDescent="0.35">
      <c r="A858" t="s">
        <v>460</v>
      </c>
      <c r="B858" t="s">
        <v>1759</v>
      </c>
      <c r="C858" t="s">
        <v>29</v>
      </c>
      <c r="D858" t="s">
        <v>28</v>
      </c>
      <c r="E858" s="2"/>
      <c r="F858" s="2">
        <v>0</v>
      </c>
      <c r="G858" s="2">
        <v>200000</v>
      </c>
      <c r="H858" s="8">
        <f t="shared" si="26"/>
        <v>200000</v>
      </c>
      <c r="I858" s="10">
        <f t="shared" si="27"/>
        <v>0</v>
      </c>
      <c r="J858" s="2"/>
      <c r="K858" s="2"/>
      <c r="L858" s="2"/>
    </row>
    <row r="859" spans="1:12" ht="30" customHeight="1" x14ac:dyDescent="0.35">
      <c r="A859" t="s">
        <v>1760</v>
      </c>
      <c r="B859" t="s">
        <v>1761</v>
      </c>
      <c r="C859" t="s">
        <v>606</v>
      </c>
      <c r="D859" t="s">
        <v>605</v>
      </c>
      <c r="E859" s="2">
        <v>2768.53</v>
      </c>
      <c r="F859" s="2">
        <v>41447.08</v>
      </c>
      <c r="G859" s="2"/>
      <c r="H859" s="8">
        <f t="shared" si="26"/>
        <v>41447.08</v>
      </c>
      <c r="I859" s="10">
        <f t="shared" si="27"/>
        <v>6.679674418559764E-2</v>
      </c>
      <c r="J859" s="2"/>
      <c r="K859" s="2"/>
      <c r="L859" s="2"/>
    </row>
    <row r="860" spans="1:12" ht="30" customHeight="1" x14ac:dyDescent="0.35">
      <c r="A860" t="s">
        <v>1762</v>
      </c>
      <c r="B860" t="s">
        <v>1763</v>
      </c>
      <c r="C860" t="s">
        <v>457</v>
      </c>
      <c r="D860" t="s">
        <v>456</v>
      </c>
      <c r="E860" s="2">
        <v>31179.84</v>
      </c>
      <c r="F860" s="2">
        <v>1136963.25</v>
      </c>
      <c r="G860" s="2"/>
      <c r="H860" s="8">
        <f t="shared" si="26"/>
        <v>1136963.25</v>
      </c>
      <c r="I860" s="10">
        <f t="shared" si="27"/>
        <v>2.7423788763620987E-2</v>
      </c>
      <c r="J860" s="2"/>
      <c r="K860" s="2"/>
      <c r="L860" s="2"/>
    </row>
    <row r="861" spans="1:12" ht="30" customHeight="1" x14ac:dyDescent="0.35">
      <c r="A861" t="s">
        <v>1764</v>
      </c>
      <c r="B861" t="s">
        <v>1765</v>
      </c>
      <c r="C861" t="s">
        <v>259</v>
      </c>
      <c r="D861" t="s">
        <v>258</v>
      </c>
      <c r="E861" s="2"/>
      <c r="F861" s="2">
        <v>3432404.59</v>
      </c>
      <c r="G861" s="2">
        <v>67595.41</v>
      </c>
      <c r="H861" s="8">
        <f t="shared" si="26"/>
        <v>3500000</v>
      </c>
      <c r="I861" s="10">
        <f t="shared" si="27"/>
        <v>0</v>
      </c>
      <c r="J861" s="2"/>
      <c r="K861" s="2"/>
      <c r="L861" s="2"/>
    </row>
    <row r="862" spans="1:12" ht="30" customHeight="1" x14ac:dyDescent="0.35">
      <c r="A862" t="s">
        <v>1766</v>
      </c>
      <c r="B862" t="s">
        <v>1767</v>
      </c>
      <c r="C862" t="s">
        <v>19</v>
      </c>
      <c r="D862" t="s">
        <v>18</v>
      </c>
      <c r="E862" s="2">
        <v>38536.410000000003</v>
      </c>
      <c r="F862" s="2"/>
      <c r="G862" s="2"/>
      <c r="H862" s="8" t="str">
        <f t="shared" si="26"/>
        <v/>
      </c>
      <c r="I862" s="10" t="str">
        <f t="shared" si="27"/>
        <v/>
      </c>
      <c r="J862" s="2"/>
      <c r="K862" s="2"/>
      <c r="L862" s="2"/>
    </row>
    <row r="863" spans="1:12" ht="30" customHeight="1" x14ac:dyDescent="0.35">
      <c r="A863" t="s">
        <v>1768</v>
      </c>
      <c r="B863" t="s">
        <v>1769</v>
      </c>
      <c r="C863" t="s">
        <v>457</v>
      </c>
      <c r="D863" t="s">
        <v>456</v>
      </c>
      <c r="E863" s="2">
        <v>5974.94</v>
      </c>
      <c r="F863" s="2">
        <v>160259.95000000001</v>
      </c>
      <c r="G863" s="2"/>
      <c r="H863" s="8">
        <f t="shared" si="26"/>
        <v>160259.95000000001</v>
      </c>
      <c r="I863" s="10">
        <f t="shared" si="27"/>
        <v>3.7282802097467267E-2</v>
      </c>
      <c r="J863" s="2"/>
      <c r="K863" s="2"/>
      <c r="L863" s="2"/>
    </row>
    <row r="864" spans="1:12" ht="30" customHeight="1" x14ac:dyDescent="0.35">
      <c r="A864" t="s">
        <v>1770</v>
      </c>
      <c r="B864" t="s">
        <v>1771</v>
      </c>
      <c r="C864" t="s">
        <v>259</v>
      </c>
      <c r="D864" t="s">
        <v>258</v>
      </c>
      <c r="E864" s="2">
        <v>16743.97</v>
      </c>
      <c r="F864" s="2">
        <v>481507.61</v>
      </c>
      <c r="G864" s="2">
        <v>47256.72</v>
      </c>
      <c r="H864" s="8">
        <f t="shared" si="26"/>
        <v>528764.32999999996</v>
      </c>
      <c r="I864" s="10">
        <f t="shared" si="27"/>
        <v>3.1666224535229152E-2</v>
      </c>
      <c r="J864" s="2"/>
      <c r="K864" s="2"/>
      <c r="L864" s="2"/>
    </row>
    <row r="865" spans="1:12" ht="30" customHeight="1" x14ac:dyDescent="0.35">
      <c r="A865" t="s">
        <v>1772</v>
      </c>
      <c r="B865" t="s">
        <v>1773</v>
      </c>
      <c r="C865" t="s">
        <v>67</v>
      </c>
      <c r="D865" t="s">
        <v>66</v>
      </c>
      <c r="E865" s="2">
        <v>57541.27</v>
      </c>
      <c r="F865" s="2"/>
      <c r="G865" s="2"/>
      <c r="H865" s="8" t="str">
        <f t="shared" si="26"/>
        <v/>
      </c>
      <c r="I865" s="10" t="str">
        <f t="shared" si="27"/>
        <v/>
      </c>
      <c r="J865" s="2"/>
      <c r="K865" s="2"/>
      <c r="L865" s="2"/>
    </row>
    <row r="866" spans="1:12" ht="30" customHeight="1" x14ac:dyDescent="0.35">
      <c r="A866" t="s">
        <v>1774</v>
      </c>
      <c r="B866" t="s">
        <v>1775</v>
      </c>
      <c r="C866" t="s">
        <v>465</v>
      </c>
      <c r="D866" t="s">
        <v>464</v>
      </c>
      <c r="E866" s="2">
        <v>135875.69</v>
      </c>
      <c r="F866" s="2">
        <v>1702751.15</v>
      </c>
      <c r="G866" s="2"/>
      <c r="H866" s="8">
        <f t="shared" si="26"/>
        <v>1702751.15</v>
      </c>
      <c r="I866" s="10">
        <f t="shared" si="27"/>
        <v>7.9797737913728614E-2</v>
      </c>
      <c r="J866" s="2"/>
      <c r="K866" s="2"/>
      <c r="L866" s="2"/>
    </row>
    <row r="867" spans="1:12" ht="30" customHeight="1" x14ac:dyDescent="0.35">
      <c r="A867" t="s">
        <v>1776</v>
      </c>
      <c r="B867" t="s">
        <v>1777</v>
      </c>
      <c r="C867" t="s">
        <v>213</v>
      </c>
      <c r="D867" t="s">
        <v>212</v>
      </c>
      <c r="E867" s="2">
        <v>446.63</v>
      </c>
      <c r="F867" s="2">
        <v>1900000</v>
      </c>
      <c r="G867" s="2">
        <v>0</v>
      </c>
      <c r="H867" s="8">
        <f t="shared" si="26"/>
        <v>1900000</v>
      </c>
      <c r="I867" s="10">
        <f t="shared" si="27"/>
        <v>2.3506842105263157E-4</v>
      </c>
      <c r="J867" s="2"/>
      <c r="K867" s="2"/>
      <c r="L867" s="2"/>
    </row>
    <row r="868" spans="1:12" ht="30" customHeight="1" x14ac:dyDescent="0.35">
      <c r="A868" t="s">
        <v>1778</v>
      </c>
      <c r="B868" t="s">
        <v>1779</v>
      </c>
      <c r="C868" t="s">
        <v>101</v>
      </c>
      <c r="D868" t="s">
        <v>100</v>
      </c>
      <c r="E868" s="2">
        <v>109420.37</v>
      </c>
      <c r="F868" s="2">
        <v>1007601.42</v>
      </c>
      <c r="G868" s="2">
        <v>55178.92</v>
      </c>
      <c r="H868" s="8">
        <f t="shared" si="26"/>
        <v>1062780.3400000001</v>
      </c>
      <c r="I868" s="10">
        <f t="shared" si="27"/>
        <v>0.10295671257900761</v>
      </c>
      <c r="J868" s="2"/>
      <c r="K868" s="2"/>
      <c r="L868" s="2"/>
    </row>
    <row r="869" spans="1:12" ht="30" customHeight="1" x14ac:dyDescent="0.35">
      <c r="A869" t="s">
        <v>1780</v>
      </c>
      <c r="B869" t="s">
        <v>1781</v>
      </c>
      <c r="C869" t="s">
        <v>457</v>
      </c>
      <c r="D869" t="s">
        <v>456</v>
      </c>
      <c r="E869" s="2">
        <v>15728.42</v>
      </c>
      <c r="F869" s="2">
        <v>573314.53</v>
      </c>
      <c r="G869" s="2"/>
      <c r="H869" s="8">
        <f t="shared" si="26"/>
        <v>573314.53</v>
      </c>
      <c r="I869" s="10">
        <f t="shared" si="27"/>
        <v>2.7434190443420298E-2</v>
      </c>
      <c r="J869" s="2"/>
      <c r="K869" s="2"/>
      <c r="L869" s="2"/>
    </row>
    <row r="870" spans="1:12" ht="30" customHeight="1" x14ac:dyDescent="0.35">
      <c r="A870" t="s">
        <v>1782</v>
      </c>
      <c r="B870" t="s">
        <v>1783</v>
      </c>
      <c r="C870" t="s">
        <v>11</v>
      </c>
      <c r="D870" t="s">
        <v>10</v>
      </c>
      <c r="E870" s="2">
        <v>3735526.33</v>
      </c>
      <c r="F870" s="2">
        <v>9811910.4800000004</v>
      </c>
      <c r="G870" s="2"/>
      <c r="H870" s="8">
        <f t="shared" si="26"/>
        <v>9811910.4800000004</v>
      </c>
      <c r="I870" s="10">
        <f t="shared" si="27"/>
        <v>0.38071345408361285</v>
      </c>
      <c r="J870" s="2"/>
      <c r="K870" s="2"/>
      <c r="L870" s="2"/>
    </row>
    <row r="871" spans="1:12" ht="30" customHeight="1" x14ac:dyDescent="0.35">
      <c r="A871" t="s">
        <v>1784</v>
      </c>
      <c r="B871" t="s">
        <v>1785</v>
      </c>
      <c r="C871" t="s">
        <v>253</v>
      </c>
      <c r="D871" t="s">
        <v>252</v>
      </c>
      <c r="E871" s="2">
        <v>2320.41</v>
      </c>
      <c r="F871" s="2">
        <v>1133789.7</v>
      </c>
      <c r="G871" s="2"/>
      <c r="H871" s="8">
        <f t="shared" si="26"/>
        <v>1133789.7</v>
      </c>
      <c r="I871" s="10">
        <f t="shared" si="27"/>
        <v>2.0465964719912342E-3</v>
      </c>
      <c r="J871" s="2"/>
      <c r="K871" s="2"/>
      <c r="L871" s="2"/>
    </row>
    <row r="872" spans="1:12" ht="30" customHeight="1" x14ac:dyDescent="0.35">
      <c r="A872" t="s">
        <v>1786</v>
      </c>
      <c r="B872" t="s">
        <v>1787</v>
      </c>
      <c r="C872" t="s">
        <v>19</v>
      </c>
      <c r="D872" t="s">
        <v>18</v>
      </c>
      <c r="E872" s="2">
        <v>1506.22</v>
      </c>
      <c r="F872" s="2">
        <v>71615.02</v>
      </c>
      <c r="G872" s="2"/>
      <c r="H872" s="8">
        <f t="shared" si="26"/>
        <v>71615.02</v>
      </c>
      <c r="I872" s="10">
        <f t="shared" si="27"/>
        <v>2.1032180120874083E-2</v>
      </c>
      <c r="J872" s="2"/>
      <c r="K872" s="2"/>
      <c r="L872" s="2"/>
    </row>
    <row r="873" spans="1:12" ht="30" customHeight="1" x14ac:dyDescent="0.35">
      <c r="A873" t="s">
        <v>1788</v>
      </c>
      <c r="B873" t="s">
        <v>1789</v>
      </c>
      <c r="C873" t="s">
        <v>259</v>
      </c>
      <c r="D873" t="s">
        <v>258</v>
      </c>
      <c r="E873" s="2">
        <v>3168.34</v>
      </c>
      <c r="F873" s="2"/>
      <c r="G873" s="2"/>
      <c r="H873" s="8" t="str">
        <f t="shared" si="26"/>
        <v/>
      </c>
      <c r="I873" s="10" t="str">
        <f t="shared" si="27"/>
        <v/>
      </c>
      <c r="J873" s="2"/>
      <c r="K873" s="2"/>
      <c r="L873" s="2"/>
    </row>
    <row r="874" spans="1:12" ht="30" customHeight="1" x14ac:dyDescent="0.35">
      <c r="A874" t="s">
        <v>1790</v>
      </c>
      <c r="B874" t="s">
        <v>1791</v>
      </c>
      <c r="C874" t="s">
        <v>213</v>
      </c>
      <c r="D874" t="s">
        <v>212</v>
      </c>
      <c r="E874" s="2">
        <v>5818.95</v>
      </c>
      <c r="F874" s="2">
        <v>69013.7</v>
      </c>
      <c r="G874" s="2"/>
      <c r="H874" s="8">
        <f t="shared" si="26"/>
        <v>69013.7</v>
      </c>
      <c r="I874" s="10">
        <f t="shared" si="27"/>
        <v>8.4315867719018112E-2</v>
      </c>
      <c r="J874" s="2"/>
      <c r="K874" s="2"/>
      <c r="L874" s="2"/>
    </row>
    <row r="875" spans="1:12" ht="30" customHeight="1" x14ac:dyDescent="0.35">
      <c r="A875" t="s">
        <v>1792</v>
      </c>
      <c r="B875" t="s">
        <v>1793</v>
      </c>
      <c r="C875" t="s">
        <v>73</v>
      </c>
      <c r="D875" t="s">
        <v>72</v>
      </c>
      <c r="E875" s="2">
        <v>23190.51</v>
      </c>
      <c r="F875" s="2">
        <v>90879.52</v>
      </c>
      <c r="G875" s="2">
        <v>701.72</v>
      </c>
      <c r="H875" s="8">
        <f t="shared" si="26"/>
        <v>91581.24</v>
      </c>
      <c r="I875" s="10">
        <f t="shared" si="27"/>
        <v>0.25322336758052194</v>
      </c>
      <c r="J875" s="2"/>
      <c r="K875" s="2"/>
      <c r="L875" s="2"/>
    </row>
    <row r="876" spans="1:12" ht="30" customHeight="1" x14ac:dyDescent="0.35">
      <c r="A876" t="s">
        <v>1794</v>
      </c>
      <c r="B876" t="s">
        <v>1795</v>
      </c>
      <c r="C876" t="s">
        <v>487</v>
      </c>
      <c r="D876" t="s">
        <v>486</v>
      </c>
      <c r="E876" s="2">
        <v>921734.25</v>
      </c>
      <c r="F876" s="2">
        <v>4417483.53</v>
      </c>
      <c r="G876" s="2">
        <v>50000</v>
      </c>
      <c r="H876" s="8">
        <f t="shared" si="26"/>
        <v>4467483.53</v>
      </c>
      <c r="I876" s="10">
        <f t="shared" si="27"/>
        <v>0.2063206822835226</v>
      </c>
      <c r="J876" s="2"/>
      <c r="K876" s="2"/>
      <c r="L876" s="2"/>
    </row>
    <row r="877" spans="1:12" ht="30" customHeight="1" x14ac:dyDescent="0.35">
      <c r="A877" t="s">
        <v>1796</v>
      </c>
      <c r="B877" t="s">
        <v>1797</v>
      </c>
      <c r="C877" t="s">
        <v>29</v>
      </c>
      <c r="D877" t="s">
        <v>28</v>
      </c>
      <c r="E877" s="2">
        <v>4667.6099999999997</v>
      </c>
      <c r="F877" s="2">
        <v>5334.44</v>
      </c>
      <c r="G877" s="2">
        <v>27165.56</v>
      </c>
      <c r="H877" s="8">
        <f t="shared" si="26"/>
        <v>32500</v>
      </c>
      <c r="I877" s="10">
        <f t="shared" si="27"/>
        <v>0.14361876923076922</v>
      </c>
      <c r="J877" s="2"/>
      <c r="K877" s="2"/>
      <c r="L877" s="2"/>
    </row>
    <row r="878" spans="1:12" ht="30" customHeight="1" x14ac:dyDescent="0.35">
      <c r="A878" t="s">
        <v>1798</v>
      </c>
      <c r="B878" t="s">
        <v>1799</v>
      </c>
      <c r="C878" t="s">
        <v>259</v>
      </c>
      <c r="D878" t="s">
        <v>258</v>
      </c>
      <c r="E878" s="2">
        <v>175852.42</v>
      </c>
      <c r="F878" s="2">
        <v>758333.12</v>
      </c>
      <c r="G878" s="2"/>
      <c r="H878" s="8">
        <f t="shared" si="26"/>
        <v>758333.12</v>
      </c>
      <c r="I878" s="10">
        <f t="shared" si="27"/>
        <v>0.23189336633483715</v>
      </c>
      <c r="J878" s="2"/>
      <c r="K878" s="2"/>
      <c r="L878" s="2"/>
    </row>
    <row r="879" spans="1:12" ht="30" customHeight="1" x14ac:dyDescent="0.35">
      <c r="A879" t="s">
        <v>1800</v>
      </c>
      <c r="B879" t="s">
        <v>1801</v>
      </c>
      <c r="C879" t="s">
        <v>385</v>
      </c>
      <c r="D879" t="s">
        <v>384</v>
      </c>
      <c r="E879" s="2"/>
      <c r="F879" s="2">
        <v>472523.78</v>
      </c>
      <c r="G879" s="2"/>
      <c r="H879" s="8">
        <f t="shared" si="26"/>
        <v>472523.78</v>
      </c>
      <c r="I879" s="10">
        <f t="shared" si="27"/>
        <v>0</v>
      </c>
      <c r="J879" s="2"/>
      <c r="K879" s="2"/>
      <c r="L879" s="2"/>
    </row>
    <row r="880" spans="1:12" ht="30" customHeight="1" x14ac:dyDescent="0.35">
      <c r="A880" t="s">
        <v>1802</v>
      </c>
      <c r="B880" t="s">
        <v>1803</v>
      </c>
      <c r="C880" t="s">
        <v>259</v>
      </c>
      <c r="D880" t="s">
        <v>258</v>
      </c>
      <c r="E880" s="2"/>
      <c r="F880" s="2">
        <v>1290106.8600000001</v>
      </c>
      <c r="G880" s="2"/>
      <c r="H880" s="8">
        <f t="shared" si="26"/>
        <v>1290106.8600000001</v>
      </c>
      <c r="I880" s="10">
        <f t="shared" si="27"/>
        <v>0</v>
      </c>
      <c r="J880" s="2"/>
      <c r="K880" s="2"/>
      <c r="L880" s="2"/>
    </row>
    <row r="881" spans="1:12" ht="30" customHeight="1" x14ac:dyDescent="0.35">
      <c r="A881" t="s">
        <v>1804</v>
      </c>
      <c r="B881" t="s">
        <v>1805</v>
      </c>
      <c r="C881" t="s">
        <v>253</v>
      </c>
      <c r="D881" t="s">
        <v>252</v>
      </c>
      <c r="E881" s="2">
        <v>13828.16</v>
      </c>
      <c r="F881" s="2">
        <v>1156988.78</v>
      </c>
      <c r="G881" s="2"/>
      <c r="H881" s="8">
        <f t="shared" si="26"/>
        <v>1156988.78</v>
      </c>
      <c r="I881" s="10">
        <f t="shared" si="27"/>
        <v>1.1951853154531024E-2</v>
      </c>
      <c r="J881" s="2"/>
      <c r="K881" s="2"/>
      <c r="L881" s="2"/>
    </row>
    <row r="882" spans="1:12" ht="30" customHeight="1" x14ac:dyDescent="0.35">
      <c r="A882" t="s">
        <v>1806</v>
      </c>
      <c r="B882" t="s">
        <v>1807</v>
      </c>
      <c r="C882" t="s">
        <v>77</v>
      </c>
      <c r="D882" t="s">
        <v>76</v>
      </c>
      <c r="E882" s="2">
        <v>128497.86</v>
      </c>
      <c r="F882" s="2"/>
      <c r="G882" s="2"/>
      <c r="H882" s="8" t="str">
        <f t="shared" si="26"/>
        <v/>
      </c>
      <c r="I882" s="10" t="str">
        <f t="shared" si="27"/>
        <v/>
      </c>
      <c r="J882" s="2"/>
      <c r="K882" s="2"/>
      <c r="L882" s="2"/>
    </row>
    <row r="883" spans="1:12" ht="30" customHeight="1" x14ac:dyDescent="0.35">
      <c r="A883" t="s">
        <v>1808</v>
      </c>
      <c r="B883" t="s">
        <v>1809</v>
      </c>
      <c r="C883" t="s">
        <v>213</v>
      </c>
      <c r="D883" t="s">
        <v>212</v>
      </c>
      <c r="E883" s="2">
        <v>110</v>
      </c>
      <c r="F883" s="2">
        <v>791936.45</v>
      </c>
      <c r="G883" s="2"/>
      <c r="H883" s="8">
        <f t="shared" si="26"/>
        <v>791936.45</v>
      </c>
      <c r="I883" s="10">
        <f t="shared" si="27"/>
        <v>1.3890003421360389E-4</v>
      </c>
      <c r="J883" s="2"/>
      <c r="K883" s="2"/>
      <c r="L883" s="2"/>
    </row>
    <row r="884" spans="1:12" ht="30" customHeight="1" x14ac:dyDescent="0.35">
      <c r="A884" t="s">
        <v>1810</v>
      </c>
      <c r="B884" t="s">
        <v>1811</v>
      </c>
      <c r="C884" t="s">
        <v>33</v>
      </c>
      <c r="D884" t="s">
        <v>32</v>
      </c>
      <c r="E884" s="2">
        <v>2.38</v>
      </c>
      <c r="F884" s="2">
        <v>14968.68</v>
      </c>
      <c r="G884" s="2">
        <v>31.32</v>
      </c>
      <c r="H884" s="8">
        <f t="shared" ref="H884:H947" si="28">IF(ISBLANK(F884), "",(F884+G884))</f>
        <v>15000</v>
      </c>
      <c r="I884" s="10">
        <f t="shared" ref="I884:I947" si="29">IF(ISBLANK(F884), "", E884/H884)</f>
        <v>1.5866666666666666E-4</v>
      </c>
      <c r="J884" s="2"/>
      <c r="K884" s="2"/>
      <c r="L884" s="2"/>
    </row>
    <row r="885" spans="1:12" ht="30" customHeight="1" x14ac:dyDescent="0.35">
      <c r="A885" t="s">
        <v>1812</v>
      </c>
      <c r="B885" t="s">
        <v>1813</v>
      </c>
      <c r="C885" t="s">
        <v>77</v>
      </c>
      <c r="D885" t="s">
        <v>76</v>
      </c>
      <c r="E885" s="2">
        <v>23549.3</v>
      </c>
      <c r="F885" s="2"/>
      <c r="G885" s="2"/>
      <c r="H885" s="8" t="str">
        <f t="shared" si="28"/>
        <v/>
      </c>
      <c r="I885" s="10" t="str">
        <f t="shared" si="29"/>
        <v/>
      </c>
      <c r="J885" s="2"/>
      <c r="K885" s="2"/>
      <c r="L885" s="2"/>
    </row>
    <row r="886" spans="1:12" ht="30" customHeight="1" x14ac:dyDescent="0.35">
      <c r="A886" t="s">
        <v>1814</v>
      </c>
      <c r="B886" t="s">
        <v>1815</v>
      </c>
      <c r="C886" t="s">
        <v>259</v>
      </c>
      <c r="D886" t="s">
        <v>258</v>
      </c>
      <c r="E886" s="2">
        <v>636.55999999999995</v>
      </c>
      <c r="F886" s="2">
        <v>547431.84</v>
      </c>
      <c r="G886" s="2"/>
      <c r="H886" s="8">
        <f t="shared" si="28"/>
        <v>547431.84</v>
      </c>
      <c r="I886" s="10">
        <f t="shared" si="29"/>
        <v>1.162811428725081E-3</v>
      </c>
      <c r="J886" s="2"/>
      <c r="K886" s="2"/>
      <c r="L886" s="2"/>
    </row>
    <row r="887" spans="1:12" ht="30" customHeight="1" x14ac:dyDescent="0.35">
      <c r="A887" t="s">
        <v>1816</v>
      </c>
      <c r="B887" t="s">
        <v>1817</v>
      </c>
      <c r="C887" t="s">
        <v>73</v>
      </c>
      <c r="D887" t="s">
        <v>72</v>
      </c>
      <c r="E887" s="2">
        <v>585062.66</v>
      </c>
      <c r="F887" s="2"/>
      <c r="G887" s="2"/>
      <c r="H887" s="8" t="str">
        <f t="shared" si="28"/>
        <v/>
      </c>
      <c r="I887" s="10" t="str">
        <f t="shared" si="29"/>
        <v/>
      </c>
      <c r="J887" s="2"/>
      <c r="K887" s="2"/>
      <c r="L887" s="2"/>
    </row>
    <row r="888" spans="1:12" ht="30" customHeight="1" x14ac:dyDescent="0.35">
      <c r="A888" t="s">
        <v>1818</v>
      </c>
      <c r="B888" t="s">
        <v>1819</v>
      </c>
      <c r="C888" t="s">
        <v>57</v>
      </c>
      <c r="D888" t="s">
        <v>56</v>
      </c>
      <c r="E888" s="2">
        <v>856.24</v>
      </c>
      <c r="F888" s="2">
        <v>70668</v>
      </c>
      <c r="G888" s="2">
        <v>532</v>
      </c>
      <c r="H888" s="8">
        <f t="shared" si="28"/>
        <v>71200</v>
      </c>
      <c r="I888" s="10">
        <f t="shared" si="29"/>
        <v>1.2025842696629213E-2</v>
      </c>
      <c r="J888" s="2"/>
      <c r="K888" s="2"/>
      <c r="L888" s="2"/>
    </row>
    <row r="889" spans="1:12" ht="30" customHeight="1" x14ac:dyDescent="0.35">
      <c r="A889" t="s">
        <v>1820</v>
      </c>
      <c r="B889" t="s">
        <v>1821</v>
      </c>
      <c r="C889" t="s">
        <v>487</v>
      </c>
      <c r="D889" t="s">
        <v>486</v>
      </c>
      <c r="E889" s="2">
        <v>166462.06</v>
      </c>
      <c r="F889" s="2">
        <v>3425926.83</v>
      </c>
      <c r="G889" s="2"/>
      <c r="H889" s="8">
        <f t="shared" si="28"/>
        <v>3425926.83</v>
      </c>
      <c r="I889" s="10">
        <f t="shared" si="29"/>
        <v>4.8588912799401494E-2</v>
      </c>
      <c r="J889" s="2"/>
      <c r="K889" s="2"/>
      <c r="L889" s="2"/>
    </row>
    <row r="890" spans="1:12" ht="30" customHeight="1" x14ac:dyDescent="0.35">
      <c r="A890" t="s">
        <v>1822</v>
      </c>
      <c r="B890" t="s">
        <v>1823</v>
      </c>
      <c r="C890" t="s">
        <v>259</v>
      </c>
      <c r="D890" t="s">
        <v>258</v>
      </c>
      <c r="E890" s="2">
        <v>15979.77</v>
      </c>
      <c r="F890" s="2">
        <v>853683.65</v>
      </c>
      <c r="G890" s="2"/>
      <c r="H890" s="8">
        <f t="shared" si="28"/>
        <v>853683.65</v>
      </c>
      <c r="I890" s="10">
        <f t="shared" si="29"/>
        <v>1.8718608468136881E-2</v>
      </c>
      <c r="J890" s="2"/>
      <c r="K890" s="2"/>
      <c r="L890" s="2"/>
    </row>
    <row r="891" spans="1:12" ht="30" customHeight="1" x14ac:dyDescent="0.35">
      <c r="A891" t="s">
        <v>1824</v>
      </c>
      <c r="B891" t="s">
        <v>1825</v>
      </c>
      <c r="C891" t="s">
        <v>33</v>
      </c>
      <c r="D891" t="s">
        <v>32</v>
      </c>
      <c r="E891" s="2">
        <v>39239.33</v>
      </c>
      <c r="F891" s="2">
        <v>332067.18</v>
      </c>
      <c r="G891" s="2">
        <v>176943.7</v>
      </c>
      <c r="H891" s="8">
        <f t="shared" si="28"/>
        <v>509010.88</v>
      </c>
      <c r="I891" s="10">
        <f t="shared" si="29"/>
        <v>7.7089373806705275E-2</v>
      </c>
      <c r="J891" s="2"/>
      <c r="K891" s="2"/>
      <c r="L891" s="2"/>
    </row>
    <row r="892" spans="1:12" ht="30" customHeight="1" x14ac:dyDescent="0.35">
      <c r="A892" t="s">
        <v>1826</v>
      </c>
      <c r="B892" t="s">
        <v>1827</v>
      </c>
      <c r="C892" t="s">
        <v>259</v>
      </c>
      <c r="D892" t="s">
        <v>258</v>
      </c>
      <c r="E892" s="2"/>
      <c r="F892" s="2">
        <v>3569156</v>
      </c>
      <c r="G892" s="2"/>
      <c r="H892" s="8">
        <f t="shared" si="28"/>
        <v>3569156</v>
      </c>
      <c r="I892" s="10">
        <f t="shared" si="29"/>
        <v>0</v>
      </c>
      <c r="J892" s="2"/>
      <c r="K892" s="2"/>
      <c r="L892" s="2"/>
    </row>
    <row r="893" spans="1:12" ht="30" customHeight="1" x14ac:dyDescent="0.35">
      <c r="A893" t="s">
        <v>1828</v>
      </c>
      <c r="B893" t="s">
        <v>1829</v>
      </c>
      <c r="C893" t="s">
        <v>213</v>
      </c>
      <c r="D893" t="s">
        <v>212</v>
      </c>
      <c r="E893" s="2">
        <v>691789.04</v>
      </c>
      <c r="F893" s="2">
        <v>475000</v>
      </c>
      <c r="G893" s="2">
        <v>25000</v>
      </c>
      <c r="H893" s="8">
        <f t="shared" si="28"/>
        <v>500000</v>
      </c>
      <c r="I893" s="10">
        <f t="shared" si="29"/>
        <v>1.3835780800000002</v>
      </c>
      <c r="J893" s="2"/>
      <c r="K893" s="2"/>
      <c r="L893" s="2"/>
    </row>
    <row r="894" spans="1:12" ht="30" customHeight="1" x14ac:dyDescent="0.35">
      <c r="A894" t="s">
        <v>1830</v>
      </c>
      <c r="B894" t="s">
        <v>1831</v>
      </c>
      <c r="C894" t="s">
        <v>259</v>
      </c>
      <c r="D894" t="s">
        <v>258</v>
      </c>
      <c r="E894" s="2">
        <v>25.14</v>
      </c>
      <c r="F894" s="2">
        <v>59482.59</v>
      </c>
      <c r="G894" s="2">
        <v>517.41</v>
      </c>
      <c r="H894" s="8">
        <f t="shared" si="28"/>
        <v>60000</v>
      </c>
      <c r="I894" s="10">
        <f t="shared" si="29"/>
        <v>4.1899999999999999E-4</v>
      </c>
      <c r="J894" s="2"/>
      <c r="K894" s="2"/>
      <c r="L894" s="2"/>
    </row>
    <row r="895" spans="1:12" ht="30" customHeight="1" x14ac:dyDescent="0.35">
      <c r="A895" t="s">
        <v>1832</v>
      </c>
      <c r="B895" t="s">
        <v>1833</v>
      </c>
      <c r="C895" t="s">
        <v>73</v>
      </c>
      <c r="D895" t="s">
        <v>72</v>
      </c>
      <c r="E895" s="2">
        <v>2847.23</v>
      </c>
      <c r="F895" s="2">
        <v>46836.01</v>
      </c>
      <c r="G895" s="2"/>
      <c r="H895" s="8">
        <f t="shared" si="28"/>
        <v>46836.01</v>
      </c>
      <c r="I895" s="10">
        <f t="shared" si="29"/>
        <v>6.0791472202691904E-2</v>
      </c>
      <c r="J895" s="2"/>
      <c r="K895" s="2"/>
      <c r="L895" s="2"/>
    </row>
    <row r="896" spans="1:12" ht="30" customHeight="1" x14ac:dyDescent="0.35">
      <c r="A896" t="s">
        <v>1834</v>
      </c>
      <c r="B896" t="s">
        <v>1835</v>
      </c>
      <c r="C896" t="s">
        <v>67</v>
      </c>
      <c r="D896" t="s">
        <v>66</v>
      </c>
      <c r="E896" s="2">
        <v>425.25</v>
      </c>
      <c r="F896" s="2">
        <v>226168.05</v>
      </c>
      <c r="G896" s="2"/>
      <c r="H896" s="8">
        <f t="shared" si="28"/>
        <v>226168.05</v>
      </c>
      <c r="I896" s="10">
        <f t="shared" si="29"/>
        <v>1.8802390523329888E-3</v>
      </c>
      <c r="J896" s="2"/>
      <c r="K896" s="2"/>
      <c r="L896" s="2"/>
    </row>
    <row r="897" spans="1:12" ht="30" customHeight="1" x14ac:dyDescent="0.35">
      <c r="A897" t="s">
        <v>1836</v>
      </c>
      <c r="B897" t="s">
        <v>1837</v>
      </c>
      <c r="C897" t="s">
        <v>15</v>
      </c>
      <c r="D897" t="s">
        <v>14</v>
      </c>
      <c r="E897" s="2">
        <v>388558.39</v>
      </c>
      <c r="F897" s="2">
        <v>2392332.9900000002</v>
      </c>
      <c r="G897" s="2"/>
      <c r="H897" s="8">
        <f t="shared" si="28"/>
        <v>2392332.9900000002</v>
      </c>
      <c r="I897" s="10">
        <f t="shared" si="29"/>
        <v>0.16241818828072088</v>
      </c>
      <c r="J897" s="2"/>
      <c r="K897" s="2"/>
      <c r="L897" s="2"/>
    </row>
    <row r="898" spans="1:12" ht="30" customHeight="1" x14ac:dyDescent="0.35">
      <c r="A898" t="s">
        <v>1838</v>
      </c>
      <c r="B898" t="s">
        <v>1839</v>
      </c>
      <c r="C898" t="s">
        <v>259</v>
      </c>
      <c r="D898" t="s">
        <v>258</v>
      </c>
      <c r="E898" s="2">
        <v>415.54</v>
      </c>
      <c r="F898" s="2">
        <v>130500</v>
      </c>
      <c r="G898" s="2">
        <v>219500</v>
      </c>
      <c r="H898" s="8">
        <f t="shared" si="28"/>
        <v>350000</v>
      </c>
      <c r="I898" s="10">
        <f t="shared" si="29"/>
        <v>1.1872571428571429E-3</v>
      </c>
      <c r="J898" s="2"/>
      <c r="K898" s="2"/>
      <c r="L898" s="2"/>
    </row>
    <row r="899" spans="1:12" ht="30" customHeight="1" x14ac:dyDescent="0.35">
      <c r="A899" t="s">
        <v>1840</v>
      </c>
      <c r="B899" t="s">
        <v>1841</v>
      </c>
      <c r="C899" t="s">
        <v>57</v>
      </c>
      <c r="D899" t="s">
        <v>56</v>
      </c>
      <c r="E899" s="2">
        <v>265</v>
      </c>
      <c r="F899" s="2">
        <v>75024.240000000005</v>
      </c>
      <c r="G899" s="2">
        <v>14875.76</v>
      </c>
      <c r="H899" s="8">
        <f t="shared" si="28"/>
        <v>89900</v>
      </c>
      <c r="I899" s="10">
        <f t="shared" si="29"/>
        <v>2.9477196885428253E-3</v>
      </c>
      <c r="J899" s="2"/>
      <c r="K899" s="2"/>
      <c r="L899" s="2"/>
    </row>
    <row r="900" spans="1:12" ht="30" customHeight="1" x14ac:dyDescent="0.35">
      <c r="A900" t="s">
        <v>1842</v>
      </c>
      <c r="B900" t="s">
        <v>1843</v>
      </c>
      <c r="C900" t="s">
        <v>259</v>
      </c>
      <c r="D900" t="s">
        <v>258</v>
      </c>
      <c r="E900" s="2">
        <v>1017320.01</v>
      </c>
      <c r="F900" s="2">
        <v>1230900.33</v>
      </c>
      <c r="G900" s="2"/>
      <c r="H900" s="8">
        <f t="shared" si="28"/>
        <v>1230900.33</v>
      </c>
      <c r="I900" s="10">
        <f t="shared" si="29"/>
        <v>0.82648447254864243</v>
      </c>
      <c r="J900" s="2"/>
      <c r="K900" s="2"/>
      <c r="L900" s="2"/>
    </row>
    <row r="901" spans="1:12" ht="30" customHeight="1" x14ac:dyDescent="0.35">
      <c r="A901" t="s">
        <v>1844</v>
      </c>
      <c r="B901" t="s">
        <v>1845</v>
      </c>
      <c r="C901" t="s">
        <v>51</v>
      </c>
      <c r="D901" t="s">
        <v>50</v>
      </c>
      <c r="E901" s="2">
        <v>923579.88</v>
      </c>
      <c r="F901" s="2">
        <v>144664.68</v>
      </c>
      <c r="G901" s="2">
        <v>105335.32</v>
      </c>
      <c r="H901" s="8">
        <f t="shared" si="28"/>
        <v>250000</v>
      </c>
      <c r="I901" s="10">
        <f t="shared" si="29"/>
        <v>3.6943195200000001</v>
      </c>
      <c r="J901" s="2"/>
      <c r="K901" s="2"/>
      <c r="L901" s="2"/>
    </row>
    <row r="902" spans="1:12" ht="30" customHeight="1" x14ac:dyDescent="0.35">
      <c r="A902" t="s">
        <v>1846</v>
      </c>
      <c r="B902" t="s">
        <v>1847</v>
      </c>
      <c r="C902" t="s">
        <v>185</v>
      </c>
      <c r="D902" t="s">
        <v>184</v>
      </c>
      <c r="E902" s="2">
        <v>27103.88</v>
      </c>
      <c r="F902" s="2"/>
      <c r="G902" s="2"/>
      <c r="H902" s="8" t="str">
        <f t="shared" si="28"/>
        <v/>
      </c>
      <c r="I902" s="10" t="str">
        <f t="shared" si="29"/>
        <v/>
      </c>
      <c r="J902" s="2"/>
      <c r="K902" s="2"/>
      <c r="L902" s="2"/>
    </row>
    <row r="903" spans="1:12" ht="30" customHeight="1" x14ac:dyDescent="0.35">
      <c r="A903" t="s">
        <v>1848</v>
      </c>
      <c r="B903" t="s">
        <v>1849</v>
      </c>
      <c r="C903" t="s">
        <v>457</v>
      </c>
      <c r="D903" t="s">
        <v>456</v>
      </c>
      <c r="E903" s="2">
        <v>79386.55</v>
      </c>
      <c r="F903" s="2">
        <v>699765.74</v>
      </c>
      <c r="G903" s="2"/>
      <c r="H903" s="8">
        <f t="shared" si="28"/>
        <v>699765.74</v>
      </c>
      <c r="I903" s="10">
        <f t="shared" si="29"/>
        <v>0.11344732309987055</v>
      </c>
      <c r="J903" s="2"/>
      <c r="K903" s="2"/>
      <c r="L903" s="2"/>
    </row>
    <row r="904" spans="1:12" ht="30" customHeight="1" x14ac:dyDescent="0.35">
      <c r="A904" t="s">
        <v>1850</v>
      </c>
      <c r="B904" t="s">
        <v>1851</v>
      </c>
      <c r="C904" t="s">
        <v>57</v>
      </c>
      <c r="D904" t="s">
        <v>56</v>
      </c>
      <c r="E904" s="2">
        <v>38751.919999999998</v>
      </c>
      <c r="F904" s="2"/>
      <c r="G904" s="2"/>
      <c r="H904" s="8" t="str">
        <f t="shared" si="28"/>
        <v/>
      </c>
      <c r="I904" s="10" t="str">
        <f t="shared" si="29"/>
        <v/>
      </c>
      <c r="J904" s="2"/>
      <c r="K904" s="2"/>
      <c r="L904" s="2"/>
    </row>
    <row r="905" spans="1:12" ht="30" customHeight="1" x14ac:dyDescent="0.35">
      <c r="A905" t="s">
        <v>1852</v>
      </c>
      <c r="B905" t="s">
        <v>1853</v>
      </c>
      <c r="C905" t="s">
        <v>41</v>
      </c>
      <c r="D905" t="s">
        <v>40</v>
      </c>
      <c r="E905" s="2">
        <v>52910.25</v>
      </c>
      <c r="F905" s="2">
        <v>74395.360000000001</v>
      </c>
      <c r="G905" s="2">
        <v>25604.639999999999</v>
      </c>
      <c r="H905" s="8">
        <f t="shared" si="28"/>
        <v>100000</v>
      </c>
      <c r="I905" s="10">
        <f t="shared" si="29"/>
        <v>0.52910250000000003</v>
      </c>
      <c r="J905" s="2"/>
      <c r="K905" s="2"/>
      <c r="L905" s="2"/>
    </row>
    <row r="906" spans="1:12" ht="30" customHeight="1" x14ac:dyDescent="0.35">
      <c r="A906" t="s">
        <v>1854</v>
      </c>
      <c r="B906" t="s">
        <v>1855</v>
      </c>
      <c r="C906" t="s">
        <v>15</v>
      </c>
      <c r="D906" t="s">
        <v>14</v>
      </c>
      <c r="E906" s="2">
        <v>1680665.84</v>
      </c>
      <c r="F906" s="2">
        <v>6365705.1500000004</v>
      </c>
      <c r="G906" s="2">
        <v>1250000</v>
      </c>
      <c r="H906" s="8">
        <f t="shared" si="28"/>
        <v>7615705.1500000004</v>
      </c>
      <c r="I906" s="10">
        <f t="shared" si="29"/>
        <v>0.22068420545404124</v>
      </c>
      <c r="J906" s="2"/>
      <c r="K906" s="2"/>
      <c r="L906" s="2"/>
    </row>
    <row r="907" spans="1:12" ht="30" customHeight="1" x14ac:dyDescent="0.35">
      <c r="A907" t="s">
        <v>1856</v>
      </c>
      <c r="B907" t="s">
        <v>1857</v>
      </c>
      <c r="C907" t="s">
        <v>19</v>
      </c>
      <c r="D907" t="s">
        <v>18</v>
      </c>
      <c r="E907" s="2">
        <v>33232.29</v>
      </c>
      <c r="F907" s="2"/>
      <c r="G907" s="2"/>
      <c r="H907" s="8" t="str">
        <f t="shared" si="28"/>
        <v/>
      </c>
      <c r="I907" s="10" t="str">
        <f t="shared" si="29"/>
        <v/>
      </c>
      <c r="J907" s="2"/>
      <c r="K907" s="2"/>
      <c r="L907" s="2"/>
    </row>
    <row r="908" spans="1:12" ht="30" customHeight="1" x14ac:dyDescent="0.35">
      <c r="A908" t="s">
        <v>1858</v>
      </c>
      <c r="B908" t="s">
        <v>1859</v>
      </c>
      <c r="C908" t="s">
        <v>109</v>
      </c>
      <c r="D908" t="s">
        <v>108</v>
      </c>
      <c r="E908" s="2">
        <v>29746.17</v>
      </c>
      <c r="F908" s="2">
        <v>37780.46</v>
      </c>
      <c r="G908" s="2"/>
      <c r="H908" s="8">
        <f t="shared" si="28"/>
        <v>37780.46</v>
      </c>
      <c r="I908" s="10">
        <f t="shared" si="29"/>
        <v>0.7873427163142005</v>
      </c>
      <c r="J908" s="2"/>
      <c r="K908" s="2"/>
      <c r="L908" s="2"/>
    </row>
    <row r="909" spans="1:12" ht="30" customHeight="1" x14ac:dyDescent="0.35">
      <c r="A909" t="s">
        <v>1860</v>
      </c>
      <c r="B909" t="s">
        <v>1861</v>
      </c>
      <c r="C909" t="s">
        <v>67</v>
      </c>
      <c r="D909" t="s">
        <v>66</v>
      </c>
      <c r="E909" s="2"/>
      <c r="F909" s="2">
        <v>45529.16</v>
      </c>
      <c r="G909" s="2"/>
      <c r="H909" s="8">
        <f t="shared" si="28"/>
        <v>45529.16</v>
      </c>
      <c r="I909" s="10">
        <f t="shared" si="29"/>
        <v>0</v>
      </c>
      <c r="J909" s="2"/>
      <c r="K909" s="2"/>
      <c r="L909" s="2"/>
    </row>
    <row r="910" spans="1:12" ht="30" customHeight="1" x14ac:dyDescent="0.35">
      <c r="A910" t="s">
        <v>1862</v>
      </c>
      <c r="B910" t="s">
        <v>1863</v>
      </c>
      <c r="C910" t="s">
        <v>77</v>
      </c>
      <c r="D910" t="s">
        <v>76</v>
      </c>
      <c r="E910" s="2">
        <v>1472.58</v>
      </c>
      <c r="F910" s="2"/>
      <c r="G910" s="2"/>
      <c r="H910" s="8" t="str">
        <f t="shared" si="28"/>
        <v/>
      </c>
      <c r="I910" s="10" t="str">
        <f t="shared" si="29"/>
        <v/>
      </c>
      <c r="J910" s="2"/>
      <c r="K910" s="2"/>
      <c r="L910" s="2"/>
    </row>
    <row r="911" spans="1:12" ht="30" customHeight="1" x14ac:dyDescent="0.35">
      <c r="A911" t="s">
        <v>1864</v>
      </c>
      <c r="B911" t="s">
        <v>1865</v>
      </c>
      <c r="C911" t="s">
        <v>19</v>
      </c>
      <c r="D911" t="s">
        <v>18</v>
      </c>
      <c r="E911" s="2">
        <v>599367.31000000006</v>
      </c>
      <c r="F911" s="2"/>
      <c r="G911" s="2"/>
      <c r="H911" s="8" t="str">
        <f t="shared" si="28"/>
        <v/>
      </c>
      <c r="I911" s="10" t="str">
        <f t="shared" si="29"/>
        <v/>
      </c>
      <c r="J911" s="2"/>
      <c r="K911" s="2"/>
      <c r="L911" s="2"/>
    </row>
    <row r="912" spans="1:12" ht="30" customHeight="1" x14ac:dyDescent="0.35">
      <c r="A912" t="s">
        <v>1866</v>
      </c>
      <c r="B912" t="s">
        <v>1867</v>
      </c>
      <c r="C912" t="s">
        <v>77</v>
      </c>
      <c r="D912" t="s">
        <v>76</v>
      </c>
      <c r="E912" s="2">
        <v>153.80000000000001</v>
      </c>
      <c r="F912" s="2"/>
      <c r="G912" s="2"/>
      <c r="H912" s="8" t="str">
        <f t="shared" si="28"/>
        <v/>
      </c>
      <c r="I912" s="10" t="str">
        <f t="shared" si="29"/>
        <v/>
      </c>
      <c r="J912" s="2"/>
      <c r="K912" s="2"/>
      <c r="L912" s="2"/>
    </row>
    <row r="913" spans="1:12" ht="30" customHeight="1" x14ac:dyDescent="0.35">
      <c r="A913" t="s">
        <v>1868</v>
      </c>
      <c r="B913" t="s">
        <v>1869</v>
      </c>
      <c r="C913" t="s">
        <v>67</v>
      </c>
      <c r="D913" t="s">
        <v>66</v>
      </c>
      <c r="E913" s="2">
        <v>578.86</v>
      </c>
      <c r="F913" s="2"/>
      <c r="G913" s="2"/>
      <c r="H913" s="8" t="str">
        <f t="shared" si="28"/>
        <v/>
      </c>
      <c r="I913" s="10" t="str">
        <f t="shared" si="29"/>
        <v/>
      </c>
      <c r="J913" s="2"/>
      <c r="K913" s="2"/>
      <c r="L913" s="2"/>
    </row>
    <row r="914" spans="1:12" ht="30" customHeight="1" x14ac:dyDescent="0.35">
      <c r="A914" t="s">
        <v>1870</v>
      </c>
      <c r="B914" t="s">
        <v>1871</v>
      </c>
      <c r="C914" t="s">
        <v>19</v>
      </c>
      <c r="D914" t="s">
        <v>18</v>
      </c>
      <c r="E914" s="2">
        <v>4976.08</v>
      </c>
      <c r="F914" s="2"/>
      <c r="G914" s="2"/>
      <c r="H914" s="8" t="str">
        <f t="shared" si="28"/>
        <v/>
      </c>
      <c r="I914" s="10" t="str">
        <f t="shared" si="29"/>
        <v/>
      </c>
      <c r="J914" s="2"/>
      <c r="K914" s="2"/>
      <c r="L914" s="2"/>
    </row>
    <row r="915" spans="1:12" ht="30" customHeight="1" x14ac:dyDescent="0.35">
      <c r="A915" t="s">
        <v>1872</v>
      </c>
      <c r="B915" t="s">
        <v>1873</v>
      </c>
      <c r="C915" t="s">
        <v>51</v>
      </c>
      <c r="D915" t="s">
        <v>50</v>
      </c>
      <c r="E915" s="2">
        <v>182340.1</v>
      </c>
      <c r="F915" s="2"/>
      <c r="G915" s="2"/>
      <c r="H915" s="8" t="str">
        <f t="shared" si="28"/>
        <v/>
      </c>
      <c r="I915" s="10" t="str">
        <f t="shared" si="29"/>
        <v/>
      </c>
      <c r="J915" s="2"/>
      <c r="K915" s="2"/>
      <c r="L915" s="2"/>
    </row>
    <row r="916" spans="1:12" ht="30" customHeight="1" x14ac:dyDescent="0.35">
      <c r="A916" t="s">
        <v>1874</v>
      </c>
      <c r="B916" t="s">
        <v>1875</v>
      </c>
      <c r="C916" t="s">
        <v>19</v>
      </c>
      <c r="D916" t="s">
        <v>18</v>
      </c>
      <c r="E916" s="2">
        <v>7721.84</v>
      </c>
      <c r="F916" s="2"/>
      <c r="G916" s="2"/>
      <c r="H916" s="8" t="str">
        <f t="shared" si="28"/>
        <v/>
      </c>
      <c r="I916" s="10" t="str">
        <f t="shared" si="29"/>
        <v/>
      </c>
      <c r="J916" s="2"/>
      <c r="K916" s="2"/>
      <c r="L916" s="2"/>
    </row>
    <row r="917" spans="1:12" ht="30" customHeight="1" x14ac:dyDescent="0.35">
      <c r="A917" t="s">
        <v>1876</v>
      </c>
      <c r="B917" t="s">
        <v>1877</v>
      </c>
      <c r="C917" t="s">
        <v>19</v>
      </c>
      <c r="D917" t="s">
        <v>18</v>
      </c>
      <c r="E917" s="2">
        <v>20277.740000000002</v>
      </c>
      <c r="F917" s="2"/>
      <c r="G917" s="2"/>
      <c r="H917" s="8" t="str">
        <f t="shared" si="28"/>
        <v/>
      </c>
      <c r="I917" s="10" t="str">
        <f t="shared" si="29"/>
        <v/>
      </c>
      <c r="J917" s="2"/>
      <c r="K917" s="2"/>
      <c r="L917" s="2"/>
    </row>
    <row r="918" spans="1:12" ht="30" customHeight="1" x14ac:dyDescent="0.35">
      <c r="A918" t="s">
        <v>1878</v>
      </c>
      <c r="B918" t="s">
        <v>1879</v>
      </c>
      <c r="C918" t="s">
        <v>57</v>
      </c>
      <c r="D918" t="s">
        <v>56</v>
      </c>
      <c r="E918" s="2">
        <v>93190.56</v>
      </c>
      <c r="F918" s="2"/>
      <c r="G918" s="2"/>
      <c r="H918" s="8" t="str">
        <f t="shared" si="28"/>
        <v/>
      </c>
      <c r="I918" s="10" t="str">
        <f t="shared" si="29"/>
        <v/>
      </c>
      <c r="J918" s="2"/>
      <c r="K918" s="2"/>
      <c r="L918" s="2"/>
    </row>
    <row r="919" spans="1:12" ht="30" customHeight="1" x14ac:dyDescent="0.35">
      <c r="A919" t="s">
        <v>1880</v>
      </c>
      <c r="B919" t="s">
        <v>1881</v>
      </c>
      <c r="C919" t="s">
        <v>51</v>
      </c>
      <c r="D919" t="s">
        <v>50</v>
      </c>
      <c r="E919" s="2">
        <v>20433.8</v>
      </c>
      <c r="F919" s="2"/>
      <c r="G919" s="2"/>
      <c r="H919" s="8" t="str">
        <f t="shared" si="28"/>
        <v/>
      </c>
      <c r="I919" s="10" t="str">
        <f t="shared" si="29"/>
        <v/>
      </c>
      <c r="J919" s="2"/>
      <c r="K919" s="2"/>
      <c r="L919" s="2"/>
    </row>
    <row r="920" spans="1:12" ht="30" customHeight="1" x14ac:dyDescent="0.35">
      <c r="A920" t="s">
        <v>2232</v>
      </c>
      <c r="B920" t="s">
        <v>2233</v>
      </c>
      <c r="C920" t="s">
        <v>51</v>
      </c>
      <c r="D920" t="s">
        <v>50</v>
      </c>
      <c r="E920" s="2">
        <v>406.37</v>
      </c>
      <c r="F920" s="2"/>
      <c r="G920" s="2"/>
      <c r="H920" s="8" t="str">
        <f t="shared" si="28"/>
        <v/>
      </c>
      <c r="I920" s="10" t="str">
        <f t="shared" si="29"/>
        <v/>
      </c>
      <c r="J920" s="2"/>
      <c r="K920" s="2"/>
      <c r="L920" s="2"/>
    </row>
    <row r="921" spans="1:12" ht="30" customHeight="1" x14ac:dyDescent="0.35">
      <c r="A921" t="s">
        <v>1882</v>
      </c>
      <c r="B921" t="s">
        <v>1883</v>
      </c>
      <c r="C921" t="s">
        <v>51</v>
      </c>
      <c r="D921" t="s">
        <v>50</v>
      </c>
      <c r="E921" s="2">
        <v>5313.7</v>
      </c>
      <c r="F921" s="2"/>
      <c r="G921" s="2"/>
      <c r="H921" s="8" t="str">
        <f t="shared" si="28"/>
        <v/>
      </c>
      <c r="I921" s="10" t="str">
        <f t="shared" si="29"/>
        <v/>
      </c>
      <c r="J921" s="2"/>
      <c r="K921" s="2"/>
      <c r="L921" s="2"/>
    </row>
    <row r="922" spans="1:12" ht="30" customHeight="1" x14ac:dyDescent="0.35">
      <c r="A922" t="s">
        <v>1884</v>
      </c>
      <c r="B922" t="s">
        <v>1885</v>
      </c>
      <c r="C922" t="s">
        <v>51</v>
      </c>
      <c r="D922" t="s">
        <v>50</v>
      </c>
      <c r="E922" s="2">
        <v>646678.28</v>
      </c>
      <c r="F922" s="2"/>
      <c r="G922" s="2"/>
      <c r="H922" s="8" t="str">
        <f t="shared" si="28"/>
        <v/>
      </c>
      <c r="I922" s="10" t="str">
        <f t="shared" si="29"/>
        <v/>
      </c>
      <c r="J922" s="2"/>
      <c r="K922" s="2"/>
      <c r="L922" s="2"/>
    </row>
    <row r="923" spans="1:12" ht="30" customHeight="1" x14ac:dyDescent="0.35">
      <c r="A923" t="s">
        <v>1886</v>
      </c>
      <c r="B923" t="s">
        <v>1887</v>
      </c>
      <c r="C923" t="s">
        <v>51</v>
      </c>
      <c r="D923" t="s">
        <v>50</v>
      </c>
      <c r="E923" s="2">
        <v>42093.52</v>
      </c>
      <c r="F923" s="2"/>
      <c r="G923" s="2"/>
      <c r="H923" s="8" t="str">
        <f t="shared" si="28"/>
        <v/>
      </c>
      <c r="I923" s="10" t="str">
        <f t="shared" si="29"/>
        <v/>
      </c>
      <c r="J923" s="2"/>
      <c r="K923" s="2"/>
      <c r="L923" s="2"/>
    </row>
    <row r="924" spans="1:12" ht="30" customHeight="1" x14ac:dyDescent="0.35">
      <c r="A924" t="s">
        <v>1888</v>
      </c>
      <c r="B924" t="s">
        <v>1889</v>
      </c>
      <c r="C924" t="s">
        <v>385</v>
      </c>
      <c r="D924" t="s">
        <v>384</v>
      </c>
      <c r="E924" s="2">
        <v>867.74</v>
      </c>
      <c r="F924" s="2"/>
      <c r="G924" s="2"/>
      <c r="H924" s="8" t="str">
        <f t="shared" si="28"/>
        <v/>
      </c>
      <c r="I924" s="10" t="str">
        <f t="shared" si="29"/>
        <v/>
      </c>
      <c r="J924" s="2"/>
      <c r="K924" s="2"/>
      <c r="L924" s="2"/>
    </row>
    <row r="925" spans="1:12" ht="30" customHeight="1" x14ac:dyDescent="0.35">
      <c r="A925" t="s">
        <v>1890</v>
      </c>
      <c r="B925" t="s">
        <v>1891</v>
      </c>
      <c r="C925" t="s">
        <v>41</v>
      </c>
      <c r="D925" t="s">
        <v>40</v>
      </c>
      <c r="E925" s="2">
        <v>703889.19</v>
      </c>
      <c r="F925" s="2">
        <v>0</v>
      </c>
      <c r="G925" s="2">
        <v>50000</v>
      </c>
      <c r="H925" s="8">
        <f t="shared" si="28"/>
        <v>50000</v>
      </c>
      <c r="I925" s="10">
        <f t="shared" si="29"/>
        <v>14.077783799999999</v>
      </c>
      <c r="J925" s="2"/>
      <c r="K925" s="2"/>
      <c r="L925" s="2"/>
    </row>
    <row r="926" spans="1:12" ht="30" customHeight="1" x14ac:dyDescent="0.35">
      <c r="A926" t="s">
        <v>1892</v>
      </c>
      <c r="B926" t="s">
        <v>1893</v>
      </c>
      <c r="C926" t="s">
        <v>57</v>
      </c>
      <c r="D926" t="s">
        <v>56</v>
      </c>
      <c r="E926" s="2">
        <v>75613.350000000006</v>
      </c>
      <c r="F926" s="2"/>
      <c r="G926" s="2"/>
      <c r="H926" s="8" t="str">
        <f t="shared" si="28"/>
        <v/>
      </c>
      <c r="I926" s="10" t="str">
        <f t="shared" si="29"/>
        <v/>
      </c>
      <c r="J926" s="2"/>
      <c r="K926" s="2"/>
      <c r="L926" s="2"/>
    </row>
    <row r="927" spans="1:12" ht="30" customHeight="1" x14ac:dyDescent="0.35">
      <c r="A927" t="s">
        <v>1894</v>
      </c>
      <c r="B927" t="s">
        <v>1895</v>
      </c>
      <c r="C927" t="s">
        <v>29</v>
      </c>
      <c r="D927" t="s">
        <v>28</v>
      </c>
      <c r="E927" s="2">
        <v>67961.69</v>
      </c>
      <c r="F927" s="2"/>
      <c r="G927" s="2"/>
      <c r="H927" s="8" t="str">
        <f t="shared" si="28"/>
        <v/>
      </c>
      <c r="I927" s="10" t="str">
        <f t="shared" si="29"/>
        <v/>
      </c>
      <c r="J927" s="2"/>
      <c r="K927" s="2"/>
      <c r="L927" s="2"/>
    </row>
    <row r="928" spans="1:12" ht="30" customHeight="1" x14ac:dyDescent="0.35">
      <c r="A928" t="s">
        <v>1896</v>
      </c>
      <c r="B928" t="s">
        <v>1897</v>
      </c>
      <c r="C928" t="s">
        <v>29</v>
      </c>
      <c r="D928" t="s">
        <v>28</v>
      </c>
      <c r="E928" s="2">
        <v>52830.16</v>
      </c>
      <c r="F928" s="2">
        <v>9470.9</v>
      </c>
      <c r="G928" s="2"/>
      <c r="H928" s="8">
        <f t="shared" si="28"/>
        <v>9470.9</v>
      </c>
      <c r="I928" s="10">
        <f t="shared" si="29"/>
        <v>5.5781562470303783</v>
      </c>
      <c r="J928" s="2"/>
      <c r="K928" s="2"/>
      <c r="L928" s="2"/>
    </row>
    <row r="929" spans="1:12" ht="30" customHeight="1" x14ac:dyDescent="0.35">
      <c r="A929" t="s">
        <v>1898</v>
      </c>
      <c r="B929" t="s">
        <v>1899</v>
      </c>
      <c r="C929" t="s">
        <v>67</v>
      </c>
      <c r="D929" t="s">
        <v>66</v>
      </c>
      <c r="E929" s="2">
        <v>648035.65</v>
      </c>
      <c r="F929" s="2">
        <v>0</v>
      </c>
      <c r="G929" s="2">
        <v>250000</v>
      </c>
      <c r="H929" s="8">
        <f t="shared" si="28"/>
        <v>250000</v>
      </c>
      <c r="I929" s="10">
        <f t="shared" si="29"/>
        <v>2.5921426000000003</v>
      </c>
      <c r="J929" s="2"/>
      <c r="K929" s="2"/>
      <c r="L929" s="2"/>
    </row>
    <row r="930" spans="1:12" ht="30" customHeight="1" x14ac:dyDescent="0.35">
      <c r="A930" t="s">
        <v>1900</v>
      </c>
      <c r="B930" t="s">
        <v>1901</v>
      </c>
      <c r="C930" t="s">
        <v>77</v>
      </c>
      <c r="D930" t="s">
        <v>76</v>
      </c>
      <c r="E930" s="2">
        <v>29359.63</v>
      </c>
      <c r="F930" s="2"/>
      <c r="G930" s="2"/>
      <c r="H930" s="8" t="str">
        <f t="shared" si="28"/>
        <v/>
      </c>
      <c r="I930" s="10" t="str">
        <f t="shared" si="29"/>
        <v/>
      </c>
      <c r="J930" s="2"/>
      <c r="K930" s="2"/>
      <c r="L930" s="2"/>
    </row>
    <row r="931" spans="1:12" ht="30" customHeight="1" x14ac:dyDescent="0.35">
      <c r="A931" t="s">
        <v>1902</v>
      </c>
      <c r="B931" t="s">
        <v>1903</v>
      </c>
      <c r="C931" t="s">
        <v>51</v>
      </c>
      <c r="D931" t="s">
        <v>50</v>
      </c>
      <c r="E931" s="2">
        <v>2199.44</v>
      </c>
      <c r="F931" s="2">
        <v>9154.6200000000008</v>
      </c>
      <c r="G931" s="2"/>
      <c r="H931" s="8">
        <f t="shared" si="28"/>
        <v>9154.6200000000008</v>
      </c>
      <c r="I931" s="10">
        <f t="shared" si="29"/>
        <v>0.24025464738022986</v>
      </c>
      <c r="J931" s="2"/>
      <c r="K931" s="2"/>
      <c r="L931" s="2"/>
    </row>
    <row r="932" spans="1:12" ht="30" customHeight="1" x14ac:dyDescent="0.35">
      <c r="A932" t="s">
        <v>1904</v>
      </c>
      <c r="B932" t="s">
        <v>1905</v>
      </c>
      <c r="C932" t="s">
        <v>259</v>
      </c>
      <c r="D932" t="s">
        <v>258</v>
      </c>
      <c r="E932" s="2">
        <v>1387334.92</v>
      </c>
      <c r="F932" s="2">
        <v>35000</v>
      </c>
      <c r="G932" s="2">
        <v>215000</v>
      </c>
      <c r="H932" s="8">
        <f t="shared" si="28"/>
        <v>250000</v>
      </c>
      <c r="I932" s="10">
        <f t="shared" si="29"/>
        <v>5.5493396800000001</v>
      </c>
      <c r="J932" s="2"/>
      <c r="K932" s="2"/>
      <c r="L932" s="2"/>
    </row>
    <row r="933" spans="1:12" ht="30" customHeight="1" x14ac:dyDescent="0.35">
      <c r="A933" t="s">
        <v>1906</v>
      </c>
      <c r="B933" t="s">
        <v>1907</v>
      </c>
      <c r="C933" t="s">
        <v>19</v>
      </c>
      <c r="D933" t="s">
        <v>18</v>
      </c>
      <c r="E933" s="2">
        <v>716184.49</v>
      </c>
      <c r="F933" s="2">
        <v>0</v>
      </c>
      <c r="G933" s="2">
        <v>285000</v>
      </c>
      <c r="H933" s="8">
        <f t="shared" si="28"/>
        <v>285000</v>
      </c>
      <c r="I933" s="10">
        <f t="shared" si="29"/>
        <v>2.5129280350877194</v>
      </c>
      <c r="J933" s="2"/>
      <c r="K933" s="2"/>
      <c r="L933" s="2"/>
    </row>
    <row r="934" spans="1:12" ht="30" customHeight="1" x14ac:dyDescent="0.35">
      <c r="A934" t="s">
        <v>1908</v>
      </c>
      <c r="B934" t="s">
        <v>1909</v>
      </c>
      <c r="C934" t="s">
        <v>33</v>
      </c>
      <c r="D934" t="s">
        <v>32</v>
      </c>
      <c r="E934" s="2">
        <v>5801.49</v>
      </c>
      <c r="F934" s="2">
        <v>218824.32000000001</v>
      </c>
      <c r="G934" s="2"/>
      <c r="H934" s="8">
        <f t="shared" si="28"/>
        <v>218824.32000000001</v>
      </c>
      <c r="I934" s="10">
        <f t="shared" si="29"/>
        <v>2.6512089698256573E-2</v>
      </c>
      <c r="J934" s="2"/>
      <c r="K934" s="2"/>
      <c r="L934" s="2"/>
    </row>
    <row r="935" spans="1:12" ht="30" customHeight="1" x14ac:dyDescent="0.35">
      <c r="A935" t="s">
        <v>1910</v>
      </c>
      <c r="B935" t="s">
        <v>1911</v>
      </c>
      <c r="C935" t="s">
        <v>19</v>
      </c>
      <c r="D935" t="s">
        <v>18</v>
      </c>
      <c r="E935" s="2">
        <v>117722.33</v>
      </c>
      <c r="F935" s="2">
        <v>0</v>
      </c>
      <c r="G935" s="2">
        <v>300</v>
      </c>
      <c r="H935" s="8">
        <f t="shared" si="28"/>
        <v>300</v>
      </c>
      <c r="I935" s="10">
        <f t="shared" si="29"/>
        <v>392.40776666666665</v>
      </c>
      <c r="J935" s="2"/>
      <c r="K935" s="2"/>
      <c r="L935" s="2"/>
    </row>
    <row r="936" spans="1:12" ht="30" customHeight="1" x14ac:dyDescent="0.35">
      <c r="A936" t="s">
        <v>1912</v>
      </c>
      <c r="B936" t="s">
        <v>1913</v>
      </c>
      <c r="C936" t="s">
        <v>487</v>
      </c>
      <c r="D936" t="s">
        <v>486</v>
      </c>
      <c r="E936" s="2">
        <v>80524.259999999995</v>
      </c>
      <c r="F936" s="2">
        <v>2992668.46</v>
      </c>
      <c r="G936" s="2"/>
      <c r="H936" s="8">
        <f t="shared" si="28"/>
        <v>2992668.46</v>
      </c>
      <c r="I936" s="10">
        <f t="shared" si="29"/>
        <v>2.6907177014857168E-2</v>
      </c>
      <c r="J936" s="2"/>
      <c r="K936" s="2"/>
      <c r="L936" s="2"/>
    </row>
    <row r="937" spans="1:12" ht="30" customHeight="1" x14ac:dyDescent="0.35">
      <c r="A937" t="s">
        <v>1914</v>
      </c>
      <c r="B937" t="s">
        <v>1915</v>
      </c>
      <c r="C937" t="s">
        <v>213</v>
      </c>
      <c r="D937" t="s">
        <v>212</v>
      </c>
      <c r="E937" s="2"/>
      <c r="F937" s="2">
        <v>0</v>
      </c>
      <c r="G937" s="2"/>
      <c r="H937" s="8">
        <f t="shared" si="28"/>
        <v>0</v>
      </c>
      <c r="I937" s="10" t="e">
        <f t="shared" si="29"/>
        <v>#DIV/0!</v>
      </c>
      <c r="J937" s="2"/>
      <c r="K937" s="2"/>
      <c r="L937" s="2"/>
    </row>
    <row r="938" spans="1:12" ht="30" customHeight="1" x14ac:dyDescent="0.35">
      <c r="A938" t="s">
        <v>1916</v>
      </c>
      <c r="B938" t="s">
        <v>1917</v>
      </c>
      <c r="C938" t="s">
        <v>642</v>
      </c>
      <c r="D938" t="s">
        <v>641</v>
      </c>
      <c r="E938" s="2">
        <v>59474.9</v>
      </c>
      <c r="F938" s="2">
        <v>221982.76</v>
      </c>
      <c r="G938" s="2"/>
      <c r="H938" s="8">
        <f t="shared" si="28"/>
        <v>221982.76</v>
      </c>
      <c r="I938" s="10">
        <f t="shared" si="29"/>
        <v>0.26792576144201469</v>
      </c>
      <c r="J938" s="2"/>
      <c r="K938" s="2"/>
      <c r="L938" s="2"/>
    </row>
    <row r="939" spans="1:12" ht="30" customHeight="1" x14ac:dyDescent="0.35">
      <c r="A939" t="s">
        <v>1918</v>
      </c>
      <c r="B939" t="s">
        <v>1919</v>
      </c>
      <c r="C939" t="s">
        <v>465</v>
      </c>
      <c r="D939" t="s">
        <v>464</v>
      </c>
      <c r="E939" s="2">
        <v>408200.73</v>
      </c>
      <c r="F939" s="2">
        <v>3436616.18</v>
      </c>
      <c r="G939" s="2">
        <v>300000</v>
      </c>
      <c r="H939" s="8">
        <f t="shared" si="28"/>
        <v>3736616.18</v>
      </c>
      <c r="I939" s="10">
        <f t="shared" si="29"/>
        <v>0.10924341980449273</v>
      </c>
      <c r="J939" s="2"/>
      <c r="K939" s="2"/>
      <c r="L939" s="2"/>
    </row>
    <row r="940" spans="1:12" ht="30" customHeight="1" x14ac:dyDescent="0.35">
      <c r="A940" t="s">
        <v>1920</v>
      </c>
      <c r="B940" t="s">
        <v>1921</v>
      </c>
      <c r="C940" t="s">
        <v>33</v>
      </c>
      <c r="D940" t="s">
        <v>32</v>
      </c>
      <c r="E940" s="2">
        <v>377767.99</v>
      </c>
      <c r="F940" s="2">
        <v>573866.36</v>
      </c>
      <c r="G940" s="2">
        <v>10133.64</v>
      </c>
      <c r="H940" s="8">
        <f t="shared" si="28"/>
        <v>584000</v>
      </c>
      <c r="I940" s="10">
        <f t="shared" si="29"/>
        <v>0.64686299657534241</v>
      </c>
      <c r="J940" s="2"/>
      <c r="K940" s="2"/>
      <c r="L940" s="2"/>
    </row>
    <row r="941" spans="1:12" ht="30" customHeight="1" x14ac:dyDescent="0.35">
      <c r="A941" t="s">
        <v>1922</v>
      </c>
      <c r="B941" t="s">
        <v>1923</v>
      </c>
      <c r="C941" t="s">
        <v>51</v>
      </c>
      <c r="D941" t="s">
        <v>50</v>
      </c>
      <c r="E941" s="2">
        <v>76702.41</v>
      </c>
      <c r="F941" s="2"/>
      <c r="G941" s="2"/>
      <c r="H941" s="8" t="str">
        <f t="shared" si="28"/>
        <v/>
      </c>
      <c r="I941" s="10" t="str">
        <f t="shared" si="29"/>
        <v/>
      </c>
      <c r="J941" s="2"/>
      <c r="K941" s="2"/>
      <c r="L941" s="2"/>
    </row>
    <row r="942" spans="1:12" ht="30" customHeight="1" x14ac:dyDescent="0.35">
      <c r="A942" t="s">
        <v>1924</v>
      </c>
      <c r="B942" t="s">
        <v>1925</v>
      </c>
      <c r="C942" t="s">
        <v>77</v>
      </c>
      <c r="D942" t="s">
        <v>76</v>
      </c>
      <c r="E942" s="2">
        <v>19766.75</v>
      </c>
      <c r="F942" s="2"/>
      <c r="G942" s="2"/>
      <c r="H942" s="8" t="str">
        <f t="shared" si="28"/>
        <v/>
      </c>
      <c r="I942" s="10" t="str">
        <f t="shared" si="29"/>
        <v/>
      </c>
      <c r="J942" s="2"/>
      <c r="K942" s="2"/>
      <c r="L942" s="2"/>
    </row>
    <row r="943" spans="1:12" ht="30" customHeight="1" x14ac:dyDescent="0.35">
      <c r="A943" t="s">
        <v>1926</v>
      </c>
      <c r="B943" t="s">
        <v>1927</v>
      </c>
      <c r="C943" t="s">
        <v>51</v>
      </c>
      <c r="D943" t="s">
        <v>50</v>
      </c>
      <c r="E943" s="2">
        <v>41249.35</v>
      </c>
      <c r="F943" s="2"/>
      <c r="G943" s="2"/>
      <c r="H943" s="8" t="str">
        <f t="shared" si="28"/>
        <v/>
      </c>
      <c r="I943" s="10" t="str">
        <f t="shared" si="29"/>
        <v/>
      </c>
      <c r="J943" s="2"/>
      <c r="K943" s="2"/>
      <c r="L943" s="2"/>
    </row>
    <row r="944" spans="1:12" ht="30" customHeight="1" x14ac:dyDescent="0.35">
      <c r="A944" t="s">
        <v>1928</v>
      </c>
      <c r="B944" t="s">
        <v>1929</v>
      </c>
      <c r="C944" t="s">
        <v>57</v>
      </c>
      <c r="D944" t="s">
        <v>56</v>
      </c>
      <c r="E944" s="2">
        <v>165.29</v>
      </c>
      <c r="F944" s="2"/>
      <c r="G944" s="2"/>
      <c r="H944" s="8" t="str">
        <f t="shared" si="28"/>
        <v/>
      </c>
      <c r="I944" s="10" t="str">
        <f t="shared" si="29"/>
        <v/>
      </c>
      <c r="J944" s="2"/>
      <c r="K944" s="2"/>
      <c r="L944" s="2"/>
    </row>
    <row r="945" spans="1:12" ht="30" customHeight="1" x14ac:dyDescent="0.35">
      <c r="A945" t="s">
        <v>1930</v>
      </c>
      <c r="B945" t="s">
        <v>1931</v>
      </c>
      <c r="C945" t="s">
        <v>19</v>
      </c>
      <c r="D945" t="s">
        <v>18</v>
      </c>
      <c r="E945" s="2">
        <v>432004.81</v>
      </c>
      <c r="F945" s="2"/>
      <c r="G945" s="2"/>
      <c r="H945" s="8" t="str">
        <f t="shared" si="28"/>
        <v/>
      </c>
      <c r="I945" s="10" t="str">
        <f t="shared" si="29"/>
        <v/>
      </c>
      <c r="J945" s="2"/>
      <c r="K945" s="2"/>
      <c r="L945" s="2"/>
    </row>
    <row r="946" spans="1:12" ht="30" customHeight="1" x14ac:dyDescent="0.35">
      <c r="A946" t="s">
        <v>1932</v>
      </c>
      <c r="B946" t="s">
        <v>1933</v>
      </c>
      <c r="C946" t="s">
        <v>19</v>
      </c>
      <c r="D946" t="s">
        <v>18</v>
      </c>
      <c r="E946" s="2">
        <v>266.44</v>
      </c>
      <c r="F946" s="2"/>
      <c r="G946" s="2"/>
      <c r="H946" s="8" t="str">
        <f t="shared" si="28"/>
        <v/>
      </c>
      <c r="I946" s="10" t="str">
        <f t="shared" si="29"/>
        <v/>
      </c>
      <c r="J946" s="2"/>
      <c r="K946" s="2"/>
      <c r="L946" s="2"/>
    </row>
    <row r="947" spans="1:12" ht="30" customHeight="1" x14ac:dyDescent="0.35">
      <c r="A947" t="s">
        <v>1934</v>
      </c>
      <c r="B947" t="s">
        <v>1935</v>
      </c>
      <c r="C947" t="s">
        <v>67</v>
      </c>
      <c r="D947" t="s">
        <v>66</v>
      </c>
      <c r="E947" s="2"/>
      <c r="F947" s="2">
        <v>35461.58</v>
      </c>
      <c r="G947" s="2"/>
      <c r="H947" s="8">
        <f t="shared" si="28"/>
        <v>35461.58</v>
      </c>
      <c r="I947" s="10">
        <f t="shared" si="29"/>
        <v>0</v>
      </c>
      <c r="J947" s="2"/>
      <c r="K947" s="2"/>
      <c r="L947" s="2"/>
    </row>
    <row r="948" spans="1:12" ht="30" customHeight="1" x14ac:dyDescent="0.35">
      <c r="A948" t="s">
        <v>1936</v>
      </c>
      <c r="B948" t="s">
        <v>1937</v>
      </c>
      <c r="C948" t="s">
        <v>77</v>
      </c>
      <c r="D948" t="s">
        <v>76</v>
      </c>
      <c r="E948" s="2">
        <v>48785.39</v>
      </c>
      <c r="F948" s="2">
        <v>0</v>
      </c>
      <c r="G948" s="2">
        <v>2500</v>
      </c>
      <c r="H948" s="8">
        <f t="shared" ref="H948:H1009" si="30">IF(ISBLANK(F948), "",(F948+G948))</f>
        <v>2500</v>
      </c>
      <c r="I948" s="10">
        <f t="shared" ref="I948:I1009" si="31">IF(ISBLANK(F948), "", E948/H948)</f>
        <v>19.514156</v>
      </c>
      <c r="J948" s="2"/>
      <c r="K948" s="2"/>
      <c r="L948" s="2"/>
    </row>
    <row r="949" spans="1:12" ht="30" customHeight="1" x14ac:dyDescent="0.35">
      <c r="A949" t="s">
        <v>1938</v>
      </c>
      <c r="B949" t="s">
        <v>1939</v>
      </c>
      <c r="C949" t="s">
        <v>67</v>
      </c>
      <c r="D949" t="s">
        <v>66</v>
      </c>
      <c r="E949" s="2">
        <v>258274</v>
      </c>
      <c r="F949" s="2"/>
      <c r="G949" s="2"/>
      <c r="H949" s="8" t="str">
        <f t="shared" si="30"/>
        <v/>
      </c>
      <c r="I949" s="10" t="str">
        <f t="shared" si="31"/>
        <v/>
      </c>
      <c r="J949" s="2"/>
      <c r="K949" s="2"/>
      <c r="L949" s="2"/>
    </row>
    <row r="950" spans="1:12" ht="30" customHeight="1" x14ac:dyDescent="0.35">
      <c r="A950" t="s">
        <v>1940</v>
      </c>
      <c r="B950" t="s">
        <v>1941</v>
      </c>
      <c r="C950" t="s">
        <v>51</v>
      </c>
      <c r="D950" t="s">
        <v>50</v>
      </c>
      <c r="E950" s="2">
        <v>48993.760000000002</v>
      </c>
      <c r="F950" s="2"/>
      <c r="G950" s="2"/>
      <c r="H950" s="8" t="str">
        <f t="shared" si="30"/>
        <v/>
      </c>
      <c r="I950" s="10" t="str">
        <f t="shared" si="31"/>
        <v/>
      </c>
      <c r="J950" s="2"/>
      <c r="K950" s="2"/>
      <c r="L950" s="2"/>
    </row>
    <row r="951" spans="1:12" ht="30" customHeight="1" x14ac:dyDescent="0.35">
      <c r="A951" t="s">
        <v>1942</v>
      </c>
      <c r="B951" t="s">
        <v>1943</v>
      </c>
      <c r="C951" t="s">
        <v>77</v>
      </c>
      <c r="D951" t="s">
        <v>76</v>
      </c>
      <c r="E951" s="2">
        <v>1810815.97</v>
      </c>
      <c r="F951" s="2"/>
      <c r="G951" s="2"/>
      <c r="H951" s="8" t="str">
        <f t="shared" si="30"/>
        <v/>
      </c>
      <c r="I951" s="10" t="str">
        <f t="shared" si="31"/>
        <v/>
      </c>
      <c r="J951" s="2"/>
      <c r="K951" s="2"/>
      <c r="L951" s="2"/>
    </row>
    <row r="952" spans="1:12" ht="30" customHeight="1" x14ac:dyDescent="0.35">
      <c r="A952" t="s">
        <v>1944</v>
      </c>
      <c r="B952" t="s">
        <v>1945</v>
      </c>
      <c r="C952" t="s">
        <v>73</v>
      </c>
      <c r="D952" t="s">
        <v>72</v>
      </c>
      <c r="E952" s="2"/>
      <c r="F952" s="2">
        <v>47201.08</v>
      </c>
      <c r="G952" s="2">
        <v>52798.92</v>
      </c>
      <c r="H952" s="8">
        <f t="shared" si="30"/>
        <v>100000</v>
      </c>
      <c r="I952" s="10">
        <f t="shared" si="31"/>
        <v>0</v>
      </c>
      <c r="J952" s="2"/>
      <c r="K952" s="2"/>
      <c r="L952" s="2"/>
    </row>
    <row r="953" spans="1:12" ht="30" customHeight="1" x14ac:dyDescent="0.35">
      <c r="A953" t="s">
        <v>1946</v>
      </c>
      <c r="B953" t="s">
        <v>1947</v>
      </c>
      <c r="C953" t="s">
        <v>77</v>
      </c>
      <c r="D953" t="s">
        <v>76</v>
      </c>
      <c r="E953" s="2">
        <v>43745</v>
      </c>
      <c r="F953" s="2"/>
      <c r="G953" s="2"/>
      <c r="H953" s="8" t="str">
        <f t="shared" si="30"/>
        <v/>
      </c>
      <c r="I953" s="10" t="str">
        <f t="shared" si="31"/>
        <v/>
      </c>
      <c r="J953" s="2"/>
      <c r="K953" s="2"/>
      <c r="L953" s="2"/>
    </row>
    <row r="954" spans="1:12" ht="30" customHeight="1" x14ac:dyDescent="0.35">
      <c r="A954" t="s">
        <v>1948</v>
      </c>
      <c r="B954" t="s">
        <v>1949</v>
      </c>
      <c r="C954" t="s">
        <v>57</v>
      </c>
      <c r="D954" t="s">
        <v>56</v>
      </c>
      <c r="E954" s="2">
        <v>2820</v>
      </c>
      <c r="F954" s="2">
        <v>27062.55</v>
      </c>
      <c r="G954" s="2"/>
      <c r="H954" s="8">
        <f t="shared" si="30"/>
        <v>27062.55</v>
      </c>
      <c r="I954" s="10">
        <f t="shared" si="31"/>
        <v>0.10420304073341204</v>
      </c>
      <c r="J954" s="2"/>
      <c r="K954" s="2"/>
      <c r="L954" s="2"/>
    </row>
    <row r="955" spans="1:12" ht="30" customHeight="1" x14ac:dyDescent="0.35">
      <c r="A955" t="s">
        <v>1950</v>
      </c>
      <c r="B955" t="s">
        <v>1951</v>
      </c>
      <c r="C955" t="s">
        <v>67</v>
      </c>
      <c r="D955" t="s">
        <v>66</v>
      </c>
      <c r="E955" s="2">
        <v>68989.81</v>
      </c>
      <c r="F955" s="2"/>
      <c r="G955" s="2"/>
      <c r="H955" s="8" t="str">
        <f t="shared" si="30"/>
        <v/>
      </c>
      <c r="I955" s="10" t="str">
        <f t="shared" si="31"/>
        <v/>
      </c>
      <c r="J955" s="2"/>
      <c r="K955" s="2"/>
      <c r="L955" s="2"/>
    </row>
    <row r="956" spans="1:12" ht="30" customHeight="1" x14ac:dyDescent="0.35">
      <c r="A956" t="s">
        <v>1952</v>
      </c>
      <c r="B956" t="s">
        <v>1953</v>
      </c>
      <c r="C956" t="s">
        <v>57</v>
      </c>
      <c r="D956" t="s">
        <v>56</v>
      </c>
      <c r="E956" s="2">
        <v>4410.58</v>
      </c>
      <c r="F956" s="2"/>
      <c r="G956" s="2"/>
      <c r="H956" s="8" t="str">
        <f t="shared" si="30"/>
        <v/>
      </c>
      <c r="I956" s="10" t="str">
        <f t="shared" si="31"/>
        <v/>
      </c>
      <c r="J956" s="2"/>
      <c r="K956" s="2"/>
      <c r="L956" s="2"/>
    </row>
    <row r="957" spans="1:12" ht="30" customHeight="1" x14ac:dyDescent="0.35">
      <c r="A957" t="s">
        <v>1954</v>
      </c>
      <c r="B957" t="s">
        <v>1955</v>
      </c>
      <c r="C957" t="s">
        <v>57</v>
      </c>
      <c r="D957" t="s">
        <v>56</v>
      </c>
      <c r="E957" s="2">
        <v>48381.87</v>
      </c>
      <c r="F957" s="2"/>
      <c r="G957" s="2"/>
      <c r="H957" s="8" t="str">
        <f t="shared" si="30"/>
        <v/>
      </c>
      <c r="I957" s="10" t="str">
        <f t="shared" si="31"/>
        <v/>
      </c>
      <c r="J957" s="2"/>
      <c r="K957" s="2"/>
      <c r="L957" s="2"/>
    </row>
    <row r="958" spans="1:12" ht="30" customHeight="1" x14ac:dyDescent="0.35">
      <c r="A958" t="s">
        <v>1956</v>
      </c>
      <c r="B958" t="s">
        <v>1957</v>
      </c>
      <c r="C958" t="s">
        <v>606</v>
      </c>
      <c r="D958" t="s">
        <v>605</v>
      </c>
      <c r="E958" s="2">
        <v>9446.27</v>
      </c>
      <c r="F958" s="2"/>
      <c r="G958" s="2"/>
      <c r="H958" s="8" t="str">
        <f t="shared" si="30"/>
        <v/>
      </c>
      <c r="I958" s="10" t="str">
        <f t="shared" si="31"/>
        <v/>
      </c>
      <c r="J958" s="2"/>
      <c r="K958" s="2"/>
      <c r="L958" s="2"/>
    </row>
    <row r="959" spans="1:12" ht="30" customHeight="1" x14ac:dyDescent="0.35">
      <c r="A959" t="s">
        <v>1958</v>
      </c>
      <c r="B959" t="s">
        <v>1959</v>
      </c>
      <c r="C959" t="s">
        <v>51</v>
      </c>
      <c r="D959" t="s">
        <v>50</v>
      </c>
      <c r="E959" s="2">
        <v>15882.46</v>
      </c>
      <c r="F959" s="2"/>
      <c r="G959" s="2"/>
      <c r="H959" s="8" t="str">
        <f t="shared" si="30"/>
        <v/>
      </c>
      <c r="I959" s="10" t="str">
        <f t="shared" si="31"/>
        <v/>
      </c>
      <c r="J959" s="2"/>
      <c r="K959" s="2"/>
      <c r="L959" s="2"/>
    </row>
    <row r="960" spans="1:12" ht="30" customHeight="1" x14ac:dyDescent="0.35">
      <c r="A960" t="s">
        <v>1960</v>
      </c>
      <c r="B960" t="s">
        <v>1961</v>
      </c>
      <c r="C960" t="s">
        <v>57</v>
      </c>
      <c r="D960" t="s">
        <v>56</v>
      </c>
      <c r="E960" s="2">
        <v>5967.72</v>
      </c>
      <c r="F960" s="2"/>
      <c r="G960" s="2"/>
      <c r="H960" s="8" t="str">
        <f t="shared" si="30"/>
        <v/>
      </c>
      <c r="I960" s="10" t="str">
        <f t="shared" si="31"/>
        <v/>
      </c>
      <c r="J960" s="2"/>
      <c r="K960" s="2"/>
      <c r="L960" s="2"/>
    </row>
    <row r="961" spans="1:12" ht="30" customHeight="1" x14ac:dyDescent="0.35">
      <c r="A961" t="s">
        <v>1962</v>
      </c>
      <c r="B961" t="s">
        <v>1963</v>
      </c>
      <c r="C961" t="s">
        <v>57</v>
      </c>
      <c r="D961" t="s">
        <v>56</v>
      </c>
      <c r="E961" s="2">
        <v>26553.57</v>
      </c>
      <c r="F961" s="2"/>
      <c r="G961" s="2"/>
      <c r="H961" s="8" t="str">
        <f t="shared" si="30"/>
        <v/>
      </c>
      <c r="I961" s="10" t="str">
        <f t="shared" si="31"/>
        <v/>
      </c>
      <c r="J961" s="2"/>
      <c r="K961" s="2"/>
      <c r="L961" s="2"/>
    </row>
    <row r="962" spans="1:12" ht="30" customHeight="1" x14ac:dyDescent="0.35">
      <c r="A962" t="s">
        <v>1964</v>
      </c>
      <c r="B962" t="s">
        <v>1965</v>
      </c>
      <c r="C962" t="s">
        <v>185</v>
      </c>
      <c r="D962" t="s">
        <v>184</v>
      </c>
      <c r="E962" s="2"/>
      <c r="F962" s="2">
        <v>79255.240000000005</v>
      </c>
      <c r="G962" s="2"/>
      <c r="H962" s="8">
        <f t="shared" si="30"/>
        <v>79255.240000000005</v>
      </c>
      <c r="I962" s="10">
        <f t="shared" si="31"/>
        <v>0</v>
      </c>
      <c r="J962" s="2"/>
      <c r="K962" s="2"/>
      <c r="L962" s="2"/>
    </row>
    <row r="963" spans="1:12" ht="30" customHeight="1" x14ac:dyDescent="0.35">
      <c r="A963" t="s">
        <v>1966</v>
      </c>
      <c r="B963" t="s">
        <v>1967</v>
      </c>
      <c r="C963" t="s">
        <v>33</v>
      </c>
      <c r="D963" t="s">
        <v>32</v>
      </c>
      <c r="E963" s="2">
        <v>185418.25</v>
      </c>
      <c r="F963" s="2"/>
      <c r="G963" s="2"/>
      <c r="H963" s="8" t="str">
        <f t="shared" si="30"/>
        <v/>
      </c>
      <c r="I963" s="10" t="str">
        <f t="shared" si="31"/>
        <v/>
      </c>
      <c r="J963" s="2"/>
      <c r="K963" s="2"/>
      <c r="L963" s="2"/>
    </row>
    <row r="964" spans="1:12" ht="30" customHeight="1" x14ac:dyDescent="0.35">
      <c r="A964" t="s">
        <v>1968</v>
      </c>
      <c r="B964" t="s">
        <v>1969</v>
      </c>
      <c r="C964" t="s">
        <v>57</v>
      </c>
      <c r="D964" t="s">
        <v>56</v>
      </c>
      <c r="E964" s="2">
        <v>16208.28</v>
      </c>
      <c r="F964" s="2"/>
      <c r="G964" s="2"/>
      <c r="H964" s="8" t="str">
        <f t="shared" si="30"/>
        <v/>
      </c>
      <c r="I964" s="10" t="str">
        <f t="shared" si="31"/>
        <v/>
      </c>
      <c r="J964" s="2"/>
      <c r="K964" s="2"/>
      <c r="L964" s="2"/>
    </row>
    <row r="965" spans="1:12" ht="30" customHeight="1" x14ac:dyDescent="0.35">
      <c r="A965" t="s">
        <v>1970</v>
      </c>
      <c r="B965" t="s">
        <v>1971</v>
      </c>
      <c r="C965" t="s">
        <v>51</v>
      </c>
      <c r="D965" t="s">
        <v>50</v>
      </c>
      <c r="E965" s="2">
        <v>1253.05</v>
      </c>
      <c r="F965" s="2"/>
      <c r="G965" s="2"/>
      <c r="H965" s="8" t="str">
        <f t="shared" si="30"/>
        <v/>
      </c>
      <c r="I965" s="10" t="str">
        <f t="shared" si="31"/>
        <v/>
      </c>
      <c r="J965" s="2"/>
      <c r="K965" s="2"/>
      <c r="L965" s="2"/>
    </row>
    <row r="966" spans="1:12" ht="30" customHeight="1" x14ac:dyDescent="0.35">
      <c r="A966" t="s">
        <v>1972</v>
      </c>
      <c r="B966" t="s">
        <v>1973</v>
      </c>
      <c r="C966" t="s">
        <v>606</v>
      </c>
      <c r="D966" t="s">
        <v>605</v>
      </c>
      <c r="E966" s="2">
        <v>2465.41</v>
      </c>
      <c r="F966" s="2"/>
      <c r="G966" s="2"/>
      <c r="H966" s="8" t="str">
        <f t="shared" si="30"/>
        <v/>
      </c>
      <c r="I966" s="10" t="str">
        <f t="shared" si="31"/>
        <v/>
      </c>
      <c r="J966" s="2"/>
      <c r="K966" s="2"/>
      <c r="L966" s="2"/>
    </row>
    <row r="967" spans="1:12" ht="30" customHeight="1" x14ac:dyDescent="0.35">
      <c r="A967" t="s">
        <v>1974</v>
      </c>
      <c r="B967" t="s">
        <v>1975</v>
      </c>
      <c r="C967" t="s">
        <v>19</v>
      </c>
      <c r="D967" t="s">
        <v>18</v>
      </c>
      <c r="E967" s="2">
        <v>361400.87</v>
      </c>
      <c r="F967" s="2"/>
      <c r="G967" s="2"/>
      <c r="H967" s="8" t="str">
        <f t="shared" si="30"/>
        <v/>
      </c>
      <c r="I967" s="10" t="str">
        <f t="shared" si="31"/>
        <v/>
      </c>
      <c r="J967" s="2"/>
      <c r="K967" s="2"/>
      <c r="L967" s="2"/>
    </row>
    <row r="968" spans="1:12" ht="30" customHeight="1" x14ac:dyDescent="0.35">
      <c r="A968" t="s">
        <v>1976</v>
      </c>
      <c r="B968" t="s">
        <v>1977</v>
      </c>
      <c r="C968" t="s">
        <v>67</v>
      </c>
      <c r="D968" t="s">
        <v>66</v>
      </c>
      <c r="E968" s="2">
        <v>5141.3500000000004</v>
      </c>
      <c r="F968" s="2">
        <v>0</v>
      </c>
      <c r="G968" s="2">
        <v>500</v>
      </c>
      <c r="H968" s="8">
        <f t="shared" si="30"/>
        <v>500</v>
      </c>
      <c r="I968" s="10">
        <f t="shared" si="31"/>
        <v>10.2827</v>
      </c>
      <c r="J968" s="2"/>
      <c r="K968" s="2"/>
      <c r="L968" s="2"/>
    </row>
    <row r="969" spans="1:12" ht="30" customHeight="1" x14ac:dyDescent="0.35">
      <c r="A969" t="s">
        <v>1978</v>
      </c>
      <c r="B969" t="s">
        <v>1979</v>
      </c>
      <c r="C969" t="s">
        <v>19</v>
      </c>
      <c r="D969" t="s">
        <v>18</v>
      </c>
      <c r="E969" s="2">
        <v>1148.46</v>
      </c>
      <c r="F969" s="2"/>
      <c r="G969" s="2"/>
      <c r="H969" s="8" t="str">
        <f t="shared" si="30"/>
        <v/>
      </c>
      <c r="I969" s="10" t="str">
        <f t="shared" si="31"/>
        <v/>
      </c>
      <c r="J969" s="2"/>
      <c r="K969" s="2"/>
      <c r="L969" s="2"/>
    </row>
    <row r="970" spans="1:12" ht="30" customHeight="1" x14ac:dyDescent="0.35">
      <c r="A970" t="s">
        <v>1980</v>
      </c>
      <c r="B970" t="s">
        <v>1981</v>
      </c>
      <c r="C970" t="s">
        <v>57</v>
      </c>
      <c r="D970" t="s">
        <v>56</v>
      </c>
      <c r="E970" s="2">
        <v>97262.53</v>
      </c>
      <c r="F970" s="2"/>
      <c r="G970" s="2"/>
      <c r="H970" s="8" t="str">
        <f t="shared" si="30"/>
        <v/>
      </c>
      <c r="I970" s="10" t="str">
        <f t="shared" si="31"/>
        <v/>
      </c>
      <c r="J970" s="2"/>
      <c r="K970" s="2"/>
      <c r="L970" s="2"/>
    </row>
    <row r="971" spans="1:12" ht="30" customHeight="1" x14ac:dyDescent="0.35">
      <c r="A971" t="s">
        <v>1982</v>
      </c>
      <c r="B971" t="s">
        <v>1983</v>
      </c>
      <c r="C971" t="s">
        <v>606</v>
      </c>
      <c r="D971" t="s">
        <v>605</v>
      </c>
      <c r="E971" s="2">
        <v>108741.66</v>
      </c>
      <c r="F971" s="2"/>
      <c r="G971" s="2"/>
      <c r="H971" s="8" t="str">
        <f t="shared" si="30"/>
        <v/>
      </c>
      <c r="I971" s="10" t="str">
        <f t="shared" si="31"/>
        <v/>
      </c>
      <c r="J971" s="2"/>
      <c r="K971" s="2"/>
      <c r="L971" s="2"/>
    </row>
    <row r="972" spans="1:12" ht="30" customHeight="1" x14ac:dyDescent="0.35">
      <c r="A972" t="s">
        <v>1984</v>
      </c>
      <c r="B972" t="s">
        <v>1985</v>
      </c>
      <c r="C972" t="s">
        <v>109</v>
      </c>
      <c r="D972" t="s">
        <v>108</v>
      </c>
      <c r="E972" s="2">
        <v>115739.59</v>
      </c>
      <c r="F972" s="2"/>
      <c r="G972" s="2"/>
      <c r="H972" s="8" t="str">
        <f t="shared" si="30"/>
        <v/>
      </c>
      <c r="I972" s="10" t="str">
        <f t="shared" si="31"/>
        <v/>
      </c>
      <c r="J972" s="2"/>
      <c r="K972" s="2"/>
      <c r="L972" s="2"/>
    </row>
    <row r="973" spans="1:12" ht="30" customHeight="1" x14ac:dyDescent="0.35">
      <c r="A973" t="s">
        <v>1986</v>
      </c>
      <c r="B973" t="s">
        <v>1987</v>
      </c>
      <c r="C973" t="s">
        <v>57</v>
      </c>
      <c r="D973" t="s">
        <v>56</v>
      </c>
      <c r="E973" s="2">
        <v>269.60000000000002</v>
      </c>
      <c r="F973" s="2"/>
      <c r="G973" s="2"/>
      <c r="H973" s="8" t="str">
        <f t="shared" si="30"/>
        <v/>
      </c>
      <c r="I973" s="10" t="str">
        <f t="shared" si="31"/>
        <v/>
      </c>
      <c r="J973" s="2"/>
      <c r="K973" s="2"/>
      <c r="L973" s="2"/>
    </row>
    <row r="974" spans="1:12" ht="30" customHeight="1" x14ac:dyDescent="0.35">
      <c r="A974" t="s">
        <v>1988</v>
      </c>
      <c r="B974" t="s">
        <v>1989</v>
      </c>
      <c r="C974" t="s">
        <v>57</v>
      </c>
      <c r="D974" t="s">
        <v>56</v>
      </c>
      <c r="E974" s="2">
        <v>48.33</v>
      </c>
      <c r="F974" s="2"/>
      <c r="G974" s="2"/>
      <c r="H974" s="8" t="str">
        <f t="shared" si="30"/>
        <v/>
      </c>
      <c r="I974" s="10" t="str">
        <f t="shared" si="31"/>
        <v/>
      </c>
      <c r="J974" s="2"/>
      <c r="K974" s="2"/>
      <c r="L974" s="2"/>
    </row>
    <row r="975" spans="1:12" ht="30" customHeight="1" x14ac:dyDescent="0.35">
      <c r="A975" t="s">
        <v>1990</v>
      </c>
      <c r="B975" t="s">
        <v>1991</v>
      </c>
      <c r="C975" t="s">
        <v>57</v>
      </c>
      <c r="D975" t="s">
        <v>56</v>
      </c>
      <c r="E975" s="2">
        <v>30118.63</v>
      </c>
      <c r="F975" s="2">
        <v>0</v>
      </c>
      <c r="G975" s="2">
        <v>1000</v>
      </c>
      <c r="H975" s="8">
        <f t="shared" si="30"/>
        <v>1000</v>
      </c>
      <c r="I975" s="10">
        <f t="shared" si="31"/>
        <v>30.11863</v>
      </c>
      <c r="J975" s="2"/>
      <c r="K975" s="2"/>
      <c r="L975" s="2"/>
    </row>
    <row r="976" spans="1:12" ht="30" customHeight="1" x14ac:dyDescent="0.35">
      <c r="A976" t="s">
        <v>1992</v>
      </c>
      <c r="B976" t="s">
        <v>1993</v>
      </c>
      <c r="C976" t="s">
        <v>19</v>
      </c>
      <c r="D976" t="s">
        <v>18</v>
      </c>
      <c r="E976" s="2">
        <v>76869.64</v>
      </c>
      <c r="F976" s="2"/>
      <c r="G976" s="2"/>
      <c r="H976" s="8" t="str">
        <f t="shared" si="30"/>
        <v/>
      </c>
      <c r="I976" s="10" t="str">
        <f t="shared" si="31"/>
        <v/>
      </c>
      <c r="J976" s="2"/>
      <c r="K976" s="2"/>
      <c r="L976" s="2"/>
    </row>
    <row r="977" spans="1:12" ht="30" customHeight="1" x14ac:dyDescent="0.35">
      <c r="A977" t="s">
        <v>1994</v>
      </c>
      <c r="B977" t="s">
        <v>1995</v>
      </c>
      <c r="C977" t="s">
        <v>57</v>
      </c>
      <c r="D977" t="s">
        <v>56</v>
      </c>
      <c r="E977" s="2">
        <v>8773.68</v>
      </c>
      <c r="F977" s="2">
        <v>0</v>
      </c>
      <c r="G977" s="2">
        <v>2000</v>
      </c>
      <c r="H977" s="8">
        <f t="shared" si="30"/>
        <v>2000</v>
      </c>
      <c r="I977" s="10">
        <f t="shared" si="31"/>
        <v>4.3868400000000003</v>
      </c>
      <c r="J977" s="2"/>
      <c r="K977" s="2"/>
      <c r="L977" s="2"/>
    </row>
    <row r="978" spans="1:12" ht="30" customHeight="1" x14ac:dyDescent="0.35">
      <c r="A978" t="s">
        <v>1996</v>
      </c>
      <c r="B978" t="s">
        <v>1997</v>
      </c>
      <c r="C978" t="s">
        <v>109</v>
      </c>
      <c r="D978" t="s">
        <v>108</v>
      </c>
      <c r="E978" s="2">
        <v>6589.28</v>
      </c>
      <c r="F978" s="2">
        <v>0</v>
      </c>
      <c r="G978" s="2">
        <v>500</v>
      </c>
      <c r="H978" s="8">
        <f t="shared" si="30"/>
        <v>500</v>
      </c>
      <c r="I978" s="10">
        <f t="shared" si="31"/>
        <v>13.178559999999999</v>
      </c>
      <c r="J978" s="2"/>
      <c r="K978" s="2"/>
      <c r="L978" s="2"/>
    </row>
    <row r="979" spans="1:12" ht="30" customHeight="1" x14ac:dyDescent="0.35">
      <c r="A979" t="s">
        <v>1998</v>
      </c>
      <c r="B979" t="s">
        <v>1999</v>
      </c>
      <c r="C979" t="s">
        <v>57</v>
      </c>
      <c r="D979" t="s">
        <v>56</v>
      </c>
      <c r="E979" s="2">
        <v>16196.76</v>
      </c>
      <c r="F979" s="2"/>
      <c r="G979" s="2"/>
      <c r="H979" s="8" t="str">
        <f t="shared" si="30"/>
        <v/>
      </c>
      <c r="I979" s="10" t="str">
        <f t="shared" si="31"/>
        <v/>
      </c>
      <c r="J979" s="2"/>
      <c r="K979" s="2"/>
      <c r="L979" s="2"/>
    </row>
    <row r="980" spans="1:12" ht="30" customHeight="1" x14ac:dyDescent="0.35">
      <c r="A980" t="s">
        <v>2000</v>
      </c>
      <c r="B980" t="s">
        <v>2001</v>
      </c>
      <c r="C980" t="s">
        <v>33</v>
      </c>
      <c r="D980" t="s">
        <v>32</v>
      </c>
      <c r="E980" s="2">
        <v>93921.81</v>
      </c>
      <c r="F980" s="2"/>
      <c r="G980" s="2"/>
      <c r="H980" s="8" t="str">
        <f t="shared" si="30"/>
        <v/>
      </c>
      <c r="I980" s="10" t="str">
        <f t="shared" si="31"/>
        <v/>
      </c>
      <c r="J980" s="2"/>
      <c r="K980" s="2"/>
      <c r="L980" s="2"/>
    </row>
    <row r="981" spans="1:12" ht="30" customHeight="1" x14ac:dyDescent="0.35">
      <c r="A981" t="s">
        <v>2002</v>
      </c>
      <c r="B981" t="s">
        <v>2003</v>
      </c>
      <c r="C981" t="s">
        <v>57</v>
      </c>
      <c r="D981" t="s">
        <v>56</v>
      </c>
      <c r="E981" s="2">
        <v>272695.78000000003</v>
      </c>
      <c r="F981" s="2">
        <v>1000</v>
      </c>
      <c r="G981" s="2">
        <v>0</v>
      </c>
      <c r="H981" s="8">
        <f t="shared" si="30"/>
        <v>1000</v>
      </c>
      <c r="I981" s="10">
        <f t="shared" si="31"/>
        <v>272.69578000000001</v>
      </c>
      <c r="J981" s="2"/>
      <c r="K981" s="2"/>
      <c r="L981" s="2"/>
    </row>
    <row r="982" spans="1:12" ht="30" customHeight="1" x14ac:dyDescent="0.35">
      <c r="A982" t="s">
        <v>2004</v>
      </c>
      <c r="B982" t="s">
        <v>2005</v>
      </c>
      <c r="C982" t="s">
        <v>57</v>
      </c>
      <c r="D982" t="s">
        <v>56</v>
      </c>
      <c r="E982" s="2">
        <v>127937.53</v>
      </c>
      <c r="F982" s="2">
        <v>327512.76</v>
      </c>
      <c r="G982" s="2"/>
      <c r="H982" s="8">
        <f t="shared" si="30"/>
        <v>327512.76</v>
      </c>
      <c r="I982" s="10">
        <f t="shared" si="31"/>
        <v>0.39063372675922609</v>
      </c>
      <c r="J982" s="2"/>
      <c r="K982" s="2"/>
      <c r="L982" s="2"/>
    </row>
    <row r="983" spans="1:12" ht="30" customHeight="1" x14ac:dyDescent="0.35">
      <c r="A983" t="s">
        <v>2006</v>
      </c>
      <c r="B983" t="s">
        <v>2007</v>
      </c>
      <c r="C983" t="s">
        <v>57</v>
      </c>
      <c r="D983" t="s">
        <v>56</v>
      </c>
      <c r="E983" s="2">
        <v>15076.81</v>
      </c>
      <c r="F983" s="2"/>
      <c r="G983" s="2"/>
      <c r="H983" s="8" t="str">
        <f t="shared" si="30"/>
        <v/>
      </c>
      <c r="I983" s="10" t="str">
        <f t="shared" si="31"/>
        <v/>
      </c>
      <c r="J983" s="2"/>
      <c r="K983" s="2"/>
      <c r="L983" s="2"/>
    </row>
    <row r="984" spans="1:12" ht="30" customHeight="1" x14ac:dyDescent="0.35">
      <c r="A984" t="s">
        <v>2008</v>
      </c>
      <c r="B984" t="s">
        <v>2009</v>
      </c>
      <c r="C984" t="s">
        <v>57</v>
      </c>
      <c r="D984" t="s">
        <v>56</v>
      </c>
      <c r="E984" s="2">
        <v>15735.55</v>
      </c>
      <c r="F984" s="2"/>
      <c r="G984" s="2"/>
      <c r="H984" s="8" t="str">
        <f t="shared" si="30"/>
        <v/>
      </c>
      <c r="I984" s="10" t="str">
        <f t="shared" si="31"/>
        <v/>
      </c>
      <c r="J984" s="2"/>
      <c r="K984" s="2"/>
      <c r="L984" s="2"/>
    </row>
    <row r="985" spans="1:12" ht="30" customHeight="1" x14ac:dyDescent="0.35">
      <c r="A985" t="s">
        <v>2010</v>
      </c>
      <c r="B985" t="s">
        <v>2011</v>
      </c>
      <c r="C985" t="s">
        <v>57</v>
      </c>
      <c r="D985" t="s">
        <v>56</v>
      </c>
      <c r="E985" s="2">
        <v>459.07</v>
      </c>
      <c r="F985" s="2">
        <v>75687.839999999997</v>
      </c>
      <c r="G985" s="2">
        <v>312.16000000000003</v>
      </c>
      <c r="H985" s="8">
        <f t="shared" si="30"/>
        <v>76000</v>
      </c>
      <c r="I985" s="10">
        <f t="shared" si="31"/>
        <v>6.0403947368421048E-3</v>
      </c>
      <c r="J985" s="2"/>
      <c r="K985" s="2"/>
      <c r="L985" s="2"/>
    </row>
    <row r="986" spans="1:12" ht="30" customHeight="1" x14ac:dyDescent="0.35">
      <c r="A986" t="s">
        <v>2012</v>
      </c>
      <c r="B986" t="s">
        <v>2013</v>
      </c>
      <c r="C986" t="s">
        <v>33</v>
      </c>
      <c r="D986" t="s">
        <v>32</v>
      </c>
      <c r="E986" s="2">
        <v>9704</v>
      </c>
      <c r="F986" s="2"/>
      <c r="G986" s="2"/>
      <c r="H986" s="8" t="str">
        <f t="shared" si="30"/>
        <v/>
      </c>
      <c r="I986" s="10" t="str">
        <f t="shared" si="31"/>
        <v/>
      </c>
      <c r="J986" s="2"/>
      <c r="K986" s="2"/>
      <c r="L986" s="2"/>
    </row>
    <row r="987" spans="1:12" ht="30" customHeight="1" x14ac:dyDescent="0.35">
      <c r="A987" t="s">
        <v>2014</v>
      </c>
      <c r="B987" t="s">
        <v>2015</v>
      </c>
      <c r="C987" t="s">
        <v>606</v>
      </c>
      <c r="D987" t="s">
        <v>605</v>
      </c>
      <c r="E987" s="2">
        <v>44812.03</v>
      </c>
      <c r="F987" s="2"/>
      <c r="G987" s="2"/>
      <c r="H987" s="8" t="str">
        <f t="shared" si="30"/>
        <v/>
      </c>
      <c r="I987" s="10" t="str">
        <f t="shared" si="31"/>
        <v/>
      </c>
      <c r="J987" s="2"/>
      <c r="K987" s="2"/>
      <c r="L987" s="2"/>
    </row>
    <row r="988" spans="1:12" ht="30" customHeight="1" x14ac:dyDescent="0.35">
      <c r="A988" t="s">
        <v>2016</v>
      </c>
      <c r="B988" t="s">
        <v>2017</v>
      </c>
      <c r="C988" t="s">
        <v>51</v>
      </c>
      <c r="D988" t="s">
        <v>50</v>
      </c>
      <c r="E988" s="2">
        <v>192256.12</v>
      </c>
      <c r="F988" s="2"/>
      <c r="G988" s="2"/>
      <c r="H988" s="8" t="str">
        <f t="shared" si="30"/>
        <v/>
      </c>
      <c r="I988" s="10" t="str">
        <f t="shared" si="31"/>
        <v/>
      </c>
      <c r="J988" s="2"/>
      <c r="K988" s="2"/>
      <c r="L988" s="2"/>
    </row>
    <row r="989" spans="1:12" ht="30" customHeight="1" x14ac:dyDescent="0.35">
      <c r="A989" t="s">
        <v>2018</v>
      </c>
      <c r="B989" t="s">
        <v>2019</v>
      </c>
      <c r="C989" t="s">
        <v>77</v>
      </c>
      <c r="D989" t="s">
        <v>76</v>
      </c>
      <c r="E989" s="2">
        <v>166306.17000000001</v>
      </c>
      <c r="F989" s="2"/>
      <c r="G989" s="2"/>
      <c r="H989" s="8" t="str">
        <f t="shared" si="30"/>
        <v/>
      </c>
      <c r="I989" s="10" t="str">
        <f t="shared" si="31"/>
        <v/>
      </c>
      <c r="J989" s="2"/>
      <c r="K989" s="2"/>
      <c r="L989" s="2"/>
    </row>
    <row r="990" spans="1:12" ht="30" customHeight="1" x14ac:dyDescent="0.35">
      <c r="A990" t="s">
        <v>2020</v>
      </c>
      <c r="B990" t="s">
        <v>2021</v>
      </c>
      <c r="C990" t="s">
        <v>51</v>
      </c>
      <c r="D990" t="s">
        <v>50</v>
      </c>
      <c r="E990" s="2">
        <v>16387.25</v>
      </c>
      <c r="F990" s="2"/>
      <c r="G990" s="2"/>
      <c r="H990" s="8" t="str">
        <f t="shared" si="30"/>
        <v/>
      </c>
      <c r="I990" s="10" t="str">
        <f t="shared" si="31"/>
        <v/>
      </c>
      <c r="J990" s="2"/>
      <c r="K990" s="2"/>
      <c r="L990" s="2"/>
    </row>
    <row r="991" spans="1:12" ht="30" customHeight="1" x14ac:dyDescent="0.35">
      <c r="A991" t="s">
        <v>2022</v>
      </c>
      <c r="B991" t="s">
        <v>2023</v>
      </c>
      <c r="C991" t="s">
        <v>19</v>
      </c>
      <c r="D991" t="s">
        <v>18</v>
      </c>
      <c r="E991" s="2">
        <v>75705.570000000007</v>
      </c>
      <c r="F991" s="2"/>
      <c r="G991" s="2"/>
      <c r="H991" s="8" t="str">
        <f t="shared" si="30"/>
        <v/>
      </c>
      <c r="I991" s="10" t="str">
        <f t="shared" si="31"/>
        <v/>
      </c>
      <c r="J991" s="2"/>
      <c r="K991" s="2"/>
      <c r="L991" s="2"/>
    </row>
    <row r="992" spans="1:12" ht="30" customHeight="1" x14ac:dyDescent="0.35">
      <c r="A992" t="s">
        <v>2024</v>
      </c>
      <c r="B992" t="s">
        <v>2025</v>
      </c>
      <c r="C992" t="s">
        <v>109</v>
      </c>
      <c r="D992" t="s">
        <v>108</v>
      </c>
      <c r="E992" s="2">
        <v>65800.149999999994</v>
      </c>
      <c r="F992" s="2"/>
      <c r="G992" s="2"/>
      <c r="H992" s="8" t="str">
        <f t="shared" si="30"/>
        <v/>
      </c>
      <c r="I992" s="10" t="str">
        <f t="shared" si="31"/>
        <v/>
      </c>
      <c r="J992" s="2"/>
      <c r="K992" s="2"/>
      <c r="L992" s="2"/>
    </row>
    <row r="993" spans="1:12" ht="30" customHeight="1" x14ac:dyDescent="0.35">
      <c r="A993" t="s">
        <v>2026</v>
      </c>
      <c r="B993" t="s">
        <v>2027</v>
      </c>
      <c r="C993" t="s">
        <v>73</v>
      </c>
      <c r="D993" t="s">
        <v>72</v>
      </c>
      <c r="E993" s="2">
        <v>4.07</v>
      </c>
      <c r="F993" s="2">
        <v>249406.35</v>
      </c>
      <c r="G993" s="2">
        <v>593.65</v>
      </c>
      <c r="H993" s="8">
        <f t="shared" si="30"/>
        <v>250000</v>
      </c>
      <c r="I993" s="10">
        <f t="shared" si="31"/>
        <v>1.628E-5</v>
      </c>
      <c r="J993" s="2"/>
      <c r="K993" s="2"/>
      <c r="L993" s="2"/>
    </row>
    <row r="994" spans="1:12" ht="30" customHeight="1" x14ac:dyDescent="0.35">
      <c r="A994" t="s">
        <v>2028</v>
      </c>
      <c r="B994" t="s">
        <v>2029</v>
      </c>
      <c r="C994" t="s">
        <v>73</v>
      </c>
      <c r="D994" t="s">
        <v>72</v>
      </c>
      <c r="E994" s="2">
        <v>33.9</v>
      </c>
      <c r="F994" s="2">
        <v>0</v>
      </c>
      <c r="G994" s="2">
        <v>750000</v>
      </c>
      <c r="H994" s="8">
        <f t="shared" si="30"/>
        <v>750000</v>
      </c>
      <c r="I994" s="10">
        <f t="shared" si="31"/>
        <v>4.5200000000000001E-5</v>
      </c>
      <c r="J994" s="2"/>
      <c r="K994" s="2"/>
      <c r="L994" s="2"/>
    </row>
    <row r="995" spans="1:12" ht="30" customHeight="1" x14ac:dyDescent="0.35">
      <c r="A995" t="s">
        <v>2030</v>
      </c>
      <c r="B995" t="s">
        <v>2031</v>
      </c>
      <c r="C995" t="s">
        <v>73</v>
      </c>
      <c r="D995" t="s">
        <v>72</v>
      </c>
      <c r="E995" s="2">
        <v>500.72</v>
      </c>
      <c r="F995" s="2">
        <v>149494.56</v>
      </c>
      <c r="G995" s="2">
        <v>505.44</v>
      </c>
      <c r="H995" s="8">
        <f t="shared" si="30"/>
        <v>150000</v>
      </c>
      <c r="I995" s="10">
        <f t="shared" si="31"/>
        <v>3.3381333333333337E-3</v>
      </c>
      <c r="J995" s="2"/>
      <c r="K995" s="2"/>
      <c r="L995" s="2"/>
    </row>
    <row r="996" spans="1:12" ht="30" customHeight="1" x14ac:dyDescent="0.35">
      <c r="A996" t="s">
        <v>2032</v>
      </c>
      <c r="B996" t="s">
        <v>2033</v>
      </c>
      <c r="C996" t="s">
        <v>73</v>
      </c>
      <c r="D996" t="s">
        <v>72</v>
      </c>
      <c r="E996" s="2">
        <v>8.15</v>
      </c>
      <c r="F996" s="2">
        <v>71901.05</v>
      </c>
      <c r="G996" s="2">
        <v>3098.95</v>
      </c>
      <c r="H996" s="8">
        <f t="shared" si="30"/>
        <v>75000</v>
      </c>
      <c r="I996" s="10">
        <f t="shared" si="31"/>
        <v>1.0866666666666667E-4</v>
      </c>
      <c r="J996" s="2"/>
      <c r="K996" s="2"/>
      <c r="L996" s="2"/>
    </row>
    <row r="997" spans="1:12" ht="30" customHeight="1" x14ac:dyDescent="0.35">
      <c r="A997" t="s">
        <v>2034</v>
      </c>
      <c r="B997" t="s">
        <v>2035</v>
      </c>
      <c r="C997" t="s">
        <v>73</v>
      </c>
      <c r="D997" t="s">
        <v>72</v>
      </c>
      <c r="E997" s="2">
        <v>172.31</v>
      </c>
      <c r="F997" s="2">
        <v>40321.61</v>
      </c>
      <c r="G997" s="2">
        <v>-321.61</v>
      </c>
      <c r="H997" s="8">
        <f t="shared" si="30"/>
        <v>40000</v>
      </c>
      <c r="I997" s="10">
        <f t="shared" si="31"/>
        <v>4.3077499999999999E-3</v>
      </c>
      <c r="J997" s="2"/>
      <c r="K997" s="2"/>
      <c r="L997" s="2"/>
    </row>
    <row r="998" spans="1:12" ht="30" customHeight="1" x14ac:dyDescent="0.35">
      <c r="A998" t="s">
        <v>2036</v>
      </c>
      <c r="B998" t="s">
        <v>2037</v>
      </c>
      <c r="C998" t="s">
        <v>73</v>
      </c>
      <c r="D998" t="s">
        <v>72</v>
      </c>
      <c r="E998" s="2">
        <v>4.82</v>
      </c>
      <c r="F998" s="2">
        <v>31970.89</v>
      </c>
      <c r="G998" s="2">
        <v>18029.11</v>
      </c>
      <c r="H998" s="8">
        <f t="shared" si="30"/>
        <v>50000</v>
      </c>
      <c r="I998" s="10">
        <f t="shared" si="31"/>
        <v>9.6400000000000012E-5</v>
      </c>
      <c r="J998" s="2"/>
      <c r="K998" s="2"/>
      <c r="L998" s="2"/>
    </row>
    <row r="999" spans="1:12" ht="30" customHeight="1" x14ac:dyDescent="0.35">
      <c r="A999" t="s">
        <v>2038</v>
      </c>
      <c r="B999" t="s">
        <v>2039</v>
      </c>
      <c r="C999" t="s">
        <v>73</v>
      </c>
      <c r="D999" t="s">
        <v>72</v>
      </c>
      <c r="E999" s="2"/>
      <c r="F999" s="2">
        <v>11465.31</v>
      </c>
      <c r="G999" s="2"/>
      <c r="H999" s="8">
        <f t="shared" si="30"/>
        <v>11465.31</v>
      </c>
      <c r="I999" s="10">
        <f t="shared" si="31"/>
        <v>0</v>
      </c>
      <c r="J999" s="2"/>
      <c r="K999" s="2"/>
      <c r="L999" s="2"/>
    </row>
    <row r="1000" spans="1:12" ht="30" customHeight="1" x14ac:dyDescent="0.35">
      <c r="A1000" t="s">
        <v>2040</v>
      </c>
      <c r="B1000" t="s">
        <v>2041</v>
      </c>
      <c r="C1000" t="s">
        <v>51</v>
      </c>
      <c r="D1000" t="s">
        <v>50</v>
      </c>
      <c r="E1000" s="2">
        <v>225493.65</v>
      </c>
      <c r="F1000" s="2">
        <v>78708.47</v>
      </c>
      <c r="G1000" s="2"/>
      <c r="H1000" s="8">
        <f t="shared" si="30"/>
        <v>78708.47</v>
      </c>
      <c r="I1000" s="10">
        <f t="shared" si="31"/>
        <v>2.8649222885415</v>
      </c>
      <c r="J1000" s="2"/>
      <c r="K1000" s="2"/>
      <c r="L1000" s="2"/>
    </row>
    <row r="1001" spans="1:12" ht="30" customHeight="1" x14ac:dyDescent="0.35">
      <c r="A1001" t="s">
        <v>2042</v>
      </c>
      <c r="B1001" t="s">
        <v>2043</v>
      </c>
      <c r="C1001" t="s">
        <v>19</v>
      </c>
      <c r="D1001" t="s">
        <v>18</v>
      </c>
      <c r="E1001" s="2">
        <v>11967.15</v>
      </c>
      <c r="F1001" s="2"/>
      <c r="G1001" s="2"/>
      <c r="H1001" s="8" t="str">
        <f t="shared" si="30"/>
        <v/>
      </c>
      <c r="I1001" s="10" t="str">
        <f t="shared" si="31"/>
        <v/>
      </c>
      <c r="J1001" s="2"/>
      <c r="K1001" s="2"/>
      <c r="L1001" s="2"/>
    </row>
    <row r="1002" spans="1:12" ht="30" customHeight="1" x14ac:dyDescent="0.35">
      <c r="A1002" t="s">
        <v>2044</v>
      </c>
      <c r="B1002" t="s">
        <v>2045</v>
      </c>
      <c r="C1002" t="s">
        <v>259</v>
      </c>
      <c r="D1002" t="s">
        <v>258</v>
      </c>
      <c r="E1002" s="2">
        <v>17048.810000000001</v>
      </c>
      <c r="F1002" s="2"/>
      <c r="G1002" s="2"/>
      <c r="H1002" s="8" t="str">
        <f t="shared" si="30"/>
        <v/>
      </c>
      <c r="I1002" s="10" t="str">
        <f t="shared" si="31"/>
        <v/>
      </c>
      <c r="J1002" s="2"/>
      <c r="K1002" s="2"/>
      <c r="L1002" s="2"/>
    </row>
    <row r="1003" spans="1:12" ht="30" customHeight="1" x14ac:dyDescent="0.35">
      <c r="A1003" t="s">
        <v>2046</v>
      </c>
      <c r="B1003" t="s">
        <v>2047</v>
      </c>
      <c r="C1003" t="s">
        <v>29</v>
      </c>
      <c r="D1003" t="s">
        <v>28</v>
      </c>
      <c r="E1003" s="2">
        <v>19437.09</v>
      </c>
      <c r="F1003" s="2"/>
      <c r="G1003" s="2"/>
      <c r="H1003" s="8" t="str">
        <f t="shared" si="30"/>
        <v/>
      </c>
      <c r="I1003" s="10" t="str">
        <f t="shared" si="31"/>
        <v/>
      </c>
      <c r="J1003" s="2"/>
      <c r="K1003" s="2"/>
      <c r="L1003" s="2"/>
    </row>
    <row r="1004" spans="1:12" ht="30" customHeight="1" x14ac:dyDescent="0.35">
      <c r="A1004" t="s">
        <v>2048</v>
      </c>
      <c r="B1004" t="s">
        <v>2049</v>
      </c>
      <c r="C1004" t="s">
        <v>19</v>
      </c>
      <c r="D1004" t="s">
        <v>18</v>
      </c>
      <c r="E1004" s="2">
        <v>152254.74</v>
      </c>
      <c r="F1004" s="2"/>
      <c r="G1004" s="2"/>
      <c r="H1004" s="8" t="str">
        <f t="shared" si="30"/>
        <v/>
      </c>
      <c r="I1004" s="10" t="str">
        <f t="shared" si="31"/>
        <v/>
      </c>
      <c r="J1004" s="2"/>
      <c r="K1004" s="2"/>
      <c r="L1004" s="2"/>
    </row>
    <row r="1005" spans="1:12" ht="30" customHeight="1" x14ac:dyDescent="0.35">
      <c r="A1005" t="s">
        <v>2050</v>
      </c>
      <c r="B1005" t="s">
        <v>2051</v>
      </c>
      <c r="C1005" t="s">
        <v>41</v>
      </c>
      <c r="D1005" t="s">
        <v>40</v>
      </c>
      <c r="E1005" s="2">
        <v>16057.96</v>
      </c>
      <c r="F1005" s="2"/>
      <c r="G1005" s="2"/>
      <c r="H1005" s="8" t="str">
        <f t="shared" si="30"/>
        <v/>
      </c>
      <c r="I1005" s="10" t="str">
        <f t="shared" si="31"/>
        <v/>
      </c>
      <c r="J1005" s="2"/>
      <c r="K1005" s="2"/>
      <c r="L1005" s="2"/>
    </row>
    <row r="1006" spans="1:12" ht="30" customHeight="1" x14ac:dyDescent="0.35">
      <c r="A1006" t="s">
        <v>2052</v>
      </c>
      <c r="B1006" t="s">
        <v>2053</v>
      </c>
      <c r="C1006" t="s">
        <v>29</v>
      </c>
      <c r="D1006" t="s">
        <v>28</v>
      </c>
      <c r="E1006" s="2">
        <v>2918.28</v>
      </c>
      <c r="F1006" s="2"/>
      <c r="G1006" s="2"/>
      <c r="H1006" s="8" t="str">
        <f t="shared" si="30"/>
        <v/>
      </c>
      <c r="I1006" s="10" t="str">
        <f t="shared" si="31"/>
        <v/>
      </c>
      <c r="J1006" s="2"/>
      <c r="K1006" s="2"/>
      <c r="L1006" s="2"/>
    </row>
    <row r="1007" spans="1:12" ht="30" customHeight="1" x14ac:dyDescent="0.35">
      <c r="A1007" t="s">
        <v>2054</v>
      </c>
      <c r="B1007" t="s">
        <v>2055</v>
      </c>
      <c r="C1007" t="s">
        <v>19</v>
      </c>
      <c r="D1007" t="s">
        <v>18</v>
      </c>
      <c r="E1007" s="2">
        <v>2199.16</v>
      </c>
      <c r="F1007" s="2"/>
      <c r="G1007" s="2"/>
      <c r="H1007" s="8" t="str">
        <f t="shared" si="30"/>
        <v/>
      </c>
      <c r="I1007" s="10" t="str">
        <f t="shared" si="31"/>
        <v/>
      </c>
      <c r="J1007" s="2"/>
      <c r="K1007" s="2"/>
      <c r="L1007" s="2"/>
    </row>
    <row r="1008" spans="1:12" ht="30" customHeight="1" x14ac:dyDescent="0.35">
      <c r="A1008" t="s">
        <v>2056</v>
      </c>
      <c r="B1008" t="s">
        <v>2057</v>
      </c>
      <c r="C1008" t="s">
        <v>19</v>
      </c>
      <c r="D1008" t="s">
        <v>18</v>
      </c>
      <c r="E1008" s="2">
        <v>1263627.43</v>
      </c>
      <c r="F1008" s="2"/>
      <c r="G1008" s="2"/>
      <c r="H1008" s="8" t="str">
        <f t="shared" si="30"/>
        <v/>
      </c>
      <c r="I1008" s="10" t="str">
        <f t="shared" si="31"/>
        <v/>
      </c>
      <c r="J1008" s="2"/>
      <c r="K1008" s="2"/>
      <c r="L1008" s="2"/>
    </row>
    <row r="1009" spans="1:12" ht="30" customHeight="1" x14ac:dyDescent="0.35">
      <c r="A1009" t="s">
        <v>2058</v>
      </c>
      <c r="B1009" t="s">
        <v>2059</v>
      </c>
      <c r="C1009" t="s">
        <v>259</v>
      </c>
      <c r="D1009" t="s">
        <v>258</v>
      </c>
      <c r="E1009" s="2">
        <v>317435.45</v>
      </c>
      <c r="F1009" s="2">
        <v>466662.43</v>
      </c>
      <c r="G1009" s="2">
        <v>750000</v>
      </c>
      <c r="H1009" s="8">
        <f t="shared" si="30"/>
        <v>1216662.43</v>
      </c>
      <c r="I1009" s="10">
        <f t="shared" si="31"/>
        <v>0.26090675784243622</v>
      </c>
      <c r="J1009" s="2"/>
      <c r="K1009" s="2"/>
      <c r="L1009" s="2"/>
    </row>
    <row r="1010" spans="1:12" ht="30" customHeight="1" x14ac:dyDescent="0.35">
      <c r="A1010" t="s">
        <v>2060</v>
      </c>
      <c r="B1010" t="s">
        <v>2061</v>
      </c>
      <c r="C1010" t="s">
        <v>77</v>
      </c>
      <c r="D1010" t="s">
        <v>76</v>
      </c>
      <c r="E1010" s="2">
        <v>4446.49</v>
      </c>
      <c r="F1010" s="2">
        <v>0</v>
      </c>
      <c r="G1010" s="2">
        <v>1500</v>
      </c>
      <c r="H1010" s="8">
        <f t="shared" ref="H1010:H1073" si="32">IF(ISBLANK(F1010), "",(F1010+G1010))</f>
        <v>1500</v>
      </c>
      <c r="I1010" s="10">
        <f t="shared" ref="I1010:I1073" si="33">IF(ISBLANK(F1010), "", E1010/H1010)</f>
        <v>2.9643266666666666</v>
      </c>
      <c r="J1010" s="2"/>
      <c r="K1010" s="2"/>
      <c r="L1010" s="2"/>
    </row>
    <row r="1011" spans="1:12" ht="30" customHeight="1" x14ac:dyDescent="0.35">
      <c r="A1011" t="s">
        <v>2062</v>
      </c>
      <c r="B1011" t="s">
        <v>2063</v>
      </c>
      <c r="C1011" t="s">
        <v>29</v>
      </c>
      <c r="D1011" t="s">
        <v>28</v>
      </c>
      <c r="E1011" s="2">
        <v>19636.939999999999</v>
      </c>
      <c r="F1011" s="2"/>
      <c r="G1011" s="2"/>
      <c r="H1011" s="8" t="str">
        <f t="shared" si="32"/>
        <v/>
      </c>
      <c r="I1011" s="10" t="str">
        <f t="shared" si="33"/>
        <v/>
      </c>
      <c r="J1011" s="2"/>
      <c r="K1011" s="2"/>
      <c r="L1011" s="2"/>
    </row>
    <row r="1012" spans="1:12" ht="30" customHeight="1" x14ac:dyDescent="0.35">
      <c r="A1012" t="s">
        <v>2064</v>
      </c>
      <c r="B1012" t="s">
        <v>2065</v>
      </c>
      <c r="C1012" t="s">
        <v>41</v>
      </c>
      <c r="D1012" t="s">
        <v>40</v>
      </c>
      <c r="E1012" s="2">
        <v>20819.96</v>
      </c>
      <c r="F1012" s="2"/>
      <c r="G1012" s="2"/>
      <c r="H1012" s="8" t="str">
        <f t="shared" si="32"/>
        <v/>
      </c>
      <c r="I1012" s="10" t="str">
        <f t="shared" si="33"/>
        <v/>
      </c>
      <c r="J1012" s="2"/>
      <c r="K1012" s="2"/>
      <c r="L1012" s="2"/>
    </row>
    <row r="1013" spans="1:12" ht="30" customHeight="1" x14ac:dyDescent="0.35">
      <c r="A1013" t="s">
        <v>2066</v>
      </c>
      <c r="B1013" t="s">
        <v>2067</v>
      </c>
      <c r="C1013" t="s">
        <v>29</v>
      </c>
      <c r="D1013" t="s">
        <v>28</v>
      </c>
      <c r="E1013" s="2">
        <v>6834.02</v>
      </c>
      <c r="F1013" s="2"/>
      <c r="G1013" s="2"/>
      <c r="H1013" s="8" t="str">
        <f t="shared" si="32"/>
        <v/>
      </c>
      <c r="I1013" s="10" t="str">
        <f t="shared" si="33"/>
        <v/>
      </c>
      <c r="J1013" s="2"/>
      <c r="K1013" s="2"/>
      <c r="L1013" s="2"/>
    </row>
    <row r="1014" spans="1:12" ht="30" customHeight="1" x14ac:dyDescent="0.35">
      <c r="A1014" t="s">
        <v>2068</v>
      </c>
      <c r="B1014" t="s">
        <v>2069</v>
      </c>
      <c r="C1014" t="s">
        <v>19</v>
      </c>
      <c r="D1014" t="s">
        <v>18</v>
      </c>
      <c r="E1014" s="2">
        <v>773.91</v>
      </c>
      <c r="F1014" s="2"/>
      <c r="G1014" s="2"/>
      <c r="H1014" s="8" t="str">
        <f t="shared" si="32"/>
        <v/>
      </c>
      <c r="I1014" s="10" t="str">
        <f t="shared" si="33"/>
        <v/>
      </c>
      <c r="J1014" s="2"/>
      <c r="K1014" s="2"/>
      <c r="L1014" s="2"/>
    </row>
    <row r="1015" spans="1:12" ht="30" customHeight="1" x14ac:dyDescent="0.35">
      <c r="A1015" t="s">
        <v>2070</v>
      </c>
      <c r="B1015" t="s">
        <v>2071</v>
      </c>
      <c r="C1015" t="s">
        <v>51</v>
      </c>
      <c r="D1015" t="s">
        <v>50</v>
      </c>
      <c r="E1015" s="2">
        <v>430169.55</v>
      </c>
      <c r="F1015" s="2"/>
      <c r="G1015" s="2"/>
      <c r="H1015" s="8" t="str">
        <f t="shared" si="32"/>
        <v/>
      </c>
      <c r="I1015" s="10" t="str">
        <f t="shared" si="33"/>
        <v/>
      </c>
      <c r="J1015" s="2"/>
      <c r="K1015" s="2"/>
      <c r="L1015" s="2"/>
    </row>
    <row r="1016" spans="1:12" ht="30" customHeight="1" x14ac:dyDescent="0.35">
      <c r="A1016" t="s">
        <v>2072</v>
      </c>
      <c r="B1016" t="s">
        <v>2073</v>
      </c>
      <c r="C1016" t="s">
        <v>259</v>
      </c>
      <c r="D1016" t="s">
        <v>258</v>
      </c>
      <c r="E1016" s="2">
        <v>6932.4</v>
      </c>
      <c r="F1016" s="2"/>
      <c r="G1016" s="2"/>
      <c r="H1016" s="8" t="str">
        <f t="shared" si="32"/>
        <v/>
      </c>
      <c r="I1016" s="10" t="str">
        <f t="shared" si="33"/>
        <v/>
      </c>
      <c r="J1016" s="2"/>
      <c r="K1016" s="2"/>
      <c r="L1016" s="2"/>
    </row>
    <row r="1017" spans="1:12" ht="30" customHeight="1" x14ac:dyDescent="0.35">
      <c r="A1017" t="s">
        <v>2074</v>
      </c>
      <c r="B1017" t="s">
        <v>2075</v>
      </c>
      <c r="C1017" t="s">
        <v>2077</v>
      </c>
      <c r="D1017" t="s">
        <v>2076</v>
      </c>
      <c r="E1017" s="2"/>
      <c r="F1017" s="2">
        <v>565475.74</v>
      </c>
      <c r="G1017" s="2"/>
      <c r="H1017" s="8">
        <f t="shared" si="32"/>
        <v>565475.74</v>
      </c>
      <c r="I1017" s="10">
        <f t="shared" si="33"/>
        <v>0</v>
      </c>
      <c r="J1017" s="2"/>
      <c r="K1017" s="2"/>
      <c r="L1017" s="2"/>
    </row>
    <row r="1018" spans="1:12" ht="30" customHeight="1" x14ac:dyDescent="0.35">
      <c r="A1018" t="s">
        <v>2078</v>
      </c>
      <c r="B1018" t="s">
        <v>2079</v>
      </c>
      <c r="C1018" t="s">
        <v>19</v>
      </c>
      <c r="D1018" t="s">
        <v>18</v>
      </c>
      <c r="E1018" s="2">
        <v>265054.51</v>
      </c>
      <c r="F1018" s="2">
        <v>155574.56</v>
      </c>
      <c r="G1018" s="2"/>
      <c r="H1018" s="8">
        <f t="shared" si="32"/>
        <v>155574.56</v>
      </c>
      <c r="I1018" s="10">
        <f t="shared" si="33"/>
        <v>1.7037137048628004</v>
      </c>
      <c r="J1018" s="2"/>
      <c r="K1018" s="2"/>
      <c r="L1018" s="2"/>
    </row>
    <row r="1019" spans="1:12" ht="30" customHeight="1" x14ac:dyDescent="0.35">
      <c r="A1019" t="s">
        <v>2080</v>
      </c>
      <c r="B1019" t="s">
        <v>2081</v>
      </c>
      <c r="C1019" t="s">
        <v>67</v>
      </c>
      <c r="D1019" t="s">
        <v>66</v>
      </c>
      <c r="E1019" s="2">
        <v>73669.509999999995</v>
      </c>
      <c r="F1019" s="2"/>
      <c r="G1019" s="2"/>
      <c r="H1019" s="8" t="str">
        <f t="shared" si="32"/>
        <v/>
      </c>
      <c r="I1019" s="10" t="str">
        <f t="shared" si="33"/>
        <v/>
      </c>
      <c r="J1019" s="2"/>
      <c r="K1019" s="2"/>
      <c r="L1019" s="2"/>
    </row>
    <row r="1020" spans="1:12" ht="30" customHeight="1" x14ac:dyDescent="0.35">
      <c r="A1020" t="s">
        <v>2082</v>
      </c>
      <c r="B1020" t="s">
        <v>2083</v>
      </c>
      <c r="C1020" t="s">
        <v>385</v>
      </c>
      <c r="D1020" t="s">
        <v>384</v>
      </c>
      <c r="E1020" s="2">
        <v>3434927.2</v>
      </c>
      <c r="F1020" s="2"/>
      <c r="G1020" s="2"/>
      <c r="H1020" s="8" t="str">
        <f t="shared" si="32"/>
        <v/>
      </c>
      <c r="I1020" s="10" t="str">
        <f t="shared" si="33"/>
        <v/>
      </c>
      <c r="J1020" s="2"/>
      <c r="K1020" s="2"/>
      <c r="L1020" s="2"/>
    </row>
    <row r="1021" spans="1:12" ht="30" customHeight="1" x14ac:dyDescent="0.35">
      <c r="A1021" t="s">
        <v>2084</v>
      </c>
      <c r="B1021" t="s">
        <v>2085</v>
      </c>
      <c r="C1021" t="s">
        <v>15</v>
      </c>
      <c r="D1021" t="s">
        <v>14</v>
      </c>
      <c r="E1021" s="2">
        <v>204862.89</v>
      </c>
      <c r="F1021" s="2"/>
      <c r="G1021" s="2"/>
      <c r="H1021" s="8" t="str">
        <f t="shared" si="32"/>
        <v/>
      </c>
      <c r="I1021" s="10" t="str">
        <f t="shared" si="33"/>
        <v/>
      </c>
      <c r="J1021" s="2"/>
      <c r="K1021" s="2"/>
      <c r="L1021" s="2"/>
    </row>
    <row r="1022" spans="1:12" ht="30" customHeight="1" x14ac:dyDescent="0.35">
      <c r="A1022" t="s">
        <v>2086</v>
      </c>
      <c r="B1022" t="s">
        <v>2087</v>
      </c>
      <c r="C1022" t="s">
        <v>19</v>
      </c>
      <c r="D1022" t="s">
        <v>18</v>
      </c>
      <c r="E1022" s="2">
        <v>11091.02</v>
      </c>
      <c r="F1022" s="2">
        <v>483038.42</v>
      </c>
      <c r="G1022" s="2">
        <v>0</v>
      </c>
      <c r="H1022" s="8">
        <f t="shared" si="32"/>
        <v>483038.42</v>
      </c>
      <c r="I1022" s="10">
        <f t="shared" si="33"/>
        <v>2.2960947909692154E-2</v>
      </c>
      <c r="J1022" s="2"/>
      <c r="K1022" s="2"/>
      <c r="L1022" s="2"/>
    </row>
    <row r="1023" spans="1:12" ht="30" customHeight="1" x14ac:dyDescent="0.35">
      <c r="A1023" t="s">
        <v>2088</v>
      </c>
      <c r="B1023" t="s">
        <v>2089</v>
      </c>
      <c r="C1023" t="s">
        <v>33</v>
      </c>
      <c r="D1023" t="s">
        <v>32</v>
      </c>
      <c r="E1023" s="2">
        <v>773716.15</v>
      </c>
      <c r="F1023" s="2"/>
      <c r="G1023" s="2"/>
      <c r="H1023" s="8" t="str">
        <f t="shared" si="32"/>
        <v/>
      </c>
      <c r="I1023" s="10" t="str">
        <f t="shared" si="33"/>
        <v/>
      </c>
      <c r="J1023" s="2"/>
      <c r="K1023" s="2"/>
      <c r="L1023" s="2"/>
    </row>
    <row r="1024" spans="1:12" ht="30" customHeight="1" x14ac:dyDescent="0.35">
      <c r="A1024" t="s">
        <v>2090</v>
      </c>
      <c r="B1024" t="s">
        <v>2091</v>
      </c>
      <c r="C1024" t="s">
        <v>109</v>
      </c>
      <c r="D1024" t="s">
        <v>108</v>
      </c>
      <c r="E1024" s="2">
        <v>46174.76</v>
      </c>
      <c r="F1024" s="2"/>
      <c r="G1024" s="2"/>
      <c r="H1024" s="8" t="str">
        <f t="shared" si="32"/>
        <v/>
      </c>
      <c r="I1024" s="10" t="str">
        <f t="shared" si="33"/>
        <v/>
      </c>
      <c r="J1024" s="2"/>
      <c r="K1024" s="2"/>
      <c r="L1024" s="2"/>
    </row>
    <row r="1025" spans="1:12" ht="30" customHeight="1" x14ac:dyDescent="0.35">
      <c r="A1025" t="s">
        <v>2092</v>
      </c>
      <c r="B1025" t="s">
        <v>2093</v>
      </c>
      <c r="C1025" t="s">
        <v>19</v>
      </c>
      <c r="D1025" t="s">
        <v>18</v>
      </c>
      <c r="E1025" s="2">
        <v>150466.35</v>
      </c>
      <c r="F1025" s="2"/>
      <c r="G1025" s="2"/>
      <c r="H1025" s="8" t="str">
        <f t="shared" si="32"/>
        <v/>
      </c>
      <c r="I1025" s="10" t="str">
        <f t="shared" si="33"/>
        <v/>
      </c>
      <c r="J1025" s="2"/>
      <c r="K1025" s="2"/>
      <c r="L1025" s="2"/>
    </row>
    <row r="1026" spans="1:12" ht="30" customHeight="1" x14ac:dyDescent="0.35">
      <c r="A1026" t="s">
        <v>2094</v>
      </c>
      <c r="B1026" t="s">
        <v>2095</v>
      </c>
      <c r="C1026" t="s">
        <v>51</v>
      </c>
      <c r="D1026" t="s">
        <v>50</v>
      </c>
      <c r="E1026" s="2">
        <v>625850.84</v>
      </c>
      <c r="F1026" s="2"/>
      <c r="G1026" s="2"/>
      <c r="H1026" s="8" t="str">
        <f t="shared" si="32"/>
        <v/>
      </c>
      <c r="I1026" s="10" t="str">
        <f t="shared" si="33"/>
        <v/>
      </c>
      <c r="J1026" s="2"/>
      <c r="K1026" s="2"/>
      <c r="L1026" s="2"/>
    </row>
    <row r="1027" spans="1:12" ht="30" customHeight="1" x14ac:dyDescent="0.35">
      <c r="A1027" t="s">
        <v>2096</v>
      </c>
      <c r="B1027" t="s">
        <v>2097</v>
      </c>
      <c r="C1027" t="s">
        <v>19</v>
      </c>
      <c r="D1027" t="s">
        <v>18</v>
      </c>
      <c r="E1027" s="2">
        <v>27663.279999999999</v>
      </c>
      <c r="F1027" s="2"/>
      <c r="G1027" s="2"/>
      <c r="H1027" s="8" t="str">
        <f t="shared" si="32"/>
        <v/>
      </c>
      <c r="I1027" s="10" t="str">
        <f t="shared" si="33"/>
        <v/>
      </c>
      <c r="J1027" s="2"/>
      <c r="K1027" s="2"/>
      <c r="L1027" s="2"/>
    </row>
    <row r="1028" spans="1:12" ht="30" customHeight="1" x14ac:dyDescent="0.35">
      <c r="A1028" t="s">
        <v>2098</v>
      </c>
      <c r="B1028" t="s">
        <v>2099</v>
      </c>
      <c r="C1028" t="s">
        <v>19</v>
      </c>
      <c r="D1028" t="s">
        <v>18</v>
      </c>
      <c r="E1028" s="2">
        <v>166176.07999999999</v>
      </c>
      <c r="F1028" s="2"/>
      <c r="G1028" s="2"/>
      <c r="H1028" s="8" t="str">
        <f t="shared" si="32"/>
        <v/>
      </c>
      <c r="I1028" s="10" t="str">
        <f t="shared" si="33"/>
        <v/>
      </c>
      <c r="J1028" s="2"/>
      <c r="K1028" s="2"/>
      <c r="L1028" s="2"/>
    </row>
    <row r="1029" spans="1:12" ht="30" customHeight="1" x14ac:dyDescent="0.35">
      <c r="A1029" t="s">
        <v>2100</v>
      </c>
      <c r="B1029" t="s">
        <v>2101</v>
      </c>
      <c r="C1029" t="s">
        <v>33</v>
      </c>
      <c r="D1029" t="s">
        <v>32</v>
      </c>
      <c r="E1029" s="2">
        <v>78124.41</v>
      </c>
      <c r="F1029" s="2"/>
      <c r="G1029" s="2"/>
      <c r="H1029" s="8" t="str">
        <f t="shared" si="32"/>
        <v/>
      </c>
      <c r="I1029" s="10" t="str">
        <f t="shared" si="33"/>
        <v/>
      </c>
      <c r="J1029" s="2"/>
      <c r="K1029" s="2"/>
      <c r="L1029" s="2"/>
    </row>
    <row r="1030" spans="1:12" ht="30" customHeight="1" x14ac:dyDescent="0.35">
      <c r="A1030" t="s">
        <v>2102</v>
      </c>
      <c r="B1030" t="s">
        <v>2103</v>
      </c>
      <c r="C1030" t="s">
        <v>51</v>
      </c>
      <c r="D1030" t="s">
        <v>50</v>
      </c>
      <c r="E1030" s="2">
        <v>14716.13</v>
      </c>
      <c r="F1030" s="2"/>
      <c r="G1030" s="2"/>
      <c r="H1030" s="8" t="str">
        <f t="shared" si="32"/>
        <v/>
      </c>
      <c r="I1030" s="10" t="str">
        <f t="shared" si="33"/>
        <v/>
      </c>
      <c r="J1030" s="2"/>
      <c r="K1030" s="2"/>
      <c r="L1030" s="2"/>
    </row>
    <row r="1031" spans="1:12" ht="30" customHeight="1" x14ac:dyDescent="0.35">
      <c r="A1031" t="s">
        <v>2104</v>
      </c>
      <c r="B1031" t="s">
        <v>2105</v>
      </c>
      <c r="C1031" t="s">
        <v>77</v>
      </c>
      <c r="D1031" t="s">
        <v>76</v>
      </c>
      <c r="E1031" s="2">
        <v>402862.63</v>
      </c>
      <c r="F1031" s="2"/>
      <c r="G1031" s="2"/>
      <c r="H1031" s="8" t="str">
        <f t="shared" si="32"/>
        <v/>
      </c>
      <c r="I1031" s="10" t="str">
        <f t="shared" si="33"/>
        <v/>
      </c>
      <c r="J1031" s="2"/>
      <c r="K1031" s="2"/>
      <c r="L1031" s="2"/>
    </row>
    <row r="1032" spans="1:12" ht="30" customHeight="1" x14ac:dyDescent="0.35">
      <c r="A1032" t="s">
        <v>2106</v>
      </c>
      <c r="B1032" t="s">
        <v>2107</v>
      </c>
      <c r="C1032" t="s">
        <v>109</v>
      </c>
      <c r="D1032" t="s">
        <v>108</v>
      </c>
      <c r="E1032" s="2">
        <v>3602.95</v>
      </c>
      <c r="F1032" s="2"/>
      <c r="G1032" s="2"/>
      <c r="H1032" s="8" t="str">
        <f t="shared" si="32"/>
        <v/>
      </c>
      <c r="I1032" s="10" t="str">
        <f t="shared" si="33"/>
        <v/>
      </c>
      <c r="J1032" s="2"/>
      <c r="K1032" s="2"/>
      <c r="L1032" s="2"/>
    </row>
    <row r="1033" spans="1:12" ht="30" customHeight="1" x14ac:dyDescent="0.35">
      <c r="A1033" t="s">
        <v>2108</v>
      </c>
      <c r="B1033" t="s">
        <v>2109</v>
      </c>
      <c r="C1033" t="s">
        <v>109</v>
      </c>
      <c r="D1033" t="s">
        <v>108</v>
      </c>
      <c r="E1033" s="2">
        <v>267.61</v>
      </c>
      <c r="F1033" s="2"/>
      <c r="G1033" s="2"/>
      <c r="H1033" s="8" t="str">
        <f t="shared" si="32"/>
        <v/>
      </c>
      <c r="I1033" s="10" t="str">
        <f t="shared" si="33"/>
        <v/>
      </c>
      <c r="J1033" s="2"/>
      <c r="K1033" s="2"/>
      <c r="L1033" s="2"/>
    </row>
    <row r="1034" spans="1:12" ht="30" customHeight="1" x14ac:dyDescent="0.35">
      <c r="A1034" t="s">
        <v>2110</v>
      </c>
      <c r="B1034" t="s">
        <v>2111</v>
      </c>
      <c r="C1034" t="s">
        <v>19</v>
      </c>
      <c r="D1034" t="s">
        <v>18</v>
      </c>
      <c r="E1034" s="2">
        <v>7391.45</v>
      </c>
      <c r="F1034" s="2"/>
      <c r="G1034" s="2"/>
      <c r="H1034" s="8" t="str">
        <f t="shared" si="32"/>
        <v/>
      </c>
      <c r="I1034" s="10" t="str">
        <f t="shared" si="33"/>
        <v/>
      </c>
      <c r="J1034" s="2"/>
      <c r="K1034" s="2"/>
      <c r="L1034" s="2"/>
    </row>
    <row r="1035" spans="1:12" ht="30" customHeight="1" x14ac:dyDescent="0.35">
      <c r="A1035" t="s">
        <v>2112</v>
      </c>
      <c r="B1035" t="s">
        <v>2113</v>
      </c>
      <c r="C1035" t="s">
        <v>29</v>
      </c>
      <c r="D1035" t="s">
        <v>28</v>
      </c>
      <c r="E1035" s="2">
        <v>85657.09</v>
      </c>
      <c r="F1035" s="2"/>
      <c r="G1035" s="2"/>
      <c r="H1035" s="8" t="str">
        <f t="shared" si="32"/>
        <v/>
      </c>
      <c r="I1035" s="10" t="str">
        <f t="shared" si="33"/>
        <v/>
      </c>
      <c r="J1035" s="2"/>
      <c r="K1035" s="2"/>
      <c r="L1035" s="2"/>
    </row>
    <row r="1036" spans="1:12" ht="30" customHeight="1" x14ac:dyDescent="0.35">
      <c r="A1036" t="s">
        <v>2114</v>
      </c>
      <c r="B1036" t="s">
        <v>2115</v>
      </c>
      <c r="C1036" t="s">
        <v>33</v>
      </c>
      <c r="D1036" t="s">
        <v>32</v>
      </c>
      <c r="E1036" s="2">
        <v>155613.54</v>
      </c>
      <c r="F1036" s="2"/>
      <c r="G1036" s="2"/>
      <c r="H1036" s="8" t="str">
        <f t="shared" si="32"/>
        <v/>
      </c>
      <c r="I1036" s="10" t="str">
        <f t="shared" si="33"/>
        <v/>
      </c>
      <c r="J1036" s="2"/>
      <c r="K1036" s="2"/>
      <c r="L1036" s="2"/>
    </row>
    <row r="1037" spans="1:12" ht="30" customHeight="1" x14ac:dyDescent="0.35">
      <c r="A1037" t="s">
        <v>2116</v>
      </c>
      <c r="B1037" t="s">
        <v>2117</v>
      </c>
      <c r="C1037" t="s">
        <v>67</v>
      </c>
      <c r="D1037" t="s">
        <v>66</v>
      </c>
      <c r="E1037" s="2">
        <v>376660.98</v>
      </c>
      <c r="F1037" s="2"/>
      <c r="G1037" s="2"/>
      <c r="H1037" s="8" t="str">
        <f t="shared" si="32"/>
        <v/>
      </c>
      <c r="I1037" s="10" t="str">
        <f t="shared" si="33"/>
        <v/>
      </c>
      <c r="J1037" s="2"/>
      <c r="K1037" s="2"/>
      <c r="L1037" s="2"/>
    </row>
    <row r="1038" spans="1:12" ht="30" customHeight="1" x14ac:dyDescent="0.35">
      <c r="A1038" t="s">
        <v>2118</v>
      </c>
      <c r="B1038" t="s">
        <v>2119</v>
      </c>
      <c r="C1038" t="s">
        <v>29</v>
      </c>
      <c r="D1038" t="s">
        <v>28</v>
      </c>
      <c r="E1038" s="2">
        <v>244278.15</v>
      </c>
      <c r="F1038" s="2"/>
      <c r="G1038" s="2"/>
      <c r="H1038" s="8" t="str">
        <f t="shared" si="32"/>
        <v/>
      </c>
      <c r="I1038" s="10" t="str">
        <f t="shared" si="33"/>
        <v/>
      </c>
      <c r="J1038" s="2"/>
      <c r="K1038" s="2"/>
      <c r="L1038" s="2"/>
    </row>
    <row r="1039" spans="1:12" ht="30" customHeight="1" x14ac:dyDescent="0.35">
      <c r="A1039" t="s">
        <v>2120</v>
      </c>
      <c r="B1039" t="s">
        <v>2121</v>
      </c>
      <c r="C1039" t="s">
        <v>185</v>
      </c>
      <c r="D1039" t="s">
        <v>184</v>
      </c>
      <c r="E1039" s="2">
        <v>2458701.96</v>
      </c>
      <c r="F1039" s="2"/>
      <c r="G1039" s="2"/>
      <c r="H1039" s="8" t="str">
        <f t="shared" si="32"/>
        <v/>
      </c>
      <c r="I1039" s="10" t="str">
        <f t="shared" si="33"/>
        <v/>
      </c>
      <c r="J1039" s="2"/>
      <c r="K1039" s="2"/>
      <c r="L1039" s="2"/>
    </row>
    <row r="1040" spans="1:12" ht="30" customHeight="1" x14ac:dyDescent="0.35">
      <c r="A1040" t="s">
        <v>2122</v>
      </c>
      <c r="B1040" t="s">
        <v>2123</v>
      </c>
      <c r="C1040" t="s">
        <v>29</v>
      </c>
      <c r="D1040" t="s">
        <v>28</v>
      </c>
      <c r="E1040" s="2">
        <v>764625.5</v>
      </c>
      <c r="F1040" s="2"/>
      <c r="G1040" s="2"/>
      <c r="H1040" s="8" t="str">
        <f t="shared" si="32"/>
        <v/>
      </c>
      <c r="I1040" s="10" t="str">
        <f t="shared" si="33"/>
        <v/>
      </c>
      <c r="J1040" s="2"/>
      <c r="K1040" s="2"/>
      <c r="L1040" s="2"/>
    </row>
    <row r="1041" spans="1:12" ht="30" customHeight="1" x14ac:dyDescent="0.35">
      <c r="A1041" t="s">
        <v>2124</v>
      </c>
      <c r="B1041" t="s">
        <v>2125</v>
      </c>
      <c r="C1041" t="s">
        <v>461</v>
      </c>
      <c r="D1041" t="s">
        <v>460</v>
      </c>
      <c r="E1041" s="2">
        <v>1110.8900000000001</v>
      </c>
      <c r="F1041" s="2"/>
      <c r="G1041" s="2"/>
      <c r="H1041" s="8" t="str">
        <f t="shared" si="32"/>
        <v/>
      </c>
      <c r="I1041" s="10" t="str">
        <f t="shared" si="33"/>
        <v/>
      </c>
      <c r="J1041" s="2"/>
      <c r="K1041" s="2"/>
      <c r="L1041" s="2"/>
    </row>
    <row r="1042" spans="1:12" ht="30" customHeight="1" x14ac:dyDescent="0.35">
      <c r="A1042" t="s">
        <v>2126</v>
      </c>
      <c r="B1042" t="s">
        <v>2127</v>
      </c>
      <c r="C1042" t="s">
        <v>41</v>
      </c>
      <c r="D1042" t="s">
        <v>40</v>
      </c>
      <c r="E1042" s="2">
        <v>123.1</v>
      </c>
      <c r="F1042" s="2">
        <v>128837.56</v>
      </c>
      <c r="G1042" s="2">
        <v>21062.44</v>
      </c>
      <c r="H1042" s="8">
        <f t="shared" si="32"/>
        <v>149900</v>
      </c>
      <c r="I1042" s="10">
        <f t="shared" si="33"/>
        <v>8.2121414276184121E-4</v>
      </c>
      <c r="J1042" s="2"/>
      <c r="K1042" s="2"/>
      <c r="L1042" s="2"/>
    </row>
    <row r="1043" spans="1:12" ht="30" customHeight="1" x14ac:dyDescent="0.35">
      <c r="A1043" t="s">
        <v>2128</v>
      </c>
      <c r="B1043" t="s">
        <v>2129</v>
      </c>
      <c r="C1043" t="s">
        <v>33</v>
      </c>
      <c r="D1043" t="s">
        <v>32</v>
      </c>
      <c r="E1043" s="2">
        <v>196064.09</v>
      </c>
      <c r="F1043" s="2"/>
      <c r="G1043" s="2"/>
      <c r="H1043" s="8" t="str">
        <f t="shared" si="32"/>
        <v/>
      </c>
      <c r="I1043" s="10" t="str">
        <f t="shared" si="33"/>
        <v/>
      </c>
      <c r="J1043" s="2"/>
      <c r="K1043" s="2"/>
      <c r="L1043" s="2"/>
    </row>
    <row r="1044" spans="1:12" ht="30" customHeight="1" x14ac:dyDescent="0.35">
      <c r="A1044" t="s">
        <v>2130</v>
      </c>
      <c r="B1044" t="s">
        <v>2131</v>
      </c>
      <c r="C1044" t="s">
        <v>41</v>
      </c>
      <c r="D1044" t="s">
        <v>40</v>
      </c>
      <c r="E1044" s="2">
        <v>26906.799999999999</v>
      </c>
      <c r="F1044" s="2"/>
      <c r="G1044" s="2"/>
      <c r="H1044" s="8" t="str">
        <f t="shared" si="32"/>
        <v/>
      </c>
      <c r="I1044" s="10" t="str">
        <f t="shared" si="33"/>
        <v/>
      </c>
      <c r="J1044" s="2"/>
      <c r="K1044" s="2"/>
      <c r="L1044" s="2"/>
    </row>
    <row r="1045" spans="1:12" ht="30" customHeight="1" x14ac:dyDescent="0.35">
      <c r="A1045" t="s">
        <v>2132</v>
      </c>
      <c r="B1045" t="s">
        <v>2133</v>
      </c>
      <c r="C1045" t="s">
        <v>41</v>
      </c>
      <c r="D1045" t="s">
        <v>40</v>
      </c>
      <c r="E1045" s="2">
        <v>234785.36</v>
      </c>
      <c r="F1045" s="2"/>
      <c r="G1045" s="2"/>
      <c r="H1045" s="8" t="str">
        <f t="shared" si="32"/>
        <v/>
      </c>
      <c r="I1045" s="10" t="str">
        <f t="shared" si="33"/>
        <v/>
      </c>
      <c r="J1045" s="2"/>
      <c r="K1045" s="2"/>
      <c r="L1045" s="2"/>
    </row>
    <row r="1046" spans="1:12" ht="30" customHeight="1" x14ac:dyDescent="0.35">
      <c r="A1046" t="s">
        <v>2134</v>
      </c>
      <c r="B1046" t="s">
        <v>2135</v>
      </c>
      <c r="C1046" t="s">
        <v>33</v>
      </c>
      <c r="D1046" t="s">
        <v>32</v>
      </c>
      <c r="E1046" s="2">
        <v>692405.07</v>
      </c>
      <c r="F1046" s="2"/>
      <c r="G1046" s="2"/>
      <c r="H1046" s="8" t="str">
        <f t="shared" si="32"/>
        <v/>
      </c>
      <c r="I1046" s="10" t="str">
        <f t="shared" si="33"/>
        <v/>
      </c>
      <c r="J1046" s="2"/>
      <c r="K1046" s="2"/>
      <c r="L1046" s="2"/>
    </row>
    <row r="1047" spans="1:12" ht="30" customHeight="1" x14ac:dyDescent="0.35">
      <c r="A1047" t="s">
        <v>2136</v>
      </c>
      <c r="B1047" t="s">
        <v>2137</v>
      </c>
      <c r="C1047" t="s">
        <v>109</v>
      </c>
      <c r="D1047" t="s">
        <v>108</v>
      </c>
      <c r="E1047" s="2">
        <v>284135.71999999997</v>
      </c>
      <c r="F1047" s="2"/>
      <c r="G1047" s="2"/>
      <c r="H1047" s="8" t="str">
        <f t="shared" si="32"/>
        <v/>
      </c>
      <c r="I1047" s="10" t="str">
        <f t="shared" si="33"/>
        <v/>
      </c>
      <c r="J1047" s="2"/>
      <c r="K1047" s="2"/>
      <c r="L1047" s="2"/>
    </row>
    <row r="1048" spans="1:12" ht="30" customHeight="1" x14ac:dyDescent="0.35">
      <c r="A1048" t="s">
        <v>2138</v>
      </c>
      <c r="B1048" t="s">
        <v>2139</v>
      </c>
      <c r="C1048" t="s">
        <v>109</v>
      </c>
      <c r="D1048" t="s">
        <v>108</v>
      </c>
      <c r="E1048" s="2">
        <v>69780.039999999994</v>
      </c>
      <c r="F1048" s="2"/>
      <c r="G1048" s="2"/>
      <c r="H1048" s="8" t="str">
        <f t="shared" si="32"/>
        <v/>
      </c>
      <c r="I1048" s="10" t="str">
        <f t="shared" si="33"/>
        <v/>
      </c>
      <c r="J1048" s="2"/>
      <c r="K1048" s="2"/>
      <c r="L1048" s="2"/>
    </row>
    <row r="1049" spans="1:12" ht="30" customHeight="1" x14ac:dyDescent="0.35">
      <c r="A1049" t="s">
        <v>2140</v>
      </c>
      <c r="B1049" t="s">
        <v>2141</v>
      </c>
      <c r="C1049" t="s">
        <v>33</v>
      </c>
      <c r="D1049" t="s">
        <v>32</v>
      </c>
      <c r="E1049" s="2">
        <v>215009.44</v>
      </c>
      <c r="F1049" s="2"/>
      <c r="G1049" s="2"/>
      <c r="H1049" s="8" t="str">
        <f t="shared" si="32"/>
        <v/>
      </c>
      <c r="I1049" s="10" t="str">
        <f t="shared" si="33"/>
        <v/>
      </c>
      <c r="J1049" s="2"/>
      <c r="K1049" s="2"/>
      <c r="L1049" s="2"/>
    </row>
    <row r="1050" spans="1:12" ht="30" customHeight="1" x14ac:dyDescent="0.35">
      <c r="A1050" t="s">
        <v>2142</v>
      </c>
      <c r="B1050" t="s">
        <v>2143</v>
      </c>
      <c r="C1050" t="s">
        <v>471</v>
      </c>
      <c r="D1050" t="s">
        <v>470</v>
      </c>
      <c r="E1050" s="2">
        <v>165793.41</v>
      </c>
      <c r="F1050" s="2"/>
      <c r="G1050" s="2"/>
      <c r="H1050" s="8" t="str">
        <f t="shared" si="32"/>
        <v/>
      </c>
      <c r="I1050" s="10" t="str">
        <f t="shared" si="33"/>
        <v/>
      </c>
      <c r="J1050" s="2"/>
      <c r="K1050" s="2"/>
      <c r="L1050" s="2"/>
    </row>
    <row r="1051" spans="1:12" ht="30" customHeight="1" x14ac:dyDescent="0.35">
      <c r="A1051" t="s">
        <v>2144</v>
      </c>
      <c r="B1051" t="s">
        <v>2145</v>
      </c>
      <c r="C1051" t="s">
        <v>487</v>
      </c>
      <c r="D1051" t="s">
        <v>486</v>
      </c>
      <c r="E1051" s="2">
        <v>384485.34</v>
      </c>
      <c r="F1051" s="2">
        <v>264480.09999999998</v>
      </c>
      <c r="G1051" s="2">
        <v>2338205.77</v>
      </c>
      <c r="H1051" s="8">
        <f t="shared" si="32"/>
        <v>2602685.87</v>
      </c>
      <c r="I1051" s="10">
        <f t="shared" si="33"/>
        <v>0.14772637160396157</v>
      </c>
      <c r="J1051" s="2"/>
      <c r="K1051" s="2"/>
      <c r="L1051" s="2"/>
    </row>
    <row r="1052" spans="1:12" ht="30" customHeight="1" x14ac:dyDescent="0.35">
      <c r="A1052" t="s">
        <v>2146</v>
      </c>
      <c r="B1052" t="s">
        <v>2147</v>
      </c>
      <c r="C1052" t="s">
        <v>33</v>
      </c>
      <c r="D1052" t="s">
        <v>32</v>
      </c>
      <c r="E1052" s="2">
        <v>521077.54</v>
      </c>
      <c r="F1052" s="2"/>
      <c r="G1052" s="2"/>
      <c r="H1052" s="8" t="str">
        <f t="shared" si="32"/>
        <v/>
      </c>
      <c r="I1052" s="10" t="str">
        <f t="shared" si="33"/>
        <v/>
      </c>
      <c r="J1052" s="2"/>
      <c r="K1052" s="2"/>
      <c r="L1052" s="2"/>
    </row>
    <row r="1053" spans="1:12" ht="30" customHeight="1" x14ac:dyDescent="0.35">
      <c r="A1053" t="s">
        <v>2148</v>
      </c>
      <c r="B1053" t="s">
        <v>2149</v>
      </c>
      <c r="C1053" t="s">
        <v>965</v>
      </c>
      <c r="D1053" t="s">
        <v>964</v>
      </c>
      <c r="E1053" s="2">
        <v>5.3</v>
      </c>
      <c r="F1053" s="2"/>
      <c r="G1053" s="2"/>
      <c r="H1053" s="8" t="str">
        <f t="shared" si="32"/>
        <v/>
      </c>
      <c r="I1053" s="10" t="str">
        <f t="shared" si="33"/>
        <v/>
      </c>
      <c r="J1053" s="2"/>
      <c r="K1053" s="2"/>
      <c r="L1053" s="2"/>
    </row>
    <row r="1054" spans="1:12" ht="30" customHeight="1" x14ac:dyDescent="0.35">
      <c r="A1054" t="s">
        <v>2150</v>
      </c>
      <c r="B1054" t="s">
        <v>2151</v>
      </c>
      <c r="C1054" t="s">
        <v>213</v>
      </c>
      <c r="D1054" t="s">
        <v>212</v>
      </c>
      <c r="E1054" s="2">
        <v>30</v>
      </c>
      <c r="F1054" s="2">
        <v>48934.9</v>
      </c>
      <c r="G1054" s="2"/>
      <c r="H1054" s="8">
        <f t="shared" si="32"/>
        <v>48934.9</v>
      </c>
      <c r="I1054" s="10">
        <f t="shared" si="33"/>
        <v>6.1305939115028328E-4</v>
      </c>
      <c r="J1054" s="2"/>
      <c r="K1054" s="2"/>
      <c r="L1054" s="2"/>
    </row>
    <row r="1055" spans="1:12" ht="30" customHeight="1" x14ac:dyDescent="0.35">
      <c r="A1055" t="s">
        <v>2152</v>
      </c>
      <c r="B1055" t="s">
        <v>2153</v>
      </c>
      <c r="C1055" t="s">
        <v>41</v>
      </c>
      <c r="D1055" t="s">
        <v>40</v>
      </c>
      <c r="E1055" s="2"/>
      <c r="F1055" s="2">
        <v>141176.06</v>
      </c>
      <c r="G1055" s="2"/>
      <c r="H1055" s="8">
        <f t="shared" si="32"/>
        <v>141176.06</v>
      </c>
      <c r="I1055" s="10">
        <f t="shared" si="33"/>
        <v>0</v>
      </c>
      <c r="J1055" s="2"/>
      <c r="K1055" s="2"/>
      <c r="L1055" s="2"/>
    </row>
    <row r="1056" spans="1:12" ht="30" customHeight="1" x14ac:dyDescent="0.35">
      <c r="A1056" t="s">
        <v>2154</v>
      </c>
      <c r="B1056" t="s">
        <v>2155</v>
      </c>
      <c r="C1056" t="s">
        <v>51</v>
      </c>
      <c r="D1056" t="s">
        <v>50</v>
      </c>
      <c r="E1056" s="2">
        <v>83200</v>
      </c>
      <c r="F1056" s="2"/>
      <c r="G1056" s="2"/>
      <c r="H1056" s="8" t="str">
        <f t="shared" si="32"/>
        <v/>
      </c>
      <c r="I1056" s="10" t="str">
        <f t="shared" si="33"/>
        <v/>
      </c>
      <c r="J1056" s="2"/>
      <c r="K1056" s="2"/>
      <c r="L1056" s="2"/>
    </row>
    <row r="1057" spans="1:12" ht="30" customHeight="1" x14ac:dyDescent="0.35">
      <c r="A1057" t="s">
        <v>2156</v>
      </c>
      <c r="B1057" t="s">
        <v>2157</v>
      </c>
      <c r="C1057" t="s">
        <v>19</v>
      </c>
      <c r="D1057" t="s">
        <v>18</v>
      </c>
      <c r="E1057" s="2">
        <v>73741.7</v>
      </c>
      <c r="F1057" s="2"/>
      <c r="G1057" s="2"/>
      <c r="H1057" s="8" t="str">
        <f t="shared" si="32"/>
        <v/>
      </c>
      <c r="I1057" s="10" t="str">
        <f t="shared" si="33"/>
        <v/>
      </c>
      <c r="J1057" s="2"/>
      <c r="K1057" s="2"/>
      <c r="L1057" s="2"/>
    </row>
    <row r="1058" spans="1:12" ht="30" customHeight="1" x14ac:dyDescent="0.35">
      <c r="A1058" t="s">
        <v>2158</v>
      </c>
      <c r="B1058" t="s">
        <v>2159</v>
      </c>
      <c r="C1058" t="s">
        <v>109</v>
      </c>
      <c r="D1058" t="s">
        <v>108</v>
      </c>
      <c r="E1058" s="2">
        <v>86906.33</v>
      </c>
      <c r="F1058" s="2"/>
      <c r="G1058" s="2"/>
      <c r="H1058" s="8" t="str">
        <f t="shared" si="32"/>
        <v/>
      </c>
      <c r="I1058" s="10" t="str">
        <f t="shared" si="33"/>
        <v/>
      </c>
      <c r="J1058" s="2"/>
      <c r="K1058" s="2"/>
      <c r="L1058" s="2"/>
    </row>
    <row r="1059" spans="1:12" ht="30" customHeight="1" x14ac:dyDescent="0.35">
      <c r="A1059" t="s">
        <v>2160</v>
      </c>
      <c r="B1059" t="s">
        <v>2161</v>
      </c>
      <c r="C1059" t="s">
        <v>77</v>
      </c>
      <c r="D1059" t="s">
        <v>76</v>
      </c>
      <c r="E1059" s="2">
        <v>129680.3</v>
      </c>
      <c r="F1059" s="2"/>
      <c r="G1059" s="2"/>
      <c r="H1059" s="8" t="str">
        <f t="shared" si="32"/>
        <v/>
      </c>
      <c r="I1059" s="10" t="str">
        <f t="shared" si="33"/>
        <v/>
      </c>
      <c r="J1059" s="2"/>
      <c r="K1059" s="2"/>
      <c r="L1059" s="2"/>
    </row>
    <row r="1060" spans="1:12" ht="30" customHeight="1" x14ac:dyDescent="0.35">
      <c r="A1060" t="s">
        <v>2162</v>
      </c>
      <c r="B1060" t="s">
        <v>2163</v>
      </c>
      <c r="C1060" t="s">
        <v>51</v>
      </c>
      <c r="D1060" t="s">
        <v>50</v>
      </c>
      <c r="E1060" s="2">
        <v>136295.19</v>
      </c>
      <c r="F1060" s="2">
        <v>0</v>
      </c>
      <c r="G1060" s="2">
        <v>2000</v>
      </c>
      <c r="H1060" s="8">
        <f t="shared" si="32"/>
        <v>2000</v>
      </c>
      <c r="I1060" s="10">
        <f t="shared" si="33"/>
        <v>68.147594999999995</v>
      </c>
      <c r="J1060" s="2"/>
      <c r="K1060" s="2"/>
      <c r="L1060" s="2"/>
    </row>
    <row r="1061" spans="1:12" ht="30" customHeight="1" x14ac:dyDescent="0.35">
      <c r="A1061" t="s">
        <v>2164</v>
      </c>
      <c r="B1061" t="s">
        <v>2165</v>
      </c>
      <c r="C1061" t="s">
        <v>19</v>
      </c>
      <c r="D1061" t="s">
        <v>18</v>
      </c>
      <c r="E1061" s="2">
        <v>200023.7</v>
      </c>
      <c r="F1061" s="2"/>
      <c r="G1061" s="2"/>
      <c r="H1061" s="8" t="str">
        <f t="shared" si="32"/>
        <v/>
      </c>
      <c r="I1061" s="10" t="str">
        <f t="shared" si="33"/>
        <v/>
      </c>
      <c r="J1061" s="2"/>
      <c r="K1061" s="2"/>
      <c r="L1061" s="2"/>
    </row>
    <row r="1062" spans="1:12" ht="30" customHeight="1" x14ac:dyDescent="0.35">
      <c r="A1062" t="s">
        <v>2166</v>
      </c>
      <c r="B1062" t="s">
        <v>2167</v>
      </c>
      <c r="C1062" t="s">
        <v>109</v>
      </c>
      <c r="D1062" t="s">
        <v>108</v>
      </c>
      <c r="E1062" s="2">
        <v>161808.10999999999</v>
      </c>
      <c r="F1062" s="2"/>
      <c r="G1062" s="2"/>
      <c r="H1062" s="8" t="str">
        <f t="shared" si="32"/>
        <v/>
      </c>
      <c r="I1062" s="10" t="str">
        <f t="shared" si="33"/>
        <v/>
      </c>
      <c r="J1062" s="2"/>
      <c r="K1062" s="2"/>
      <c r="L1062" s="2"/>
    </row>
    <row r="1063" spans="1:12" ht="30" customHeight="1" x14ac:dyDescent="0.35">
      <c r="A1063" t="s">
        <v>2168</v>
      </c>
      <c r="B1063" t="s">
        <v>2169</v>
      </c>
      <c r="C1063" t="s">
        <v>67</v>
      </c>
      <c r="D1063" t="s">
        <v>66</v>
      </c>
      <c r="E1063" s="2">
        <v>30751.1</v>
      </c>
      <c r="F1063" s="2"/>
      <c r="G1063" s="2"/>
      <c r="H1063" s="8" t="str">
        <f t="shared" si="32"/>
        <v/>
      </c>
      <c r="I1063" s="10" t="str">
        <f t="shared" si="33"/>
        <v/>
      </c>
      <c r="J1063" s="2"/>
      <c r="K1063" s="2"/>
      <c r="L1063" s="2"/>
    </row>
    <row r="1064" spans="1:12" ht="30" customHeight="1" x14ac:dyDescent="0.35">
      <c r="A1064" t="s">
        <v>2170</v>
      </c>
      <c r="B1064" t="s">
        <v>2171</v>
      </c>
      <c r="C1064" t="s">
        <v>109</v>
      </c>
      <c r="D1064" t="s">
        <v>108</v>
      </c>
      <c r="E1064" s="2">
        <v>974918.04</v>
      </c>
      <c r="F1064" s="2"/>
      <c r="G1064" s="2"/>
      <c r="H1064" s="8" t="str">
        <f t="shared" si="32"/>
        <v/>
      </c>
      <c r="I1064" s="10" t="str">
        <f t="shared" si="33"/>
        <v/>
      </c>
      <c r="J1064" s="2"/>
      <c r="K1064" s="2"/>
      <c r="L1064" s="2"/>
    </row>
    <row r="1065" spans="1:12" ht="30" customHeight="1" x14ac:dyDescent="0.35">
      <c r="A1065" t="s">
        <v>2172</v>
      </c>
      <c r="B1065" t="s">
        <v>2173</v>
      </c>
      <c r="C1065" t="s">
        <v>19</v>
      </c>
      <c r="D1065" t="s">
        <v>18</v>
      </c>
      <c r="E1065" s="2">
        <v>94974.78</v>
      </c>
      <c r="F1065" s="2"/>
      <c r="G1065" s="2"/>
      <c r="H1065" s="8" t="str">
        <f t="shared" si="32"/>
        <v/>
      </c>
      <c r="I1065" s="10" t="str">
        <f t="shared" si="33"/>
        <v/>
      </c>
      <c r="J1065" s="2"/>
      <c r="K1065" s="2"/>
      <c r="L1065" s="2"/>
    </row>
    <row r="1066" spans="1:12" ht="30" customHeight="1" x14ac:dyDescent="0.35">
      <c r="A1066" t="s">
        <v>2174</v>
      </c>
      <c r="B1066" t="s">
        <v>2175</v>
      </c>
      <c r="C1066" t="s">
        <v>19</v>
      </c>
      <c r="D1066" t="s">
        <v>18</v>
      </c>
      <c r="E1066" s="2">
        <v>261039.25</v>
      </c>
      <c r="F1066" s="2"/>
      <c r="G1066" s="2"/>
      <c r="H1066" s="8" t="str">
        <f t="shared" si="32"/>
        <v/>
      </c>
      <c r="I1066" s="10" t="str">
        <f t="shared" si="33"/>
        <v/>
      </c>
      <c r="J1066" s="2"/>
      <c r="K1066" s="2"/>
      <c r="L1066" s="2"/>
    </row>
    <row r="1067" spans="1:12" ht="30" customHeight="1" x14ac:dyDescent="0.35">
      <c r="A1067" t="s">
        <v>2176</v>
      </c>
      <c r="B1067" t="s">
        <v>2177</v>
      </c>
      <c r="C1067" t="s">
        <v>67</v>
      </c>
      <c r="D1067" t="s">
        <v>66</v>
      </c>
      <c r="E1067" s="2">
        <v>23850.78</v>
      </c>
      <c r="F1067" s="2"/>
      <c r="G1067" s="2"/>
      <c r="H1067" s="8" t="str">
        <f t="shared" si="32"/>
        <v/>
      </c>
      <c r="I1067" s="10" t="str">
        <f t="shared" si="33"/>
        <v/>
      </c>
      <c r="J1067" s="2"/>
      <c r="K1067" s="2"/>
      <c r="L1067" s="2"/>
    </row>
    <row r="1068" spans="1:12" ht="30" customHeight="1" x14ac:dyDescent="0.35">
      <c r="A1068" t="s">
        <v>2178</v>
      </c>
      <c r="B1068" t="s">
        <v>2179</v>
      </c>
      <c r="C1068" t="s">
        <v>19</v>
      </c>
      <c r="D1068" t="s">
        <v>18</v>
      </c>
      <c r="E1068" s="2">
        <v>104371.45</v>
      </c>
      <c r="F1068" s="2"/>
      <c r="G1068" s="2"/>
      <c r="H1068" s="8" t="str">
        <f t="shared" si="32"/>
        <v/>
      </c>
      <c r="I1068" s="10" t="str">
        <f t="shared" si="33"/>
        <v/>
      </c>
      <c r="J1068" s="2"/>
      <c r="K1068" s="2"/>
      <c r="L1068" s="2"/>
    </row>
    <row r="1069" spans="1:12" ht="30" customHeight="1" x14ac:dyDescent="0.35">
      <c r="A1069" t="s">
        <v>2180</v>
      </c>
      <c r="B1069" t="s">
        <v>2181</v>
      </c>
      <c r="C1069" t="s">
        <v>51</v>
      </c>
      <c r="D1069" t="s">
        <v>50</v>
      </c>
      <c r="E1069" s="2">
        <v>130301.36</v>
      </c>
      <c r="F1069" s="2"/>
      <c r="G1069" s="2"/>
      <c r="H1069" s="8" t="str">
        <f t="shared" si="32"/>
        <v/>
      </c>
      <c r="I1069" s="10" t="str">
        <f t="shared" si="33"/>
        <v/>
      </c>
      <c r="J1069" s="2"/>
      <c r="K1069" s="2"/>
      <c r="L1069" s="2"/>
    </row>
    <row r="1070" spans="1:12" ht="30" customHeight="1" x14ac:dyDescent="0.35">
      <c r="A1070" t="s">
        <v>2182</v>
      </c>
      <c r="B1070" t="s">
        <v>2183</v>
      </c>
      <c r="C1070" t="s">
        <v>57</v>
      </c>
      <c r="D1070" t="s">
        <v>56</v>
      </c>
      <c r="E1070" s="2">
        <v>173206.89</v>
      </c>
      <c r="F1070" s="2"/>
      <c r="G1070" s="2"/>
      <c r="H1070" s="8" t="str">
        <f t="shared" si="32"/>
        <v/>
      </c>
      <c r="I1070" s="10" t="str">
        <f t="shared" si="33"/>
        <v/>
      </c>
      <c r="J1070" s="2"/>
      <c r="K1070" s="2"/>
      <c r="L1070" s="2"/>
    </row>
    <row r="1071" spans="1:12" ht="30" customHeight="1" x14ac:dyDescent="0.35">
      <c r="A1071" t="s">
        <v>2184</v>
      </c>
      <c r="B1071" t="s">
        <v>2185</v>
      </c>
      <c r="C1071" t="s">
        <v>29</v>
      </c>
      <c r="D1071" t="s">
        <v>28</v>
      </c>
      <c r="E1071" s="2">
        <v>113962.45</v>
      </c>
      <c r="F1071" s="2"/>
      <c r="G1071" s="2"/>
      <c r="H1071" s="8" t="str">
        <f t="shared" si="32"/>
        <v/>
      </c>
      <c r="I1071" s="10" t="str">
        <f t="shared" si="33"/>
        <v/>
      </c>
      <c r="J1071" s="2"/>
      <c r="K1071" s="2"/>
      <c r="L1071" s="2"/>
    </row>
    <row r="1072" spans="1:12" ht="30" customHeight="1" x14ac:dyDescent="0.35">
      <c r="A1072" t="s">
        <v>2186</v>
      </c>
      <c r="B1072" t="s">
        <v>2187</v>
      </c>
      <c r="C1072" t="s">
        <v>57</v>
      </c>
      <c r="D1072" t="s">
        <v>56</v>
      </c>
      <c r="E1072" s="2">
        <v>118472.21</v>
      </c>
      <c r="F1072" s="2"/>
      <c r="G1072" s="2"/>
      <c r="H1072" s="8" t="str">
        <f t="shared" si="32"/>
        <v/>
      </c>
      <c r="I1072" s="10" t="str">
        <f t="shared" si="33"/>
        <v/>
      </c>
      <c r="J1072" s="2"/>
      <c r="K1072" s="2"/>
      <c r="L1072" s="2"/>
    </row>
    <row r="1073" spans="1:12" ht="30" customHeight="1" x14ac:dyDescent="0.35">
      <c r="A1073" t="s">
        <v>2188</v>
      </c>
      <c r="B1073" t="s">
        <v>2189</v>
      </c>
      <c r="C1073" t="s">
        <v>57</v>
      </c>
      <c r="D1073" t="s">
        <v>56</v>
      </c>
      <c r="E1073" s="2">
        <v>22909.05</v>
      </c>
      <c r="F1073" s="2"/>
      <c r="G1073" s="2"/>
      <c r="H1073" s="8" t="str">
        <f t="shared" si="32"/>
        <v/>
      </c>
      <c r="I1073" s="10" t="str">
        <f t="shared" si="33"/>
        <v/>
      </c>
      <c r="J1073" s="2"/>
      <c r="K1073" s="2"/>
      <c r="L1073" s="2"/>
    </row>
    <row r="1074" spans="1:12" ht="30" customHeight="1" x14ac:dyDescent="0.35">
      <c r="A1074" t="s">
        <v>2190</v>
      </c>
      <c r="B1074" t="s">
        <v>2191</v>
      </c>
      <c r="C1074" t="s">
        <v>109</v>
      </c>
      <c r="D1074" t="s">
        <v>108</v>
      </c>
      <c r="E1074" s="2">
        <v>200787.58</v>
      </c>
      <c r="F1074" s="2"/>
      <c r="G1074" s="2"/>
      <c r="H1074" s="8" t="str">
        <f t="shared" ref="H1074:H1085" si="34">IF(ISBLANK(F1074), "",(F1074+G1074))</f>
        <v/>
      </c>
      <c r="I1074" s="10" t="str">
        <f t="shared" ref="I1074:I1085" si="35">IF(ISBLANK(F1074), "", E1074/H1074)</f>
        <v/>
      </c>
      <c r="J1074" s="2"/>
      <c r="K1074" s="2"/>
      <c r="L1074" s="2"/>
    </row>
    <row r="1075" spans="1:12" ht="30" customHeight="1" x14ac:dyDescent="0.35">
      <c r="A1075" t="s">
        <v>2192</v>
      </c>
      <c r="B1075" t="s">
        <v>2193</v>
      </c>
      <c r="C1075" t="s">
        <v>19</v>
      </c>
      <c r="D1075" t="s">
        <v>18</v>
      </c>
      <c r="E1075" s="2">
        <v>47990.37</v>
      </c>
      <c r="F1075" s="2">
        <v>227329.86</v>
      </c>
      <c r="G1075" s="2"/>
      <c r="H1075" s="8">
        <f t="shared" si="34"/>
        <v>227329.86</v>
      </c>
      <c r="I1075" s="10">
        <f t="shared" si="35"/>
        <v>0.21110455969136657</v>
      </c>
      <c r="J1075" s="2"/>
      <c r="K1075" s="2"/>
      <c r="L1075" s="2"/>
    </row>
    <row r="1076" spans="1:12" ht="30" customHeight="1" x14ac:dyDescent="0.35">
      <c r="A1076" t="s">
        <v>2194</v>
      </c>
      <c r="B1076" t="s">
        <v>2195</v>
      </c>
      <c r="C1076" t="s">
        <v>313</v>
      </c>
      <c r="D1076" t="s">
        <v>312</v>
      </c>
      <c r="E1076" s="2">
        <v>45915.07</v>
      </c>
      <c r="F1076" s="2"/>
      <c r="G1076" s="2"/>
      <c r="H1076" s="8" t="str">
        <f t="shared" si="34"/>
        <v/>
      </c>
      <c r="I1076" s="10" t="str">
        <f t="shared" si="35"/>
        <v/>
      </c>
      <c r="J1076" s="2"/>
      <c r="K1076" s="2"/>
      <c r="L1076" s="2"/>
    </row>
    <row r="1077" spans="1:12" ht="30" customHeight="1" x14ac:dyDescent="0.35">
      <c r="A1077" t="s">
        <v>2196</v>
      </c>
      <c r="B1077" t="s">
        <v>2197</v>
      </c>
      <c r="C1077" t="s">
        <v>77</v>
      </c>
      <c r="D1077" t="s">
        <v>76</v>
      </c>
      <c r="E1077" s="2">
        <v>248836.22</v>
      </c>
      <c r="F1077" s="2"/>
      <c r="G1077" s="2"/>
      <c r="H1077" s="8" t="str">
        <f t="shared" si="34"/>
        <v/>
      </c>
      <c r="I1077" s="10" t="str">
        <f t="shared" si="35"/>
        <v/>
      </c>
    </row>
    <row r="1078" spans="1:12" ht="30" customHeight="1" x14ac:dyDescent="0.35">
      <c r="A1078" t="s">
        <v>2198</v>
      </c>
      <c r="B1078" t="s">
        <v>2199</v>
      </c>
      <c r="C1078" t="s">
        <v>51</v>
      </c>
      <c r="D1078" t="s">
        <v>50</v>
      </c>
      <c r="E1078" s="2">
        <v>6697.78</v>
      </c>
      <c r="F1078" s="2"/>
      <c r="G1078" s="2"/>
      <c r="H1078" s="8" t="str">
        <f t="shared" si="34"/>
        <v/>
      </c>
      <c r="I1078" s="10" t="str">
        <f t="shared" si="35"/>
        <v/>
      </c>
    </row>
    <row r="1079" spans="1:12" ht="30" customHeight="1" x14ac:dyDescent="0.35">
      <c r="A1079" t="s">
        <v>2200</v>
      </c>
      <c r="B1079" t="s">
        <v>2201</v>
      </c>
      <c r="C1079" t="s">
        <v>51</v>
      </c>
      <c r="D1079" t="s">
        <v>50</v>
      </c>
      <c r="E1079" s="2">
        <v>90004.31</v>
      </c>
      <c r="F1079" s="2"/>
      <c r="G1079" s="2"/>
      <c r="H1079" s="8" t="str">
        <f t="shared" si="34"/>
        <v/>
      </c>
      <c r="I1079" s="10" t="str">
        <f t="shared" si="35"/>
        <v/>
      </c>
    </row>
    <row r="1080" spans="1:12" ht="30" customHeight="1" x14ac:dyDescent="0.35">
      <c r="A1080" t="s">
        <v>2202</v>
      </c>
      <c r="B1080" t="s">
        <v>2203</v>
      </c>
      <c r="C1080" t="s">
        <v>67</v>
      </c>
      <c r="D1080" t="s">
        <v>66</v>
      </c>
      <c r="E1080" s="2">
        <v>16702.95</v>
      </c>
      <c r="F1080" s="2"/>
      <c r="G1080" s="2"/>
      <c r="H1080" s="8" t="str">
        <f t="shared" si="34"/>
        <v/>
      </c>
      <c r="I1080" s="10" t="str">
        <f t="shared" si="35"/>
        <v/>
      </c>
    </row>
    <row r="1081" spans="1:12" ht="30" customHeight="1" x14ac:dyDescent="0.35">
      <c r="A1081" t="s">
        <v>2204</v>
      </c>
      <c r="B1081" t="s">
        <v>2205</v>
      </c>
      <c r="C1081" t="s">
        <v>57</v>
      </c>
      <c r="D1081" t="s">
        <v>56</v>
      </c>
      <c r="E1081" s="2">
        <v>76118.17</v>
      </c>
      <c r="F1081" s="2"/>
      <c r="G1081" s="2"/>
      <c r="H1081" s="8" t="str">
        <f t="shared" si="34"/>
        <v/>
      </c>
      <c r="I1081" s="10" t="str">
        <f t="shared" si="35"/>
        <v/>
      </c>
    </row>
    <row r="1082" spans="1:12" ht="30" customHeight="1" x14ac:dyDescent="0.35">
      <c r="A1082" t="s">
        <v>2206</v>
      </c>
      <c r="B1082" t="s">
        <v>2207</v>
      </c>
      <c r="C1082" t="s">
        <v>109</v>
      </c>
      <c r="D1082" t="s">
        <v>108</v>
      </c>
      <c r="E1082" s="2">
        <v>59448.73</v>
      </c>
      <c r="F1082" s="2"/>
      <c r="G1082" s="2"/>
      <c r="H1082" s="8" t="str">
        <f t="shared" si="34"/>
        <v/>
      </c>
      <c r="I1082" s="10" t="str">
        <f t="shared" si="35"/>
        <v/>
      </c>
    </row>
    <row r="1083" spans="1:12" ht="30" customHeight="1" x14ac:dyDescent="0.35">
      <c r="A1083" t="s">
        <v>2208</v>
      </c>
      <c r="B1083" t="s">
        <v>2209</v>
      </c>
      <c r="C1083" t="s">
        <v>67</v>
      </c>
      <c r="D1083" t="s">
        <v>66</v>
      </c>
      <c r="E1083" s="2">
        <v>93212.1</v>
      </c>
      <c r="F1083" s="2"/>
      <c r="G1083" s="2"/>
      <c r="H1083" s="8" t="str">
        <f t="shared" si="34"/>
        <v/>
      </c>
      <c r="I1083" s="10" t="str">
        <f t="shared" si="35"/>
        <v/>
      </c>
    </row>
    <row r="1084" spans="1:12" ht="30" customHeight="1" x14ac:dyDescent="0.35">
      <c r="A1084" t="s">
        <v>2210</v>
      </c>
      <c r="B1084" t="s">
        <v>2211</v>
      </c>
      <c r="C1084" t="s">
        <v>77</v>
      </c>
      <c r="D1084" t="s">
        <v>76</v>
      </c>
      <c r="E1084" s="2">
        <v>233391.48</v>
      </c>
      <c r="F1084" s="2"/>
      <c r="G1084" s="2"/>
      <c r="H1084" s="8" t="str">
        <f t="shared" si="34"/>
        <v/>
      </c>
      <c r="I1084" s="10" t="str">
        <f t="shared" si="35"/>
        <v/>
      </c>
    </row>
    <row r="1085" spans="1:12" ht="30" customHeight="1" x14ac:dyDescent="0.35">
      <c r="A1085" t="s">
        <v>2389</v>
      </c>
      <c r="E1085" s="2">
        <f>SUM(E2:E1084)</f>
        <v>493909825.99999934</v>
      </c>
      <c r="F1085" s="2">
        <f t="shared" ref="F1085:G1085" si="36">SUM(F2:F1084)</f>
        <v>542715587.58999932</v>
      </c>
      <c r="G1085" s="2">
        <f t="shared" si="36"/>
        <v>109862655.77999994</v>
      </c>
      <c r="H1085" s="8">
        <f t="shared" si="34"/>
        <v>652578243.36999929</v>
      </c>
      <c r="I1085" s="10">
        <f t="shared" si="35"/>
        <v>0.75685916749137161</v>
      </c>
    </row>
    <row r="1086" spans="1:12" ht="30" customHeight="1" x14ac:dyDescent="0.35">
      <c r="E1086" s="2"/>
      <c r="F1086" s="2"/>
      <c r="G1086" s="2"/>
    </row>
    <row r="1087" spans="1:12" ht="30" customHeight="1" x14ac:dyDescent="0.35">
      <c r="E1087" s="2"/>
      <c r="F1087" s="2"/>
      <c r="G1087" s="2"/>
    </row>
    <row r="1088" spans="1:12" ht="30" customHeight="1" x14ac:dyDescent="0.35">
      <c r="E1088" s="2"/>
      <c r="F1088" s="2"/>
      <c r="G1088" s="2"/>
    </row>
    <row r="1089" spans="5:7" ht="30" customHeight="1" x14ac:dyDescent="0.35">
      <c r="E1089" s="2"/>
      <c r="F1089" s="2"/>
      <c r="G1089" s="2"/>
    </row>
    <row r="1090" spans="5:7" ht="30" customHeight="1" x14ac:dyDescent="0.35">
      <c r="E1090" s="2"/>
      <c r="F1090" s="2"/>
      <c r="G1090" s="2"/>
    </row>
    <row r="1091" spans="5:7" ht="30" customHeight="1" x14ac:dyDescent="0.35">
      <c r="E1091" s="2"/>
      <c r="F1091" s="2"/>
      <c r="G1091" s="2"/>
    </row>
    <row r="1092" spans="5:7" ht="30" customHeight="1" x14ac:dyDescent="0.35">
      <c r="E1092" s="2"/>
      <c r="F1092" s="2"/>
      <c r="G1092" s="2"/>
    </row>
    <row r="1093" spans="5:7" ht="30" customHeight="1" x14ac:dyDescent="0.35">
      <c r="E1093" s="2"/>
      <c r="F1093" s="2"/>
      <c r="G1093" s="2"/>
    </row>
    <row r="1094" spans="5:7" ht="30" customHeight="1" x14ac:dyDescent="0.35">
      <c r="E1094" s="2"/>
      <c r="F1094" s="2"/>
      <c r="G1094" s="2"/>
    </row>
    <row r="1095" spans="5:7" ht="30" customHeight="1" x14ac:dyDescent="0.35">
      <c r="E1095" s="2"/>
      <c r="F1095" s="2"/>
      <c r="G1095" s="2"/>
    </row>
    <row r="1096" spans="5:7" ht="30" customHeight="1" x14ac:dyDescent="0.35">
      <c r="E1096" s="2"/>
      <c r="F1096" s="2"/>
      <c r="G1096" s="2"/>
    </row>
    <row r="1097" spans="5:7" ht="30" customHeight="1" x14ac:dyDescent="0.35">
      <c r="E1097" s="2"/>
      <c r="F1097" s="2"/>
      <c r="G1097" s="2"/>
    </row>
    <row r="1098" spans="5:7" ht="30" customHeight="1" x14ac:dyDescent="0.35">
      <c r="E1098" s="2"/>
      <c r="F1098" s="2"/>
      <c r="G1098" s="2"/>
    </row>
    <row r="1099" spans="5:7" ht="30" customHeight="1" x14ac:dyDescent="0.35">
      <c r="E1099" s="2"/>
      <c r="F1099" s="2"/>
      <c r="G1099" s="2"/>
    </row>
    <row r="1100" spans="5:7" ht="30" customHeight="1" x14ac:dyDescent="0.35">
      <c r="E1100" s="2"/>
      <c r="F1100" s="2"/>
      <c r="G1100" s="2"/>
    </row>
    <row r="1101" spans="5:7" ht="30" customHeight="1" x14ac:dyDescent="0.35">
      <c r="E1101" s="2"/>
      <c r="F1101" s="2"/>
      <c r="G1101" s="2"/>
    </row>
    <row r="1102" spans="5:7" ht="30" customHeight="1" x14ac:dyDescent="0.35">
      <c r="E1102" s="2"/>
      <c r="F1102" s="2"/>
      <c r="G1102" s="2"/>
    </row>
    <row r="1103" spans="5:7" ht="30" customHeight="1" x14ac:dyDescent="0.35">
      <c r="E1103" s="2"/>
      <c r="F1103" s="2"/>
      <c r="G1103" s="2"/>
    </row>
    <row r="1104" spans="5:7" ht="30" customHeight="1" x14ac:dyDescent="0.35">
      <c r="E1104" s="2"/>
      <c r="F1104" s="2"/>
      <c r="G1104" s="2"/>
    </row>
    <row r="1105" spans="5:7" ht="30" customHeight="1" x14ac:dyDescent="0.35">
      <c r="E1105" s="2"/>
      <c r="F1105" s="2"/>
      <c r="G1105" s="2"/>
    </row>
    <row r="1106" spans="5:7" ht="30" customHeight="1" x14ac:dyDescent="0.35">
      <c r="E1106" s="2"/>
      <c r="F1106" s="2"/>
      <c r="G1106" s="2"/>
    </row>
    <row r="1107" spans="5:7" ht="30" customHeight="1" x14ac:dyDescent="0.35">
      <c r="E1107" s="2"/>
      <c r="F1107" s="2"/>
      <c r="G1107" s="2"/>
    </row>
    <row r="1108" spans="5:7" ht="30" customHeight="1" x14ac:dyDescent="0.35">
      <c r="E1108" s="2"/>
      <c r="F1108" s="2"/>
      <c r="G1108" s="2"/>
    </row>
    <row r="1109" spans="5:7" ht="30" customHeight="1" x14ac:dyDescent="0.35">
      <c r="E1109" s="2"/>
      <c r="F1109" s="2"/>
      <c r="G1109" s="2"/>
    </row>
    <row r="1110" spans="5:7" ht="30" customHeight="1" x14ac:dyDescent="0.35">
      <c r="E1110" s="2"/>
      <c r="F1110" s="2"/>
      <c r="G1110" s="2"/>
    </row>
    <row r="1111" spans="5:7" ht="30" customHeight="1" x14ac:dyDescent="0.35">
      <c r="E1111" s="2"/>
      <c r="F1111" s="2"/>
      <c r="G1111" s="2"/>
    </row>
    <row r="1112" spans="5:7" ht="30" customHeight="1" x14ac:dyDescent="0.35">
      <c r="E1112" s="2"/>
      <c r="F1112" s="2"/>
      <c r="G1112" s="2"/>
    </row>
    <row r="1113" spans="5:7" ht="30" customHeight="1" x14ac:dyDescent="0.35">
      <c r="E1113" s="2"/>
      <c r="F1113" s="2"/>
      <c r="G1113" s="2"/>
    </row>
    <row r="1114" spans="5:7" ht="30" customHeight="1" x14ac:dyDescent="0.35">
      <c r="E1114" s="2"/>
      <c r="F1114" s="2"/>
      <c r="G1114" s="2"/>
    </row>
    <row r="1115" spans="5:7" ht="30" customHeight="1" x14ac:dyDescent="0.35">
      <c r="E1115" s="2"/>
      <c r="F1115" s="2"/>
      <c r="G1115" s="2"/>
    </row>
    <row r="1116" spans="5:7" ht="30" customHeight="1" x14ac:dyDescent="0.35">
      <c r="E1116" s="2"/>
      <c r="F1116" s="2"/>
      <c r="G1116" s="2"/>
    </row>
    <row r="1117" spans="5:7" ht="30" customHeight="1" x14ac:dyDescent="0.35">
      <c r="E1117" s="2"/>
      <c r="F1117" s="2"/>
      <c r="G1117" s="2"/>
    </row>
    <row r="1118" spans="5:7" ht="30" customHeight="1" x14ac:dyDescent="0.35">
      <c r="E1118" s="2"/>
      <c r="F1118" s="2"/>
      <c r="G1118" s="2"/>
    </row>
    <row r="1119" spans="5:7" ht="30" customHeight="1" x14ac:dyDescent="0.35">
      <c r="E1119" s="2"/>
      <c r="F1119" s="2"/>
      <c r="G1119" s="2"/>
    </row>
    <row r="1120" spans="5:7" ht="30" customHeight="1" x14ac:dyDescent="0.35">
      <c r="E1120" s="2"/>
      <c r="F1120" s="2"/>
      <c r="G1120" s="2"/>
    </row>
    <row r="1121" spans="5:7" ht="30" customHeight="1" x14ac:dyDescent="0.35">
      <c r="E1121" s="2"/>
      <c r="F1121" s="2"/>
      <c r="G1121" s="2"/>
    </row>
    <row r="1122" spans="5:7" ht="30" customHeight="1" x14ac:dyDescent="0.35">
      <c r="E1122" s="2"/>
      <c r="F1122" s="2"/>
      <c r="G1122" s="2"/>
    </row>
    <row r="1123" spans="5:7" ht="30" customHeight="1" x14ac:dyDescent="0.35">
      <c r="E1123" s="2"/>
      <c r="F1123" s="2"/>
      <c r="G1123" s="2"/>
    </row>
    <row r="1124" spans="5:7" ht="30" customHeight="1" x14ac:dyDescent="0.35">
      <c r="E1124" s="2"/>
      <c r="F1124" s="2"/>
      <c r="G1124" s="2"/>
    </row>
    <row r="1125" spans="5:7" ht="30" customHeight="1" x14ac:dyDescent="0.35">
      <c r="E1125" s="2"/>
      <c r="F1125" s="2"/>
      <c r="G1125" s="2"/>
    </row>
    <row r="1126" spans="5:7" ht="30" customHeight="1" x14ac:dyDescent="0.35">
      <c r="E1126" s="2"/>
      <c r="F1126" s="2"/>
      <c r="G1126" s="2"/>
    </row>
    <row r="1127" spans="5:7" ht="30" customHeight="1" x14ac:dyDescent="0.35">
      <c r="E1127" s="2"/>
      <c r="F1127" s="2"/>
      <c r="G1127" s="2"/>
    </row>
    <row r="1128" spans="5:7" ht="30" customHeight="1" x14ac:dyDescent="0.35">
      <c r="E1128" s="2"/>
      <c r="F1128" s="2"/>
      <c r="G1128" s="2"/>
    </row>
    <row r="1129" spans="5:7" ht="30" customHeight="1" x14ac:dyDescent="0.35">
      <c r="E1129" s="2"/>
      <c r="F1129" s="2"/>
      <c r="G1129" s="2"/>
    </row>
    <row r="1130" spans="5:7" ht="30" customHeight="1" x14ac:dyDescent="0.35">
      <c r="E1130" s="2"/>
      <c r="F1130" s="2"/>
      <c r="G1130" s="2"/>
    </row>
    <row r="1131" spans="5:7" ht="30" customHeight="1" x14ac:dyDescent="0.35">
      <c r="E1131" s="2"/>
      <c r="F1131" s="2"/>
      <c r="G1131" s="2"/>
    </row>
    <row r="1132" spans="5:7" ht="30" customHeight="1" x14ac:dyDescent="0.35">
      <c r="E1132" s="2"/>
      <c r="F1132" s="2"/>
      <c r="G1132" s="2"/>
    </row>
    <row r="1133" spans="5:7" ht="30" customHeight="1" x14ac:dyDescent="0.35">
      <c r="E1133" s="2"/>
      <c r="F1133" s="2"/>
      <c r="G1133" s="2"/>
    </row>
    <row r="1134" spans="5:7" ht="30" customHeight="1" x14ac:dyDescent="0.35">
      <c r="E1134" s="2"/>
      <c r="F1134" s="2"/>
      <c r="G1134" s="2"/>
    </row>
    <row r="1135" spans="5:7" ht="30" customHeight="1" x14ac:dyDescent="0.35">
      <c r="E1135" s="2"/>
      <c r="F1135" s="2"/>
      <c r="G1135" s="2"/>
    </row>
    <row r="1136" spans="5:7" ht="30" customHeight="1" x14ac:dyDescent="0.35">
      <c r="E1136" s="2"/>
      <c r="F1136" s="2"/>
      <c r="G1136" s="2"/>
    </row>
    <row r="1137" spans="5:7" ht="30" customHeight="1" x14ac:dyDescent="0.35">
      <c r="E1137" s="2"/>
      <c r="F1137" s="2"/>
      <c r="G1137" s="2"/>
    </row>
    <row r="1138" spans="5:7" ht="30" customHeight="1" x14ac:dyDescent="0.35">
      <c r="E1138" s="2"/>
      <c r="F1138" s="2"/>
      <c r="G1138" s="2"/>
    </row>
    <row r="1139" spans="5:7" ht="30" customHeight="1" x14ac:dyDescent="0.35">
      <c r="E1139" s="2"/>
      <c r="F1139" s="2"/>
      <c r="G1139" s="2"/>
    </row>
    <row r="1140" spans="5:7" ht="30" customHeight="1" x14ac:dyDescent="0.35">
      <c r="E1140" s="2"/>
      <c r="F1140" s="2"/>
      <c r="G1140" s="2"/>
    </row>
    <row r="1141" spans="5:7" ht="30" customHeight="1" x14ac:dyDescent="0.35">
      <c r="E1141" s="2"/>
      <c r="F1141" s="2"/>
      <c r="G1141" s="2"/>
    </row>
    <row r="1142" spans="5:7" ht="30" customHeight="1" x14ac:dyDescent="0.35">
      <c r="E1142" s="2"/>
      <c r="F1142" s="2"/>
      <c r="G1142" s="2"/>
    </row>
    <row r="1143" spans="5:7" ht="30" customHeight="1" x14ac:dyDescent="0.35">
      <c r="E1143" s="2"/>
      <c r="F1143" s="2"/>
      <c r="G1143" s="2"/>
    </row>
    <row r="1144" spans="5:7" ht="30" customHeight="1" x14ac:dyDescent="0.35">
      <c r="E1144" s="2"/>
      <c r="F1144" s="2"/>
      <c r="G1144" s="2"/>
    </row>
    <row r="1145" spans="5:7" ht="30" customHeight="1" x14ac:dyDescent="0.35">
      <c r="E1145" s="2"/>
      <c r="F1145" s="2"/>
      <c r="G1145" s="2"/>
    </row>
    <row r="1146" spans="5:7" ht="30" customHeight="1" x14ac:dyDescent="0.35">
      <c r="E1146" s="2"/>
      <c r="F1146" s="2"/>
      <c r="G1146" s="2"/>
    </row>
    <row r="1147" spans="5:7" ht="30" customHeight="1" x14ac:dyDescent="0.35">
      <c r="E1147" s="2"/>
      <c r="F1147" s="2"/>
      <c r="G1147" s="2"/>
    </row>
    <row r="1148" spans="5:7" ht="30" customHeight="1" x14ac:dyDescent="0.35">
      <c r="E1148" s="2"/>
      <c r="F1148" s="2"/>
      <c r="G1148" s="2"/>
    </row>
    <row r="1149" spans="5:7" ht="30" customHeight="1" x14ac:dyDescent="0.35">
      <c r="E1149" s="2"/>
      <c r="F1149" s="2"/>
      <c r="G1149" s="2"/>
    </row>
    <row r="1150" spans="5:7" ht="30" customHeight="1" x14ac:dyDescent="0.35">
      <c r="E1150" s="2"/>
      <c r="F1150" s="2"/>
      <c r="G1150" s="2"/>
    </row>
    <row r="1151" spans="5:7" ht="30" customHeight="1" x14ac:dyDescent="0.35">
      <c r="E1151" s="2"/>
      <c r="F1151" s="2"/>
      <c r="G1151" s="2"/>
    </row>
    <row r="1152" spans="5:7" ht="30" customHeight="1" x14ac:dyDescent="0.35">
      <c r="E1152" s="2"/>
      <c r="F1152" s="2"/>
      <c r="G1152" s="2"/>
    </row>
    <row r="1153" spans="5:7" ht="30" customHeight="1" x14ac:dyDescent="0.35">
      <c r="E1153" s="2"/>
      <c r="F1153" s="2"/>
      <c r="G1153" s="2"/>
    </row>
    <row r="1154" spans="5:7" ht="30" customHeight="1" x14ac:dyDescent="0.35">
      <c r="E1154" s="2"/>
      <c r="F1154" s="2"/>
      <c r="G1154" s="2"/>
    </row>
    <row r="1155" spans="5:7" ht="30" customHeight="1" x14ac:dyDescent="0.35">
      <c r="E1155" s="2"/>
      <c r="F1155" s="2"/>
      <c r="G1155" s="2"/>
    </row>
    <row r="1156" spans="5:7" ht="30" customHeight="1" x14ac:dyDescent="0.35">
      <c r="E1156" s="2"/>
      <c r="F1156" s="2"/>
      <c r="G1156" s="2"/>
    </row>
    <row r="1157" spans="5:7" ht="30" customHeight="1" x14ac:dyDescent="0.35">
      <c r="E1157" s="2"/>
      <c r="F1157" s="2"/>
      <c r="G1157" s="2"/>
    </row>
    <row r="1158" spans="5:7" ht="30" customHeight="1" x14ac:dyDescent="0.35">
      <c r="E1158" s="2"/>
      <c r="F1158" s="2"/>
      <c r="G1158" s="2"/>
    </row>
    <row r="1159" spans="5:7" ht="30" customHeight="1" x14ac:dyDescent="0.35">
      <c r="E1159" s="2"/>
      <c r="F1159" s="2"/>
      <c r="G1159" s="2"/>
    </row>
    <row r="1160" spans="5:7" ht="30" customHeight="1" x14ac:dyDescent="0.35">
      <c r="E1160" s="2"/>
      <c r="F1160" s="2"/>
      <c r="G1160" s="2"/>
    </row>
    <row r="1161" spans="5:7" ht="30" customHeight="1" x14ac:dyDescent="0.35">
      <c r="E1161" s="2"/>
      <c r="F1161" s="2"/>
      <c r="G1161" s="2"/>
    </row>
    <row r="1162" spans="5:7" ht="30" customHeight="1" x14ac:dyDescent="0.35">
      <c r="E1162" s="2"/>
      <c r="F1162" s="2"/>
      <c r="G1162" s="2"/>
    </row>
    <row r="1163" spans="5:7" ht="30" customHeight="1" x14ac:dyDescent="0.35">
      <c r="E1163" s="2"/>
      <c r="F1163" s="2"/>
      <c r="G1163" s="2"/>
    </row>
    <row r="1164" spans="5:7" ht="30" customHeight="1" x14ac:dyDescent="0.35">
      <c r="E1164" s="2"/>
      <c r="F1164" s="2"/>
      <c r="G1164" s="2"/>
    </row>
    <row r="1165" spans="5:7" ht="30" customHeight="1" x14ac:dyDescent="0.35">
      <c r="E1165" s="2"/>
      <c r="F1165" s="2"/>
      <c r="G1165" s="2"/>
    </row>
    <row r="1166" spans="5:7" ht="30" customHeight="1" x14ac:dyDescent="0.35">
      <c r="E1166" s="2"/>
      <c r="F1166" s="2"/>
      <c r="G1166" s="2"/>
    </row>
    <row r="1167" spans="5:7" ht="30" customHeight="1" x14ac:dyDescent="0.35">
      <c r="E1167" s="2"/>
      <c r="F1167" s="2"/>
      <c r="G1167" s="2"/>
    </row>
    <row r="1168" spans="5:7" ht="30" customHeight="1" x14ac:dyDescent="0.35">
      <c r="E1168" s="2"/>
      <c r="F1168" s="2"/>
      <c r="G1168" s="2"/>
    </row>
    <row r="1169" spans="5:7" ht="30" customHeight="1" x14ac:dyDescent="0.35">
      <c r="E1169" s="2"/>
      <c r="F1169" s="2"/>
      <c r="G1169" s="2"/>
    </row>
    <row r="1170" spans="5:7" ht="30" customHeight="1" x14ac:dyDescent="0.35">
      <c r="E1170" s="2"/>
      <c r="F1170" s="2"/>
      <c r="G1170" s="2"/>
    </row>
    <row r="1171" spans="5:7" ht="30" customHeight="1" x14ac:dyDescent="0.35">
      <c r="E1171" s="2"/>
      <c r="F1171" s="2"/>
      <c r="G1171" s="2"/>
    </row>
    <row r="1172" spans="5:7" ht="30" customHeight="1" x14ac:dyDescent="0.35">
      <c r="E1172" s="2"/>
      <c r="F1172" s="2"/>
      <c r="G1172" s="2"/>
    </row>
    <row r="1173" spans="5:7" ht="30" customHeight="1" x14ac:dyDescent="0.35">
      <c r="E1173" s="2"/>
      <c r="F1173" s="2"/>
      <c r="G1173" s="2"/>
    </row>
    <row r="1174" spans="5:7" ht="30" customHeight="1" x14ac:dyDescent="0.35">
      <c r="E1174" s="2"/>
      <c r="F1174" s="2"/>
      <c r="G1174" s="2"/>
    </row>
    <row r="1175" spans="5:7" ht="30" customHeight="1" x14ac:dyDescent="0.35">
      <c r="E1175" s="2"/>
      <c r="F1175" s="2"/>
      <c r="G1175" s="2"/>
    </row>
    <row r="1176" spans="5:7" ht="30" customHeight="1" x14ac:dyDescent="0.35">
      <c r="E1176" s="2"/>
      <c r="F1176" s="2"/>
      <c r="G1176" s="2"/>
    </row>
    <row r="1177" spans="5:7" ht="30" customHeight="1" x14ac:dyDescent="0.35">
      <c r="E1177" s="2"/>
      <c r="F1177" s="2"/>
      <c r="G1177" s="2"/>
    </row>
    <row r="1178" spans="5:7" ht="30" customHeight="1" x14ac:dyDescent="0.35">
      <c r="E1178" s="2"/>
      <c r="F1178" s="2"/>
      <c r="G1178" s="2"/>
    </row>
    <row r="1179" spans="5:7" ht="30" customHeight="1" x14ac:dyDescent="0.35">
      <c r="E1179" s="2"/>
      <c r="F1179" s="2"/>
      <c r="G1179" s="2"/>
    </row>
    <row r="1180" spans="5:7" ht="30" customHeight="1" x14ac:dyDescent="0.35">
      <c r="E1180" s="2"/>
      <c r="F1180" s="2"/>
      <c r="G1180" s="2"/>
    </row>
    <row r="1181" spans="5:7" ht="30" customHeight="1" x14ac:dyDescent="0.35">
      <c r="E1181" s="2"/>
      <c r="F1181" s="2"/>
      <c r="G1181" s="2"/>
    </row>
    <row r="1182" spans="5:7" ht="30" customHeight="1" x14ac:dyDescent="0.35">
      <c r="E1182" s="2"/>
      <c r="F1182" s="2"/>
      <c r="G1182" s="2"/>
    </row>
    <row r="1183" spans="5:7" ht="30" customHeight="1" x14ac:dyDescent="0.35">
      <c r="E1183" s="2"/>
      <c r="F1183" s="2"/>
      <c r="G1183" s="2"/>
    </row>
    <row r="1184" spans="5:7" ht="30" customHeight="1" x14ac:dyDescent="0.35">
      <c r="E1184" s="2"/>
      <c r="F1184" s="2"/>
      <c r="G1184" s="2"/>
    </row>
    <row r="1185" spans="5:7" ht="30" customHeight="1" x14ac:dyDescent="0.35">
      <c r="E1185" s="2"/>
      <c r="F1185" s="2"/>
      <c r="G1185" s="2"/>
    </row>
    <row r="1186" spans="5:7" ht="30" customHeight="1" x14ac:dyDescent="0.35">
      <c r="E1186" s="2"/>
      <c r="F1186" s="2"/>
      <c r="G1186" s="2"/>
    </row>
    <row r="1187" spans="5:7" ht="30" customHeight="1" x14ac:dyDescent="0.35">
      <c r="E1187" s="2"/>
      <c r="F1187" s="2"/>
      <c r="G1187" s="2"/>
    </row>
    <row r="1188" spans="5:7" ht="30" customHeight="1" x14ac:dyDescent="0.35">
      <c r="E1188" s="2"/>
      <c r="F1188" s="2"/>
      <c r="G1188" s="2"/>
    </row>
    <row r="1189" spans="5:7" ht="30" customHeight="1" x14ac:dyDescent="0.35">
      <c r="E1189" s="2"/>
      <c r="F1189" s="2"/>
      <c r="G1189" s="2"/>
    </row>
    <row r="1190" spans="5:7" ht="30" customHeight="1" x14ac:dyDescent="0.35">
      <c r="E1190" s="2"/>
      <c r="F1190" s="2"/>
      <c r="G1190" s="2"/>
    </row>
    <row r="1191" spans="5:7" ht="30" customHeight="1" x14ac:dyDescent="0.35">
      <c r="E1191" s="2"/>
      <c r="F1191" s="2"/>
      <c r="G1191" s="2"/>
    </row>
    <row r="1192" spans="5:7" ht="30" customHeight="1" x14ac:dyDescent="0.35">
      <c r="E1192" s="2"/>
      <c r="F1192" s="2"/>
      <c r="G1192" s="2"/>
    </row>
    <row r="1193" spans="5:7" ht="30" customHeight="1" x14ac:dyDescent="0.35">
      <c r="E1193" s="2"/>
      <c r="F1193" s="2"/>
      <c r="G1193" s="2"/>
    </row>
    <row r="1194" spans="5:7" ht="30" customHeight="1" x14ac:dyDescent="0.35">
      <c r="E1194" s="2"/>
      <c r="F1194" s="2"/>
      <c r="G1194" s="2"/>
    </row>
    <row r="1195" spans="5:7" ht="30" customHeight="1" x14ac:dyDescent="0.35">
      <c r="E1195" s="2"/>
      <c r="F1195" s="2"/>
      <c r="G1195" s="2"/>
    </row>
    <row r="1196" spans="5:7" ht="30" customHeight="1" x14ac:dyDescent="0.35">
      <c r="E1196" s="2"/>
      <c r="F1196" s="2"/>
      <c r="G1196" s="2"/>
    </row>
    <row r="1197" spans="5:7" ht="30" customHeight="1" x14ac:dyDescent="0.35">
      <c r="E1197" s="2"/>
      <c r="F1197" s="2"/>
      <c r="G1197" s="2"/>
    </row>
    <row r="1198" spans="5:7" ht="30" customHeight="1" x14ac:dyDescent="0.35">
      <c r="E1198" s="2"/>
      <c r="F1198" s="2"/>
      <c r="G1198" s="2"/>
    </row>
    <row r="1199" spans="5:7" ht="30" customHeight="1" x14ac:dyDescent="0.35">
      <c r="E1199" s="2"/>
      <c r="F1199" s="2"/>
      <c r="G1199" s="2"/>
    </row>
    <row r="1200" spans="5:7" ht="30" customHeight="1" x14ac:dyDescent="0.35">
      <c r="E1200" s="2"/>
      <c r="F1200" s="2"/>
      <c r="G1200" s="2"/>
    </row>
    <row r="1201" spans="5:7" ht="30" customHeight="1" x14ac:dyDescent="0.35">
      <c r="E1201" s="2"/>
      <c r="F1201" s="2"/>
      <c r="G1201" s="2"/>
    </row>
    <row r="1202" spans="5:7" ht="30" customHeight="1" x14ac:dyDescent="0.35">
      <c r="E1202" s="2"/>
      <c r="F1202" s="2"/>
      <c r="G1202" s="2"/>
    </row>
    <row r="1203" spans="5:7" ht="30" customHeight="1" x14ac:dyDescent="0.35">
      <c r="E1203" s="2"/>
      <c r="F1203" s="2"/>
      <c r="G1203" s="2"/>
    </row>
    <row r="1204" spans="5:7" ht="30" customHeight="1" x14ac:dyDescent="0.35">
      <c r="E1204" s="2"/>
      <c r="F1204" s="2"/>
      <c r="G1204" s="2"/>
    </row>
    <row r="1205" spans="5:7" ht="30" customHeight="1" x14ac:dyDescent="0.35">
      <c r="E1205" s="2"/>
      <c r="F1205" s="2"/>
      <c r="G1205" s="2"/>
    </row>
    <row r="1206" spans="5:7" ht="30" customHeight="1" x14ac:dyDescent="0.35">
      <c r="E1206" s="2"/>
      <c r="F1206" s="2"/>
      <c r="G1206" s="2"/>
    </row>
    <row r="1207" spans="5:7" ht="30" customHeight="1" x14ac:dyDescent="0.35">
      <c r="E1207" s="2"/>
      <c r="F1207" s="2"/>
      <c r="G1207" s="2"/>
    </row>
    <row r="1208" spans="5:7" ht="30" customHeight="1" x14ac:dyDescent="0.35">
      <c r="E1208" s="2"/>
      <c r="F1208" s="2"/>
      <c r="G1208" s="2"/>
    </row>
    <row r="1209" spans="5:7" ht="30" customHeight="1" x14ac:dyDescent="0.35">
      <c r="E1209" s="2"/>
      <c r="F1209" s="2"/>
      <c r="G1209" s="2"/>
    </row>
    <row r="1210" spans="5:7" ht="30" customHeight="1" x14ac:dyDescent="0.35">
      <c r="E1210" s="2"/>
      <c r="F1210" s="2"/>
      <c r="G1210" s="2"/>
    </row>
    <row r="1211" spans="5:7" ht="30" customHeight="1" x14ac:dyDescent="0.35">
      <c r="E1211" s="2"/>
      <c r="F1211" s="2"/>
      <c r="G1211" s="2"/>
    </row>
    <row r="1212" spans="5:7" ht="30" customHeight="1" x14ac:dyDescent="0.35">
      <c r="E1212" s="2"/>
      <c r="F1212" s="2"/>
      <c r="G1212" s="2"/>
    </row>
    <row r="1213" spans="5:7" ht="30" customHeight="1" x14ac:dyDescent="0.35">
      <c r="E1213" s="2"/>
      <c r="F1213" s="2"/>
      <c r="G1213" s="2"/>
    </row>
    <row r="1214" spans="5:7" ht="30" customHeight="1" x14ac:dyDescent="0.35">
      <c r="E1214" s="2"/>
      <c r="F1214" s="2"/>
      <c r="G1214" s="2"/>
    </row>
    <row r="1215" spans="5:7" ht="30" customHeight="1" x14ac:dyDescent="0.35">
      <c r="E1215" s="2"/>
      <c r="F1215" s="2"/>
      <c r="G1215" s="2"/>
    </row>
    <row r="1216" spans="5:7" ht="30" customHeight="1" x14ac:dyDescent="0.35">
      <c r="E1216" s="2"/>
      <c r="F1216" s="2"/>
      <c r="G1216" s="2"/>
    </row>
    <row r="1217" spans="5:7" ht="30" customHeight="1" x14ac:dyDescent="0.35">
      <c r="E1217" s="2"/>
      <c r="F1217" s="2"/>
      <c r="G1217" s="2"/>
    </row>
    <row r="1218" spans="5:7" ht="30" customHeight="1" x14ac:dyDescent="0.35">
      <c r="E1218" s="2"/>
      <c r="F1218" s="2"/>
      <c r="G1218" s="2"/>
    </row>
    <row r="1219" spans="5:7" ht="30" customHeight="1" x14ac:dyDescent="0.35">
      <c r="E1219" s="2"/>
      <c r="F1219" s="2"/>
      <c r="G1219" s="2"/>
    </row>
    <row r="1220" spans="5:7" ht="30" customHeight="1" x14ac:dyDescent="0.35">
      <c r="E1220" s="2"/>
      <c r="F1220" s="2"/>
      <c r="G1220" s="2"/>
    </row>
    <row r="1221" spans="5:7" ht="30" customHeight="1" x14ac:dyDescent="0.35">
      <c r="E1221" s="2"/>
      <c r="F1221" s="2"/>
      <c r="G1221" s="2"/>
    </row>
    <row r="1222" spans="5:7" ht="30" customHeight="1" x14ac:dyDescent="0.35">
      <c r="E1222" s="2"/>
      <c r="F1222" s="2"/>
      <c r="G1222" s="2"/>
    </row>
    <row r="1223" spans="5:7" ht="30" customHeight="1" x14ac:dyDescent="0.35">
      <c r="E1223" s="2"/>
      <c r="F1223" s="2"/>
      <c r="G1223" s="2"/>
    </row>
    <row r="1224" spans="5:7" ht="30" customHeight="1" x14ac:dyDescent="0.35">
      <c r="E1224" s="2"/>
      <c r="F1224" s="2"/>
      <c r="G1224" s="2"/>
    </row>
    <row r="1225" spans="5:7" ht="30" customHeight="1" x14ac:dyDescent="0.35">
      <c r="E1225" s="2"/>
      <c r="F1225" s="2"/>
      <c r="G1225" s="2"/>
    </row>
    <row r="1226" spans="5:7" ht="30" customHeight="1" x14ac:dyDescent="0.35">
      <c r="E1226" s="2"/>
      <c r="F1226" s="2"/>
      <c r="G1226" s="2"/>
    </row>
    <row r="1227" spans="5:7" ht="30" customHeight="1" x14ac:dyDescent="0.35">
      <c r="E1227" s="2"/>
      <c r="F1227" s="2"/>
      <c r="G1227" s="2"/>
    </row>
    <row r="1228" spans="5:7" ht="30" customHeight="1" x14ac:dyDescent="0.35">
      <c r="E1228" s="2"/>
      <c r="F1228" s="2"/>
      <c r="G1228" s="2"/>
    </row>
    <row r="1229" spans="5:7" ht="30" customHeight="1" x14ac:dyDescent="0.35">
      <c r="E1229" s="2"/>
      <c r="F1229" s="2"/>
      <c r="G1229" s="2"/>
    </row>
    <row r="1230" spans="5:7" ht="30" customHeight="1" x14ac:dyDescent="0.35">
      <c r="E1230" s="2"/>
      <c r="F1230" s="2"/>
      <c r="G1230" s="2"/>
    </row>
    <row r="1231" spans="5:7" ht="30" customHeight="1" x14ac:dyDescent="0.35">
      <c r="E1231" s="2"/>
      <c r="F1231" s="2"/>
      <c r="G1231" s="2"/>
    </row>
    <row r="1232" spans="5:7" ht="30" customHeight="1" x14ac:dyDescent="0.35">
      <c r="E1232" s="2"/>
      <c r="F1232" s="2"/>
      <c r="G1232" s="2"/>
    </row>
    <row r="1233" spans="5:7" ht="30" customHeight="1" x14ac:dyDescent="0.35">
      <c r="E1233" s="2"/>
      <c r="F1233" s="2"/>
      <c r="G1233" s="2"/>
    </row>
    <row r="1234" spans="5:7" ht="30" customHeight="1" x14ac:dyDescent="0.35">
      <c r="E1234" s="2"/>
      <c r="F1234" s="2"/>
      <c r="G1234" s="2"/>
    </row>
    <row r="1235" spans="5:7" ht="30" customHeight="1" x14ac:dyDescent="0.35">
      <c r="E1235" s="2"/>
      <c r="F1235" s="2"/>
      <c r="G1235" s="2"/>
    </row>
    <row r="1236" spans="5:7" ht="30" customHeight="1" x14ac:dyDescent="0.35">
      <c r="E1236" s="2"/>
      <c r="F1236" s="2"/>
      <c r="G1236" s="2"/>
    </row>
    <row r="1237" spans="5:7" ht="30" customHeight="1" x14ac:dyDescent="0.35">
      <c r="E1237" s="2"/>
      <c r="F1237" s="2"/>
      <c r="G1237" s="2"/>
    </row>
    <row r="1238" spans="5:7" ht="30" customHeight="1" x14ac:dyDescent="0.35">
      <c r="E1238" s="2"/>
      <c r="F1238" s="2"/>
      <c r="G1238" s="2"/>
    </row>
    <row r="1239" spans="5:7" ht="30" customHeight="1" x14ac:dyDescent="0.35">
      <c r="E1239" s="2"/>
      <c r="F1239" s="2"/>
      <c r="G1239" s="2"/>
    </row>
    <row r="1240" spans="5:7" ht="30" customHeight="1" x14ac:dyDescent="0.35">
      <c r="E1240" s="2"/>
      <c r="F1240" s="2"/>
      <c r="G1240" s="2"/>
    </row>
    <row r="1241" spans="5:7" ht="30" customHeight="1" x14ac:dyDescent="0.35">
      <c r="E1241" s="2"/>
      <c r="F1241" s="2"/>
      <c r="G1241" s="2"/>
    </row>
    <row r="1242" spans="5:7" ht="30" customHeight="1" x14ac:dyDescent="0.35">
      <c r="E1242" s="2"/>
      <c r="F1242" s="2"/>
      <c r="G1242" s="2"/>
    </row>
    <row r="1243" spans="5:7" ht="30" customHeight="1" x14ac:dyDescent="0.35">
      <c r="E1243" s="2"/>
      <c r="F1243" s="2"/>
      <c r="G1243" s="2"/>
    </row>
    <row r="1244" spans="5:7" ht="30" customHeight="1" x14ac:dyDescent="0.35">
      <c r="E1244" s="2"/>
      <c r="F1244" s="2"/>
      <c r="G1244" s="2"/>
    </row>
    <row r="1245" spans="5:7" ht="30" customHeight="1" x14ac:dyDescent="0.35">
      <c r="E1245" s="2"/>
      <c r="F1245" s="2"/>
      <c r="G1245" s="2"/>
    </row>
    <row r="1246" spans="5:7" ht="30" customHeight="1" x14ac:dyDescent="0.35">
      <c r="E1246" s="2"/>
      <c r="F1246" s="2"/>
      <c r="G1246" s="2"/>
    </row>
    <row r="1247" spans="5:7" ht="30" customHeight="1" x14ac:dyDescent="0.35">
      <c r="E1247" s="2"/>
      <c r="F1247" s="2"/>
      <c r="G1247" s="2"/>
    </row>
    <row r="1248" spans="5:7" ht="30" customHeight="1" x14ac:dyDescent="0.35">
      <c r="E1248" s="2"/>
      <c r="F1248" s="2"/>
      <c r="G1248" s="2"/>
    </row>
    <row r="1249" spans="5:7" ht="30" customHeight="1" x14ac:dyDescent="0.35">
      <c r="E1249" s="2"/>
      <c r="F1249" s="2"/>
      <c r="G1249" s="2"/>
    </row>
    <row r="1250" spans="5:7" ht="30" customHeight="1" x14ac:dyDescent="0.35">
      <c r="E1250" s="2"/>
      <c r="F1250" s="2"/>
      <c r="G1250" s="2"/>
    </row>
    <row r="1251" spans="5:7" ht="30" customHeight="1" x14ac:dyDescent="0.35">
      <c r="E1251" s="2"/>
      <c r="F1251" s="2"/>
      <c r="G1251" s="2"/>
    </row>
    <row r="1252" spans="5:7" ht="30" customHeight="1" x14ac:dyDescent="0.35">
      <c r="E1252" s="2"/>
      <c r="F1252" s="2"/>
      <c r="G1252" s="2"/>
    </row>
    <row r="1253" spans="5:7" ht="30" customHeight="1" x14ac:dyDescent="0.35">
      <c r="E1253" s="2"/>
      <c r="F1253" s="2"/>
      <c r="G1253" s="2"/>
    </row>
    <row r="1254" spans="5:7" ht="30" customHeight="1" x14ac:dyDescent="0.35">
      <c r="E1254" s="2"/>
      <c r="F1254" s="2"/>
      <c r="G1254" s="2"/>
    </row>
    <row r="1255" spans="5:7" ht="30" customHeight="1" x14ac:dyDescent="0.35">
      <c r="E1255" s="2"/>
      <c r="F1255" s="2"/>
      <c r="G1255" s="2"/>
    </row>
    <row r="1256" spans="5:7" ht="30" customHeight="1" x14ac:dyDescent="0.35">
      <c r="E1256" s="2"/>
      <c r="F1256" s="2"/>
      <c r="G1256" s="2"/>
    </row>
    <row r="1257" spans="5:7" ht="30" customHeight="1" x14ac:dyDescent="0.35">
      <c r="E1257" s="2"/>
      <c r="F1257" s="2"/>
      <c r="G1257" s="2"/>
    </row>
    <row r="1258" spans="5:7" ht="30" customHeight="1" x14ac:dyDescent="0.35">
      <c r="E1258" s="2"/>
      <c r="F1258" s="2"/>
      <c r="G1258" s="2"/>
    </row>
    <row r="1259" spans="5:7" ht="30" customHeight="1" x14ac:dyDescent="0.35">
      <c r="E1259" s="2"/>
      <c r="F1259" s="2"/>
      <c r="G1259" s="2"/>
    </row>
    <row r="1260" spans="5:7" ht="30" customHeight="1" x14ac:dyDescent="0.35">
      <c r="E1260" s="2"/>
      <c r="F1260" s="2"/>
      <c r="G1260" s="2"/>
    </row>
    <row r="1261" spans="5:7" ht="30" customHeight="1" x14ac:dyDescent="0.35">
      <c r="E1261" s="2"/>
      <c r="F1261" s="2"/>
      <c r="G1261" s="2"/>
    </row>
    <row r="1262" spans="5:7" ht="30" customHeight="1" x14ac:dyDescent="0.35">
      <c r="E1262" s="2"/>
      <c r="F1262" s="2"/>
      <c r="G1262" s="2"/>
    </row>
    <row r="1263" spans="5:7" ht="30" customHeight="1" x14ac:dyDescent="0.35">
      <c r="E1263" s="2"/>
      <c r="F1263" s="2"/>
      <c r="G1263" s="2"/>
    </row>
    <row r="1264" spans="5:7" ht="30" customHeight="1" x14ac:dyDescent="0.35">
      <c r="E1264" s="2"/>
      <c r="F1264" s="2"/>
      <c r="G1264" s="2"/>
    </row>
    <row r="1265" spans="5:7" ht="30" customHeight="1" x14ac:dyDescent="0.35">
      <c r="E1265" s="2"/>
      <c r="F1265" s="2"/>
      <c r="G1265" s="2"/>
    </row>
    <row r="1266" spans="5:7" ht="30" customHeight="1" x14ac:dyDescent="0.35">
      <c r="E1266" s="2"/>
      <c r="F1266" s="2"/>
      <c r="G1266" s="2"/>
    </row>
    <row r="1267" spans="5:7" ht="30" customHeight="1" x14ac:dyDescent="0.35">
      <c r="E1267" s="2"/>
      <c r="F1267" s="2"/>
      <c r="G1267" s="2"/>
    </row>
    <row r="1268" spans="5:7" ht="30" customHeight="1" x14ac:dyDescent="0.35">
      <c r="E1268" s="2"/>
      <c r="F1268" s="2"/>
      <c r="G1268" s="2"/>
    </row>
    <row r="1269" spans="5:7" ht="30" customHeight="1" x14ac:dyDescent="0.35">
      <c r="E1269" s="2"/>
      <c r="F1269" s="2"/>
      <c r="G1269" s="2"/>
    </row>
    <row r="1270" spans="5:7" ht="30" customHeight="1" x14ac:dyDescent="0.35">
      <c r="E1270" s="2"/>
      <c r="F1270" s="2"/>
      <c r="G1270" s="2"/>
    </row>
    <row r="1271" spans="5:7" ht="30" customHeight="1" x14ac:dyDescent="0.35">
      <c r="E1271" s="2"/>
      <c r="F1271" s="2"/>
      <c r="G1271" s="2"/>
    </row>
    <row r="1272" spans="5:7" ht="30" customHeight="1" x14ac:dyDescent="0.35">
      <c r="E1272" s="2"/>
      <c r="F1272" s="2"/>
      <c r="G1272" s="2"/>
    </row>
    <row r="1273" spans="5:7" ht="30" customHeight="1" x14ac:dyDescent="0.35">
      <c r="E1273" s="2"/>
      <c r="F1273" s="2"/>
      <c r="G1273" s="2"/>
    </row>
    <row r="1274" spans="5:7" ht="30" customHeight="1" x14ac:dyDescent="0.35">
      <c r="E1274" s="2"/>
      <c r="F1274" s="2"/>
      <c r="G1274" s="2"/>
    </row>
    <row r="1275" spans="5:7" ht="30" customHeight="1" x14ac:dyDescent="0.35">
      <c r="E1275" s="2"/>
      <c r="F1275" s="2"/>
      <c r="G1275" s="2"/>
    </row>
    <row r="1276" spans="5:7" ht="30" customHeight="1" x14ac:dyDescent="0.35">
      <c r="E1276" s="2"/>
      <c r="F1276" s="2"/>
      <c r="G1276" s="2"/>
    </row>
    <row r="1277" spans="5:7" ht="30" customHeight="1" x14ac:dyDescent="0.35">
      <c r="E1277" s="2"/>
      <c r="F1277" s="2"/>
      <c r="G1277" s="2"/>
    </row>
    <row r="1278" spans="5:7" ht="30" customHeight="1" x14ac:dyDescent="0.35">
      <c r="E1278" s="2"/>
      <c r="F1278" s="2"/>
      <c r="G1278" s="2"/>
    </row>
    <row r="1279" spans="5:7" ht="30" customHeight="1" x14ac:dyDescent="0.35">
      <c r="E1279" s="2"/>
      <c r="F1279" s="2"/>
      <c r="G1279" s="2"/>
    </row>
    <row r="1280" spans="5:7" ht="30" customHeight="1" x14ac:dyDescent="0.35">
      <c r="E1280" s="2"/>
      <c r="F1280" s="2"/>
      <c r="G1280" s="2"/>
    </row>
    <row r="1281" spans="5:7" ht="30" customHeight="1" x14ac:dyDescent="0.35">
      <c r="E1281" s="2"/>
      <c r="F1281" s="2"/>
      <c r="G1281" s="2"/>
    </row>
    <row r="1282" spans="5:7" ht="30" customHeight="1" x14ac:dyDescent="0.35">
      <c r="E1282" s="2"/>
      <c r="F1282" s="2"/>
      <c r="G1282" s="2"/>
    </row>
    <row r="1283" spans="5:7" ht="30" customHeight="1" x14ac:dyDescent="0.35">
      <c r="E1283" s="2"/>
      <c r="F1283" s="2"/>
      <c r="G1283" s="2"/>
    </row>
    <row r="1284" spans="5:7" ht="30" customHeight="1" x14ac:dyDescent="0.35">
      <c r="E1284" s="2"/>
      <c r="F1284" s="2"/>
      <c r="G1284" s="2"/>
    </row>
    <row r="1285" spans="5:7" ht="30" customHeight="1" x14ac:dyDescent="0.35">
      <c r="E1285" s="2"/>
      <c r="F1285" s="2"/>
      <c r="G1285" s="2"/>
    </row>
    <row r="1286" spans="5:7" ht="30" customHeight="1" x14ac:dyDescent="0.35">
      <c r="E1286" s="2"/>
      <c r="F1286" s="2"/>
      <c r="G1286" s="2"/>
    </row>
    <row r="1287" spans="5:7" ht="30" customHeight="1" x14ac:dyDescent="0.35">
      <c r="E1287" s="2"/>
      <c r="F1287" s="2"/>
      <c r="G1287" s="2"/>
    </row>
    <row r="1288" spans="5:7" ht="30" customHeight="1" x14ac:dyDescent="0.35">
      <c r="E1288" s="2"/>
      <c r="F1288" s="2"/>
      <c r="G1288" s="2"/>
    </row>
    <row r="1289" spans="5:7" ht="30" customHeight="1" x14ac:dyDescent="0.35">
      <c r="E1289" s="2"/>
      <c r="F1289" s="2"/>
      <c r="G1289" s="2"/>
    </row>
    <row r="1290" spans="5:7" ht="30" customHeight="1" x14ac:dyDescent="0.35">
      <c r="E1290" s="2"/>
      <c r="F1290" s="2"/>
      <c r="G1290" s="2"/>
    </row>
    <row r="1291" spans="5:7" ht="30" customHeight="1" x14ac:dyDescent="0.35">
      <c r="E1291" s="2"/>
      <c r="F1291" s="2"/>
      <c r="G1291" s="2"/>
    </row>
    <row r="1292" spans="5:7" ht="30" customHeight="1" x14ac:dyDescent="0.35">
      <c r="E1292" s="2"/>
      <c r="F1292" s="2"/>
      <c r="G1292" s="2"/>
    </row>
    <row r="1293" spans="5:7" ht="30" customHeight="1" x14ac:dyDescent="0.35">
      <c r="E1293" s="2"/>
      <c r="F1293" s="2"/>
      <c r="G1293" s="2"/>
    </row>
    <row r="1294" spans="5:7" ht="30" customHeight="1" x14ac:dyDescent="0.35">
      <c r="E1294" s="2"/>
      <c r="F1294" s="2"/>
      <c r="G1294" s="2"/>
    </row>
    <row r="1295" spans="5:7" ht="30" customHeight="1" x14ac:dyDescent="0.35">
      <c r="E1295" s="2"/>
      <c r="F1295" s="2"/>
      <c r="G1295" s="2"/>
    </row>
    <row r="1296" spans="5:7" ht="30" customHeight="1" x14ac:dyDescent="0.35">
      <c r="E1296" s="2"/>
      <c r="F1296" s="2"/>
      <c r="G1296" s="2"/>
    </row>
    <row r="1297" spans="5:7" ht="30" customHeight="1" x14ac:dyDescent="0.35">
      <c r="E1297" s="2"/>
      <c r="F1297" s="2"/>
      <c r="G1297" s="2"/>
    </row>
    <row r="1298" spans="5:7" ht="30" customHeight="1" x14ac:dyDescent="0.35">
      <c r="E1298" s="2"/>
      <c r="F1298" s="2"/>
      <c r="G1298" s="2"/>
    </row>
    <row r="1299" spans="5:7" ht="30" customHeight="1" x14ac:dyDescent="0.35">
      <c r="E1299" s="2"/>
      <c r="F1299" s="2"/>
      <c r="G1299" s="2"/>
    </row>
    <row r="1300" spans="5:7" ht="30" customHeight="1" x14ac:dyDescent="0.35">
      <c r="E1300" s="2"/>
      <c r="F1300" s="2"/>
      <c r="G1300" s="2"/>
    </row>
    <row r="1301" spans="5:7" ht="30" customHeight="1" x14ac:dyDescent="0.35">
      <c r="E1301" s="2"/>
      <c r="F1301" s="2"/>
      <c r="G1301" s="2"/>
    </row>
    <row r="1302" spans="5:7" ht="30" customHeight="1" x14ac:dyDescent="0.35">
      <c r="E1302" s="2"/>
      <c r="F1302" s="2"/>
      <c r="G1302" s="2"/>
    </row>
    <row r="1303" spans="5:7" ht="30" customHeight="1" x14ac:dyDescent="0.35">
      <c r="E1303" s="2"/>
      <c r="F1303" s="2"/>
      <c r="G1303" s="2"/>
    </row>
    <row r="1304" spans="5:7" ht="30" customHeight="1" x14ac:dyDescent="0.35">
      <c r="E1304" s="2"/>
      <c r="F1304" s="2"/>
      <c r="G1304" s="2"/>
    </row>
    <row r="1305" spans="5:7" ht="30" customHeight="1" x14ac:dyDescent="0.35">
      <c r="E1305" s="2"/>
      <c r="F1305" s="2"/>
      <c r="G1305" s="2"/>
    </row>
    <row r="1306" spans="5:7" ht="30" customHeight="1" x14ac:dyDescent="0.35">
      <c r="E1306" s="2"/>
      <c r="F1306" s="2"/>
      <c r="G1306" s="2"/>
    </row>
    <row r="1307" spans="5:7" ht="30" customHeight="1" x14ac:dyDescent="0.35">
      <c r="E1307" s="2"/>
      <c r="F1307" s="2"/>
      <c r="G1307" s="2"/>
    </row>
    <row r="1308" spans="5:7" ht="30" customHeight="1" x14ac:dyDescent="0.35">
      <c r="E1308" s="2"/>
      <c r="F1308" s="2"/>
      <c r="G1308" s="2"/>
    </row>
    <row r="1309" spans="5:7" ht="30" customHeight="1" x14ac:dyDescent="0.35">
      <c r="E1309" s="2"/>
      <c r="F1309" s="2"/>
      <c r="G1309" s="2"/>
    </row>
    <row r="1310" spans="5:7" ht="30" customHeight="1" x14ac:dyDescent="0.35">
      <c r="E1310" s="2"/>
      <c r="F1310" s="2"/>
      <c r="G1310" s="2"/>
    </row>
    <row r="1311" spans="5:7" ht="30" customHeight="1" x14ac:dyDescent="0.35">
      <c r="E1311" s="2"/>
      <c r="F1311" s="2"/>
      <c r="G1311" s="2"/>
    </row>
    <row r="1312" spans="5:7" ht="30" customHeight="1" x14ac:dyDescent="0.35">
      <c r="E1312" s="2"/>
      <c r="F1312" s="2"/>
      <c r="G1312" s="2"/>
    </row>
    <row r="1313" spans="5:7" ht="30" customHeight="1" x14ac:dyDescent="0.35">
      <c r="E1313" s="2"/>
      <c r="F1313" s="2"/>
      <c r="G1313" s="2"/>
    </row>
    <row r="1314" spans="5:7" ht="30" customHeight="1" x14ac:dyDescent="0.35">
      <c r="E1314" s="2"/>
      <c r="F1314" s="2"/>
      <c r="G1314" s="2"/>
    </row>
    <row r="1315" spans="5:7" ht="30" customHeight="1" x14ac:dyDescent="0.35">
      <c r="E1315" s="2"/>
      <c r="F1315" s="2"/>
      <c r="G1315" s="2"/>
    </row>
    <row r="1316" spans="5:7" ht="30" customHeight="1" x14ac:dyDescent="0.35">
      <c r="E1316" s="2"/>
      <c r="F1316" s="2"/>
      <c r="G1316" s="2"/>
    </row>
    <row r="1317" spans="5:7" ht="30" customHeight="1" x14ac:dyDescent="0.35">
      <c r="E1317" s="2"/>
      <c r="F1317" s="2"/>
      <c r="G1317" s="2"/>
    </row>
    <row r="1318" spans="5:7" ht="30" customHeight="1" x14ac:dyDescent="0.35">
      <c r="E1318" s="2"/>
      <c r="F1318" s="2"/>
      <c r="G1318" s="2"/>
    </row>
    <row r="1319" spans="5:7" ht="30" customHeight="1" x14ac:dyDescent="0.35">
      <c r="E1319" s="2"/>
      <c r="F1319" s="2"/>
      <c r="G1319" s="2"/>
    </row>
    <row r="1320" spans="5:7" ht="30" customHeight="1" x14ac:dyDescent="0.35">
      <c r="E1320" s="2"/>
      <c r="F1320" s="2"/>
      <c r="G1320" s="2"/>
    </row>
    <row r="1321" spans="5:7" ht="30" customHeight="1" x14ac:dyDescent="0.35">
      <c r="E1321" s="2"/>
      <c r="F1321" s="2"/>
      <c r="G1321" s="2"/>
    </row>
    <row r="1322" spans="5:7" ht="30" customHeight="1" x14ac:dyDescent="0.35">
      <c r="E1322" s="2"/>
      <c r="F1322" s="2"/>
      <c r="G1322" s="2"/>
    </row>
    <row r="1323" spans="5:7" ht="30" customHeight="1" x14ac:dyDescent="0.35">
      <c r="E1323" s="2"/>
      <c r="F1323" s="2"/>
      <c r="G1323" s="2"/>
    </row>
    <row r="1324" spans="5:7" ht="30" customHeight="1" x14ac:dyDescent="0.35">
      <c r="E1324" s="2"/>
      <c r="F1324" s="2"/>
      <c r="G1324" s="2"/>
    </row>
    <row r="1325" spans="5:7" ht="30" customHeight="1" x14ac:dyDescent="0.35">
      <c r="E1325" s="2"/>
      <c r="F1325" s="2"/>
      <c r="G1325" s="2"/>
    </row>
    <row r="1326" spans="5:7" ht="30" customHeight="1" x14ac:dyDescent="0.35">
      <c r="E1326" s="2"/>
      <c r="F1326" s="2"/>
      <c r="G1326" s="2"/>
    </row>
    <row r="1327" spans="5:7" ht="30" customHeight="1" x14ac:dyDescent="0.35">
      <c r="E1327" s="2"/>
      <c r="F1327" s="2"/>
      <c r="G1327" s="2"/>
    </row>
    <row r="1328" spans="5:7" ht="30" customHeight="1" x14ac:dyDescent="0.35">
      <c r="E1328" s="2"/>
      <c r="F1328" s="2"/>
      <c r="G1328" s="2"/>
    </row>
    <row r="1329" spans="5:7" ht="30" customHeight="1" x14ac:dyDescent="0.35">
      <c r="E1329" s="2"/>
      <c r="F1329" s="2"/>
      <c r="G1329" s="2"/>
    </row>
    <row r="1330" spans="5:7" ht="30" customHeight="1" x14ac:dyDescent="0.35">
      <c r="E1330" s="2"/>
      <c r="F1330" s="2"/>
      <c r="G1330" s="2"/>
    </row>
    <row r="1331" spans="5:7" ht="30" customHeight="1" x14ac:dyDescent="0.35">
      <c r="E1331" s="2"/>
      <c r="F1331" s="2"/>
      <c r="G1331" s="2"/>
    </row>
    <row r="1332" spans="5:7" ht="30" customHeight="1" x14ac:dyDescent="0.35">
      <c r="E1332" s="2"/>
      <c r="F1332" s="2"/>
      <c r="G1332" s="2"/>
    </row>
    <row r="1333" spans="5:7" ht="30" customHeight="1" x14ac:dyDescent="0.35">
      <c r="E1333" s="2"/>
      <c r="F1333" s="2"/>
      <c r="G1333" s="2"/>
    </row>
    <row r="1334" spans="5:7" ht="30" customHeight="1" x14ac:dyDescent="0.35">
      <c r="E1334" s="2"/>
      <c r="F1334" s="2"/>
      <c r="G1334" s="2"/>
    </row>
    <row r="1335" spans="5:7" ht="30" customHeight="1" x14ac:dyDescent="0.35">
      <c r="E1335" s="2"/>
      <c r="F1335" s="2"/>
      <c r="G1335" s="2"/>
    </row>
    <row r="1336" spans="5:7" ht="30" customHeight="1" x14ac:dyDescent="0.35">
      <c r="E1336" s="2"/>
      <c r="F1336" s="2"/>
      <c r="G1336" s="2"/>
    </row>
    <row r="1337" spans="5:7" ht="30" customHeight="1" x14ac:dyDescent="0.35">
      <c r="E1337" s="2"/>
      <c r="F1337" s="2"/>
      <c r="G1337" s="2"/>
    </row>
    <row r="1338" spans="5:7" ht="30" customHeight="1" x14ac:dyDescent="0.35">
      <c r="E1338" s="2"/>
      <c r="F1338" s="2"/>
      <c r="G1338" s="2"/>
    </row>
    <row r="1339" spans="5:7" ht="30" customHeight="1" x14ac:dyDescent="0.35">
      <c r="E1339" s="2"/>
      <c r="F1339" s="2"/>
      <c r="G1339" s="2"/>
    </row>
    <row r="1340" spans="5:7" ht="30" customHeight="1" x14ac:dyDescent="0.35">
      <c r="E1340" s="2"/>
      <c r="F1340" s="2"/>
      <c r="G1340" s="2"/>
    </row>
    <row r="1341" spans="5:7" ht="30" customHeight="1" x14ac:dyDescent="0.35">
      <c r="E1341" s="2"/>
      <c r="F1341" s="2"/>
      <c r="G1341" s="2"/>
    </row>
    <row r="1342" spans="5:7" ht="30" customHeight="1" x14ac:dyDescent="0.35">
      <c r="E1342" s="2"/>
      <c r="F1342" s="2"/>
      <c r="G1342" s="2"/>
    </row>
    <row r="1343" spans="5:7" ht="30" customHeight="1" x14ac:dyDescent="0.35">
      <c r="E1343" s="2"/>
      <c r="F1343" s="2"/>
      <c r="G1343" s="2"/>
    </row>
    <row r="1344" spans="5:7" ht="30" customHeight="1" x14ac:dyDescent="0.35">
      <c r="E1344" s="2"/>
      <c r="F1344" s="2"/>
      <c r="G1344" s="2"/>
    </row>
    <row r="1345" spans="5:7" ht="30" customHeight="1" x14ac:dyDescent="0.35">
      <c r="E1345" s="2"/>
      <c r="F1345" s="2"/>
      <c r="G1345" s="2"/>
    </row>
    <row r="1346" spans="5:7" ht="30" customHeight="1" x14ac:dyDescent="0.35">
      <c r="E1346" s="2"/>
      <c r="F1346" s="2"/>
      <c r="G1346" s="2"/>
    </row>
    <row r="1347" spans="5:7" ht="30" customHeight="1" x14ac:dyDescent="0.35">
      <c r="E1347" s="2"/>
      <c r="F1347" s="2"/>
      <c r="G1347" s="2"/>
    </row>
    <row r="1348" spans="5:7" ht="30" customHeight="1" x14ac:dyDescent="0.35">
      <c r="E1348" s="2"/>
      <c r="F1348" s="2"/>
      <c r="G1348" s="2"/>
    </row>
    <row r="1349" spans="5:7" ht="30" customHeight="1" x14ac:dyDescent="0.35">
      <c r="E1349" s="2"/>
      <c r="F1349" s="2"/>
      <c r="G1349" s="2"/>
    </row>
    <row r="1350" spans="5:7" ht="30" customHeight="1" x14ac:dyDescent="0.35">
      <c r="E1350" s="2"/>
      <c r="F1350" s="2"/>
      <c r="G1350" s="2"/>
    </row>
    <row r="1351" spans="5:7" ht="30" customHeight="1" x14ac:dyDescent="0.35">
      <c r="E1351" s="2"/>
      <c r="F1351" s="2"/>
      <c r="G1351" s="2"/>
    </row>
    <row r="1352" spans="5:7" ht="30" customHeight="1" x14ac:dyDescent="0.35">
      <c r="E1352" s="2"/>
      <c r="F1352" s="2"/>
      <c r="G1352" s="2"/>
    </row>
    <row r="1353" spans="5:7" ht="30" customHeight="1" x14ac:dyDescent="0.35">
      <c r="E1353" s="2"/>
      <c r="F1353" s="2"/>
      <c r="G1353" s="2"/>
    </row>
    <row r="1354" spans="5:7" ht="30" customHeight="1" x14ac:dyDescent="0.35">
      <c r="E1354" s="2"/>
      <c r="F1354" s="2"/>
      <c r="G1354" s="2"/>
    </row>
    <row r="1355" spans="5:7" ht="30" customHeight="1" x14ac:dyDescent="0.35">
      <c r="E1355" s="2"/>
      <c r="F1355" s="2"/>
      <c r="G1355" s="2"/>
    </row>
    <row r="1356" spans="5:7" ht="30" customHeight="1" x14ac:dyDescent="0.35">
      <c r="E1356" s="2"/>
      <c r="F1356" s="2"/>
      <c r="G1356" s="2"/>
    </row>
    <row r="1357" spans="5:7" ht="30" customHeight="1" x14ac:dyDescent="0.35">
      <c r="E1357" s="2"/>
      <c r="F1357" s="2"/>
      <c r="G1357" s="2"/>
    </row>
    <row r="1358" spans="5:7" ht="30" customHeight="1" x14ac:dyDescent="0.35">
      <c r="E1358" s="2"/>
      <c r="F1358" s="2"/>
      <c r="G1358" s="2"/>
    </row>
    <row r="1359" spans="5:7" ht="30" customHeight="1" x14ac:dyDescent="0.35">
      <c r="E1359" s="2"/>
      <c r="F1359" s="2"/>
      <c r="G1359" s="2"/>
    </row>
    <row r="1360" spans="5:7" ht="30" customHeight="1" x14ac:dyDescent="0.35">
      <c r="E1360" s="2"/>
      <c r="F1360" s="2"/>
      <c r="G1360" s="2"/>
    </row>
    <row r="1361" spans="5:7" ht="30" customHeight="1" x14ac:dyDescent="0.35">
      <c r="E1361" s="2"/>
      <c r="F1361" s="2"/>
      <c r="G1361" s="2"/>
    </row>
    <row r="1362" spans="5:7" ht="30" customHeight="1" x14ac:dyDescent="0.35">
      <c r="E1362" s="2"/>
      <c r="F1362" s="2"/>
      <c r="G1362" s="2"/>
    </row>
    <row r="1363" spans="5:7" ht="30" customHeight="1" x14ac:dyDescent="0.35">
      <c r="E1363" s="2"/>
      <c r="F1363" s="2"/>
      <c r="G1363" s="2"/>
    </row>
    <row r="1364" spans="5:7" ht="30" customHeight="1" x14ac:dyDescent="0.35">
      <c r="E1364" s="2"/>
      <c r="F1364" s="2"/>
      <c r="G1364" s="2"/>
    </row>
    <row r="1365" spans="5:7" ht="30" customHeight="1" x14ac:dyDescent="0.35">
      <c r="E1365" s="2"/>
      <c r="F1365" s="2"/>
      <c r="G1365" s="2"/>
    </row>
    <row r="1366" spans="5:7" ht="30" customHeight="1" x14ac:dyDescent="0.35">
      <c r="E1366" s="2"/>
      <c r="F1366" s="2"/>
      <c r="G1366" s="2"/>
    </row>
    <row r="1367" spans="5:7" ht="30" customHeight="1" x14ac:dyDescent="0.35">
      <c r="E1367" s="2"/>
      <c r="F1367" s="2"/>
      <c r="G1367" s="2"/>
    </row>
    <row r="1368" spans="5:7" ht="30" customHeight="1" x14ac:dyDescent="0.35">
      <c r="E1368" s="2"/>
      <c r="F1368" s="2"/>
      <c r="G1368" s="2"/>
    </row>
    <row r="1369" spans="5:7" ht="30" customHeight="1" x14ac:dyDescent="0.35">
      <c r="E1369" s="2"/>
      <c r="F1369" s="2"/>
      <c r="G1369" s="2"/>
    </row>
    <row r="1370" spans="5:7" ht="30" customHeight="1" x14ac:dyDescent="0.35">
      <c r="E1370" s="2"/>
      <c r="F1370" s="2"/>
      <c r="G1370" s="2"/>
    </row>
    <row r="1371" spans="5:7" ht="30" customHeight="1" x14ac:dyDescent="0.35">
      <c r="E1371" s="2"/>
      <c r="F1371" s="2"/>
      <c r="G1371" s="2"/>
    </row>
    <row r="1372" spans="5:7" ht="30" customHeight="1" x14ac:dyDescent="0.35">
      <c r="E1372" s="2"/>
      <c r="F1372" s="2"/>
      <c r="G1372" s="2"/>
    </row>
    <row r="1373" spans="5:7" ht="30" customHeight="1" x14ac:dyDescent="0.35">
      <c r="E1373" s="2"/>
      <c r="F1373" s="2"/>
      <c r="G1373" s="2"/>
    </row>
    <row r="1374" spans="5:7" ht="30" customHeight="1" x14ac:dyDescent="0.35">
      <c r="E1374" s="2"/>
      <c r="F1374" s="2"/>
      <c r="G1374" s="2"/>
    </row>
    <row r="1375" spans="5:7" ht="30" customHeight="1" x14ac:dyDescent="0.35">
      <c r="E1375" s="2"/>
      <c r="F1375" s="2"/>
      <c r="G1375" s="2"/>
    </row>
    <row r="1376" spans="5:7" ht="30" customHeight="1" x14ac:dyDescent="0.35">
      <c r="E1376" s="2"/>
      <c r="F1376" s="2"/>
      <c r="G1376" s="2"/>
    </row>
    <row r="1377" spans="5:7" ht="30" customHeight="1" x14ac:dyDescent="0.35">
      <c r="E1377" s="2"/>
      <c r="F1377" s="2"/>
      <c r="G1377" s="2"/>
    </row>
    <row r="1378" spans="5:7" ht="30" customHeight="1" x14ac:dyDescent="0.35">
      <c r="E1378" s="2"/>
      <c r="F1378" s="2"/>
      <c r="G1378" s="2"/>
    </row>
    <row r="1379" spans="5:7" ht="30" customHeight="1" x14ac:dyDescent="0.35">
      <c r="E1379" s="2"/>
      <c r="F1379" s="2"/>
      <c r="G1379" s="2"/>
    </row>
    <row r="1380" spans="5:7" ht="30" customHeight="1" x14ac:dyDescent="0.35">
      <c r="E1380" s="2"/>
      <c r="F1380" s="2"/>
      <c r="G1380" s="2"/>
    </row>
    <row r="1381" spans="5:7" ht="30" customHeight="1" x14ac:dyDescent="0.35">
      <c r="E1381" s="2"/>
      <c r="F1381" s="2"/>
      <c r="G1381" s="2"/>
    </row>
    <row r="1382" spans="5:7" ht="30" customHeight="1" x14ac:dyDescent="0.35">
      <c r="E1382" s="2"/>
      <c r="F1382" s="2"/>
      <c r="G1382" s="2"/>
    </row>
    <row r="1383" spans="5:7" ht="30" customHeight="1" x14ac:dyDescent="0.35">
      <c r="E1383" s="2"/>
      <c r="F1383" s="2"/>
      <c r="G1383" s="2"/>
    </row>
    <row r="1384" spans="5:7" ht="30" customHeight="1" x14ac:dyDescent="0.35">
      <c r="E1384" s="2"/>
      <c r="F1384" s="2"/>
      <c r="G1384" s="2"/>
    </row>
    <row r="1385" spans="5:7" ht="30" customHeight="1" x14ac:dyDescent="0.35">
      <c r="E1385" s="2"/>
      <c r="F1385" s="2"/>
      <c r="G1385" s="2"/>
    </row>
    <row r="1386" spans="5:7" ht="30" customHeight="1" x14ac:dyDescent="0.35">
      <c r="E1386" s="2"/>
      <c r="F1386" s="2"/>
      <c r="G1386" s="2"/>
    </row>
    <row r="1387" spans="5:7" ht="30" customHeight="1" x14ac:dyDescent="0.35">
      <c r="E1387" s="2"/>
      <c r="F1387" s="2"/>
      <c r="G1387" s="2"/>
    </row>
    <row r="1388" spans="5:7" ht="30" customHeight="1" x14ac:dyDescent="0.35">
      <c r="E1388" s="2"/>
      <c r="F1388" s="2"/>
      <c r="G1388" s="2"/>
    </row>
    <row r="1389" spans="5:7" ht="30" customHeight="1" x14ac:dyDescent="0.35">
      <c r="E1389" s="2"/>
      <c r="F1389" s="2"/>
      <c r="G1389" s="2"/>
    </row>
    <row r="1390" spans="5:7" ht="30" customHeight="1" x14ac:dyDescent="0.35">
      <c r="E1390" s="2"/>
      <c r="F1390" s="2"/>
      <c r="G1390" s="2"/>
    </row>
    <row r="1391" spans="5:7" ht="30" customHeight="1" x14ac:dyDescent="0.35">
      <c r="E1391" s="2"/>
      <c r="F1391" s="2"/>
      <c r="G1391" s="2"/>
    </row>
    <row r="1392" spans="5:7" ht="30" customHeight="1" x14ac:dyDescent="0.35">
      <c r="E1392" s="2"/>
      <c r="F1392" s="2"/>
      <c r="G1392" s="2"/>
    </row>
    <row r="1393" spans="5:7" ht="30" customHeight="1" x14ac:dyDescent="0.35">
      <c r="E1393" s="2"/>
      <c r="F1393" s="2"/>
      <c r="G1393" s="2"/>
    </row>
    <row r="1394" spans="5:7" ht="30" customHeight="1" x14ac:dyDescent="0.35">
      <c r="E1394" s="2"/>
      <c r="F1394" s="2"/>
      <c r="G1394" s="2"/>
    </row>
    <row r="1395" spans="5:7" ht="30" customHeight="1" x14ac:dyDescent="0.35">
      <c r="E1395" s="2"/>
      <c r="F1395" s="2"/>
      <c r="G1395" s="2"/>
    </row>
    <row r="1396" spans="5:7" ht="30" customHeight="1" x14ac:dyDescent="0.35">
      <c r="E1396" s="2"/>
      <c r="F1396" s="2"/>
      <c r="G1396" s="2"/>
    </row>
    <row r="1397" spans="5:7" ht="30" customHeight="1" x14ac:dyDescent="0.35">
      <c r="E1397" s="2"/>
      <c r="F1397" s="2"/>
      <c r="G1397" s="2"/>
    </row>
    <row r="1398" spans="5:7" ht="30" customHeight="1" x14ac:dyDescent="0.35">
      <c r="E1398" s="2"/>
      <c r="F1398" s="2"/>
      <c r="G1398" s="2"/>
    </row>
    <row r="1399" spans="5:7" ht="30" customHeight="1" x14ac:dyDescent="0.35">
      <c r="E1399" s="2"/>
      <c r="F1399" s="2"/>
      <c r="G1399" s="2"/>
    </row>
    <row r="1400" spans="5:7" ht="30" customHeight="1" x14ac:dyDescent="0.35">
      <c r="E1400" s="2"/>
      <c r="F1400" s="2"/>
      <c r="G1400" s="2"/>
    </row>
    <row r="1401" spans="5:7" ht="30" customHeight="1" x14ac:dyDescent="0.35">
      <c r="E1401" s="2"/>
      <c r="F1401" s="2"/>
      <c r="G1401" s="2"/>
    </row>
    <row r="1402" spans="5:7" ht="30" customHeight="1" x14ac:dyDescent="0.35">
      <c r="E1402" s="2"/>
      <c r="F1402" s="2"/>
      <c r="G1402" s="2"/>
    </row>
    <row r="1403" spans="5:7" ht="30" customHeight="1" x14ac:dyDescent="0.35">
      <c r="E1403" s="2"/>
      <c r="F1403" s="2"/>
      <c r="G1403" s="2"/>
    </row>
    <row r="1404" spans="5:7" ht="30" customHeight="1" x14ac:dyDescent="0.35">
      <c r="E1404" s="2"/>
      <c r="F1404" s="2"/>
      <c r="G1404" s="2"/>
    </row>
    <row r="1405" spans="5:7" ht="30" customHeight="1" x14ac:dyDescent="0.35">
      <c r="E1405" s="2"/>
      <c r="F1405" s="2"/>
      <c r="G1405" s="2"/>
    </row>
    <row r="1406" spans="5:7" ht="30" customHeight="1" x14ac:dyDescent="0.35">
      <c r="E1406" s="2"/>
      <c r="F1406" s="2"/>
      <c r="G1406" s="2"/>
    </row>
    <row r="1407" spans="5:7" ht="30" customHeight="1" x14ac:dyDescent="0.35">
      <c r="E1407" s="2"/>
      <c r="F1407" s="2"/>
      <c r="G1407" s="2"/>
    </row>
    <row r="1408" spans="5:7" ht="30" customHeight="1" x14ac:dyDescent="0.35">
      <c r="E1408" s="2"/>
      <c r="F1408" s="2"/>
      <c r="G1408" s="2"/>
    </row>
    <row r="1409" spans="5:7" ht="30" customHeight="1" x14ac:dyDescent="0.35">
      <c r="E1409" s="2"/>
      <c r="F1409" s="2"/>
      <c r="G1409" s="2"/>
    </row>
    <row r="1410" spans="5:7" ht="30" customHeight="1" x14ac:dyDescent="0.35">
      <c r="E1410" s="2"/>
      <c r="F1410" s="2"/>
      <c r="G1410" s="2"/>
    </row>
    <row r="1411" spans="5:7" ht="30" customHeight="1" x14ac:dyDescent="0.35">
      <c r="E1411" s="2"/>
      <c r="F1411" s="2"/>
      <c r="G1411" s="2"/>
    </row>
    <row r="1412" spans="5:7" ht="30" customHeight="1" x14ac:dyDescent="0.35">
      <c r="E1412" s="2"/>
      <c r="F1412" s="2"/>
      <c r="G1412" s="2"/>
    </row>
    <row r="1413" spans="5:7" ht="30" customHeight="1" x14ac:dyDescent="0.35">
      <c r="E1413" s="2"/>
      <c r="F1413" s="2"/>
      <c r="G1413" s="2"/>
    </row>
    <row r="1414" spans="5:7" ht="30" customHeight="1" x14ac:dyDescent="0.35">
      <c r="E1414" s="2"/>
      <c r="F1414" s="2"/>
      <c r="G1414" s="2"/>
    </row>
    <row r="1415" spans="5:7" ht="30" customHeight="1" x14ac:dyDescent="0.35">
      <c r="E1415" s="2"/>
      <c r="F1415" s="2"/>
      <c r="G1415" s="2"/>
    </row>
    <row r="1416" spans="5:7" ht="30" customHeight="1" x14ac:dyDescent="0.35">
      <c r="E1416" s="2"/>
      <c r="F1416" s="2"/>
      <c r="G1416" s="2"/>
    </row>
    <row r="1417" spans="5:7" ht="30" customHeight="1" x14ac:dyDescent="0.35">
      <c r="E1417" s="2"/>
      <c r="F1417" s="2"/>
      <c r="G1417" s="2"/>
    </row>
    <row r="1418" spans="5:7" ht="30" customHeight="1" x14ac:dyDescent="0.35">
      <c r="E1418" s="2"/>
      <c r="F1418" s="2"/>
      <c r="G1418" s="2"/>
    </row>
    <row r="1419" spans="5:7" ht="30" customHeight="1" x14ac:dyDescent="0.35">
      <c r="E1419" s="2"/>
      <c r="F1419" s="2"/>
      <c r="G1419" s="2"/>
    </row>
    <row r="1420" spans="5:7" ht="30" customHeight="1" x14ac:dyDescent="0.35">
      <c r="E1420" s="2"/>
      <c r="F1420" s="2"/>
      <c r="G1420" s="2"/>
    </row>
    <row r="1421" spans="5:7" ht="30" customHeight="1" x14ac:dyDescent="0.35">
      <c r="E1421" s="2"/>
      <c r="F1421" s="2"/>
      <c r="G1421" s="2"/>
    </row>
    <row r="1422" spans="5:7" ht="30" customHeight="1" x14ac:dyDescent="0.35">
      <c r="E1422" s="2"/>
      <c r="F1422" s="2"/>
      <c r="G1422" s="2"/>
    </row>
    <row r="1423" spans="5:7" ht="30" customHeight="1" x14ac:dyDescent="0.35">
      <c r="E1423" s="2"/>
      <c r="F1423" s="2"/>
      <c r="G1423" s="2"/>
    </row>
    <row r="1424" spans="5:7" ht="30" customHeight="1" x14ac:dyDescent="0.35">
      <c r="E1424" s="2"/>
      <c r="F1424" s="2"/>
      <c r="G1424" s="2"/>
    </row>
    <row r="1425" spans="5:7" ht="30" customHeight="1" x14ac:dyDescent="0.35">
      <c r="E1425" s="2"/>
      <c r="F1425" s="2"/>
      <c r="G1425" s="2"/>
    </row>
    <row r="1426" spans="5:7" ht="30" customHeight="1" x14ac:dyDescent="0.35">
      <c r="E1426" s="2"/>
      <c r="F1426" s="2"/>
      <c r="G1426" s="2"/>
    </row>
    <row r="1427" spans="5:7" ht="30" customHeight="1" x14ac:dyDescent="0.35">
      <c r="E1427" s="2"/>
      <c r="F1427" s="2"/>
      <c r="G1427" s="2"/>
    </row>
    <row r="1428" spans="5:7" ht="30" customHeight="1" x14ac:dyDescent="0.35">
      <c r="E1428" s="2"/>
      <c r="F1428" s="2"/>
      <c r="G1428" s="2"/>
    </row>
    <row r="1429" spans="5:7" ht="30" customHeight="1" x14ac:dyDescent="0.35">
      <c r="E1429" s="2"/>
      <c r="F1429" s="2"/>
      <c r="G1429" s="2"/>
    </row>
    <row r="1430" spans="5:7" ht="30" customHeight="1" x14ac:dyDescent="0.35">
      <c r="E1430" s="2"/>
      <c r="F1430" s="2"/>
      <c r="G1430" s="2"/>
    </row>
    <row r="1431" spans="5:7" ht="30" customHeight="1" x14ac:dyDescent="0.35">
      <c r="E1431" s="2"/>
      <c r="F1431" s="2"/>
      <c r="G1431" s="2"/>
    </row>
    <row r="1432" spans="5:7" ht="30" customHeight="1" x14ac:dyDescent="0.35">
      <c r="E1432" s="2"/>
      <c r="F1432" s="2"/>
      <c r="G1432" s="2"/>
    </row>
    <row r="1433" spans="5:7" ht="30" customHeight="1" x14ac:dyDescent="0.35">
      <c r="E1433" s="2"/>
      <c r="F1433" s="2"/>
      <c r="G1433" s="2"/>
    </row>
    <row r="1434" spans="5:7" ht="30" customHeight="1" x14ac:dyDescent="0.35">
      <c r="E1434" s="2"/>
      <c r="F1434" s="2"/>
      <c r="G1434" s="2"/>
    </row>
    <row r="1435" spans="5:7" ht="30" customHeight="1" x14ac:dyDescent="0.35">
      <c r="E1435" s="2"/>
      <c r="F1435" s="2"/>
      <c r="G1435" s="2"/>
    </row>
    <row r="1436" spans="5:7" ht="30" customHeight="1" x14ac:dyDescent="0.35">
      <c r="E1436" s="2"/>
      <c r="F1436" s="2"/>
      <c r="G1436" s="2"/>
    </row>
    <row r="1437" spans="5:7" ht="30" customHeight="1" x14ac:dyDescent="0.35">
      <c r="E1437" s="2"/>
      <c r="F1437" s="2"/>
      <c r="G1437" s="2"/>
    </row>
    <row r="1438" spans="5:7" ht="30" customHeight="1" x14ac:dyDescent="0.35">
      <c r="E1438" s="2"/>
      <c r="F1438" s="2"/>
      <c r="G1438" s="2"/>
    </row>
    <row r="1439" spans="5:7" ht="30" customHeight="1" x14ac:dyDescent="0.35">
      <c r="E1439" s="2"/>
      <c r="F1439" s="2"/>
      <c r="G1439" s="2"/>
    </row>
    <row r="1440" spans="5:7" ht="30" customHeight="1" x14ac:dyDescent="0.35">
      <c r="E1440" s="2"/>
      <c r="F1440" s="2"/>
      <c r="G1440" s="2"/>
    </row>
    <row r="1441" spans="5:7" ht="30" customHeight="1" x14ac:dyDescent="0.35">
      <c r="E1441" s="2"/>
      <c r="F1441" s="2"/>
      <c r="G1441" s="2"/>
    </row>
    <row r="1442" spans="5:7" ht="30" customHeight="1" x14ac:dyDescent="0.35">
      <c r="E1442" s="2"/>
      <c r="F1442" s="2"/>
      <c r="G1442" s="2"/>
    </row>
    <row r="1443" spans="5:7" ht="30" customHeight="1" x14ac:dyDescent="0.35">
      <c r="E1443" s="2"/>
      <c r="F1443" s="2"/>
      <c r="G1443" s="2"/>
    </row>
    <row r="1444" spans="5:7" ht="30" customHeight="1" x14ac:dyDescent="0.35">
      <c r="E1444" s="2"/>
      <c r="F1444" s="2"/>
      <c r="G1444" s="2"/>
    </row>
    <row r="1445" spans="5:7" ht="30" customHeight="1" x14ac:dyDescent="0.35">
      <c r="E1445" s="2"/>
      <c r="F1445" s="2"/>
      <c r="G1445" s="2"/>
    </row>
    <row r="1446" spans="5:7" ht="30" customHeight="1" x14ac:dyDescent="0.35">
      <c r="E1446" s="2"/>
      <c r="F1446" s="2"/>
      <c r="G1446" s="2"/>
    </row>
    <row r="1447" spans="5:7" ht="30" customHeight="1" x14ac:dyDescent="0.35">
      <c r="E1447" s="2"/>
      <c r="F1447" s="2"/>
      <c r="G1447" s="2"/>
    </row>
    <row r="1448" spans="5:7" ht="30" customHeight="1" x14ac:dyDescent="0.35">
      <c r="E1448" s="2"/>
      <c r="F1448" s="2"/>
      <c r="G1448" s="2"/>
    </row>
    <row r="1449" spans="5:7" ht="30" customHeight="1" x14ac:dyDescent="0.35">
      <c r="E1449" s="2"/>
      <c r="F1449" s="2"/>
      <c r="G1449" s="2"/>
    </row>
    <row r="1450" spans="5:7" ht="30" customHeight="1" x14ac:dyDescent="0.35">
      <c r="E1450" s="2"/>
      <c r="F1450" s="2"/>
      <c r="G1450" s="2"/>
    </row>
    <row r="1451" spans="5:7" ht="30" customHeight="1" x14ac:dyDescent="0.35">
      <c r="E1451" s="2"/>
      <c r="F1451" s="2"/>
      <c r="G1451" s="2"/>
    </row>
    <row r="1452" spans="5:7" ht="30" customHeight="1" x14ac:dyDescent="0.35">
      <c r="E1452" s="2"/>
      <c r="F1452" s="2"/>
      <c r="G1452" s="2"/>
    </row>
    <row r="1453" spans="5:7" ht="30" customHeight="1" x14ac:dyDescent="0.35">
      <c r="E1453" s="2"/>
      <c r="F1453" s="2"/>
      <c r="G1453" s="2"/>
    </row>
    <row r="1454" spans="5:7" ht="30" customHeight="1" x14ac:dyDescent="0.35">
      <c r="E1454" s="2"/>
      <c r="F1454" s="2"/>
      <c r="G1454" s="2"/>
    </row>
    <row r="1455" spans="5:7" ht="30" customHeight="1" x14ac:dyDescent="0.35">
      <c r="E1455" s="2"/>
      <c r="F1455" s="2"/>
      <c r="G1455" s="2"/>
    </row>
    <row r="1456" spans="5:7" ht="30" customHeight="1" x14ac:dyDescent="0.35">
      <c r="E1456" s="2"/>
      <c r="F1456" s="2"/>
      <c r="G1456" s="2"/>
    </row>
    <row r="1457" spans="5:7" ht="30" customHeight="1" x14ac:dyDescent="0.35">
      <c r="E1457" s="2"/>
      <c r="F1457" s="2"/>
      <c r="G1457" s="2"/>
    </row>
    <row r="1458" spans="5:7" ht="30" customHeight="1" x14ac:dyDescent="0.35">
      <c r="E1458" s="2"/>
      <c r="F1458" s="2"/>
      <c r="G1458" s="2"/>
    </row>
    <row r="1459" spans="5:7" ht="30" customHeight="1" x14ac:dyDescent="0.35">
      <c r="E1459" s="2"/>
      <c r="F1459" s="2"/>
      <c r="G1459" s="2"/>
    </row>
    <row r="1460" spans="5:7" ht="30" customHeight="1" x14ac:dyDescent="0.35">
      <c r="E1460" s="2"/>
      <c r="F1460" s="2"/>
      <c r="G1460" s="2"/>
    </row>
    <row r="1461" spans="5:7" ht="30" customHeight="1" x14ac:dyDescent="0.35">
      <c r="E1461" s="2"/>
      <c r="F1461" s="2"/>
      <c r="G1461" s="2"/>
    </row>
    <row r="1462" spans="5:7" ht="30" customHeight="1" x14ac:dyDescent="0.35">
      <c r="E1462" s="2"/>
      <c r="F1462" s="2"/>
      <c r="G1462" s="2"/>
    </row>
    <row r="1463" spans="5:7" ht="30" customHeight="1" x14ac:dyDescent="0.35">
      <c r="E1463" s="2"/>
      <c r="F1463" s="2"/>
      <c r="G1463" s="2"/>
    </row>
    <row r="1464" spans="5:7" ht="30" customHeight="1" x14ac:dyDescent="0.35">
      <c r="E1464" s="2"/>
      <c r="F1464" s="2"/>
      <c r="G1464" s="2"/>
    </row>
    <row r="1465" spans="5:7" ht="30" customHeight="1" x14ac:dyDescent="0.35">
      <c r="E1465" s="2"/>
      <c r="F1465" s="2"/>
      <c r="G1465" s="2"/>
    </row>
    <row r="1466" spans="5:7" ht="30" customHeight="1" x14ac:dyDescent="0.35">
      <c r="E1466" s="2"/>
      <c r="F1466" s="2"/>
      <c r="G1466" s="2"/>
    </row>
    <row r="1467" spans="5:7" ht="30" customHeight="1" x14ac:dyDescent="0.35">
      <c r="E1467" s="2"/>
      <c r="F1467" s="2"/>
      <c r="G1467" s="2"/>
    </row>
    <row r="1468" spans="5:7" ht="30" customHeight="1" x14ac:dyDescent="0.35">
      <c r="E1468" s="2"/>
      <c r="F1468" s="2"/>
      <c r="G1468" s="2"/>
    </row>
    <row r="1469" spans="5:7" ht="30" customHeight="1" x14ac:dyDescent="0.35">
      <c r="E1469" s="2"/>
      <c r="F1469" s="2"/>
      <c r="G1469" s="2"/>
    </row>
    <row r="1470" spans="5:7" ht="30" customHeight="1" x14ac:dyDescent="0.35">
      <c r="E1470" s="2"/>
      <c r="F1470" s="2"/>
      <c r="G1470" s="2"/>
    </row>
    <row r="1471" spans="5:7" ht="30" customHeight="1" x14ac:dyDescent="0.35">
      <c r="E1471" s="2"/>
      <c r="F1471" s="2"/>
      <c r="G1471" s="2"/>
    </row>
    <row r="1472" spans="5:7" ht="30" customHeight="1" x14ac:dyDescent="0.35">
      <c r="E1472" s="2"/>
      <c r="F1472" s="2"/>
      <c r="G1472" s="2"/>
    </row>
    <row r="1473" spans="5:7" ht="30" customHeight="1" x14ac:dyDescent="0.35">
      <c r="E1473" s="2"/>
      <c r="F1473" s="2"/>
      <c r="G1473" s="2"/>
    </row>
    <row r="1474" spans="5:7" ht="30" customHeight="1" x14ac:dyDescent="0.35">
      <c r="E1474" s="2"/>
      <c r="F1474" s="2"/>
      <c r="G1474" s="2"/>
    </row>
    <row r="1475" spans="5:7" ht="30" customHeight="1" x14ac:dyDescent="0.35">
      <c r="E1475" s="2"/>
      <c r="F1475" s="2"/>
      <c r="G1475" s="2"/>
    </row>
    <row r="1476" spans="5:7" ht="30" customHeight="1" x14ac:dyDescent="0.35">
      <c r="E1476" s="2"/>
      <c r="F1476" s="2"/>
      <c r="G1476" s="2"/>
    </row>
    <row r="1477" spans="5:7" ht="30" customHeight="1" x14ac:dyDescent="0.35">
      <c r="E1477" s="2"/>
      <c r="F1477" s="2"/>
      <c r="G1477" s="2"/>
    </row>
    <row r="1478" spans="5:7" ht="30" customHeight="1" x14ac:dyDescent="0.35">
      <c r="E1478" s="2"/>
      <c r="F1478" s="2"/>
      <c r="G1478" s="2"/>
    </row>
    <row r="1479" spans="5:7" ht="30" customHeight="1" x14ac:dyDescent="0.35">
      <c r="E1479" s="2"/>
      <c r="F1479" s="2"/>
      <c r="G1479" s="2"/>
    </row>
    <row r="1480" spans="5:7" ht="30" customHeight="1" x14ac:dyDescent="0.35">
      <c r="E1480" s="2"/>
      <c r="F1480" s="2"/>
      <c r="G1480" s="2"/>
    </row>
    <row r="1481" spans="5:7" ht="30" customHeight="1" x14ac:dyDescent="0.35">
      <c r="E1481" s="2"/>
      <c r="F1481" s="2"/>
      <c r="G1481" s="2"/>
    </row>
    <row r="1482" spans="5:7" ht="30" customHeight="1" x14ac:dyDescent="0.35">
      <c r="E1482" s="2"/>
      <c r="F1482" s="2"/>
      <c r="G1482" s="2"/>
    </row>
    <row r="1483" spans="5:7" ht="30" customHeight="1" x14ac:dyDescent="0.35">
      <c r="E1483" s="2"/>
      <c r="F1483" s="2"/>
      <c r="G1483" s="2"/>
    </row>
    <row r="1484" spans="5:7" ht="30" customHeight="1" x14ac:dyDescent="0.35">
      <c r="E1484" s="2"/>
      <c r="F1484" s="2"/>
      <c r="G1484" s="2"/>
    </row>
    <row r="1485" spans="5:7" ht="30" customHeight="1" x14ac:dyDescent="0.35">
      <c r="E1485" s="2"/>
      <c r="F1485" s="2"/>
      <c r="G1485" s="2"/>
    </row>
    <row r="1486" spans="5:7" ht="30" customHeight="1" x14ac:dyDescent="0.35">
      <c r="E1486" s="2"/>
      <c r="F1486" s="2"/>
      <c r="G1486" s="2"/>
    </row>
    <row r="1487" spans="5:7" ht="30" customHeight="1" x14ac:dyDescent="0.35">
      <c r="E1487" s="2"/>
      <c r="F1487" s="2"/>
      <c r="G1487" s="2"/>
    </row>
    <row r="1488" spans="5:7" ht="30" customHeight="1" x14ac:dyDescent="0.35">
      <c r="E1488" s="2"/>
      <c r="F1488" s="2"/>
      <c r="G1488" s="2"/>
    </row>
    <row r="1489" spans="5:7" ht="30" customHeight="1" x14ac:dyDescent="0.35">
      <c r="E1489" s="2"/>
      <c r="F1489" s="2"/>
      <c r="G1489" s="2"/>
    </row>
    <row r="1490" spans="5:7" ht="30" customHeight="1" x14ac:dyDescent="0.35">
      <c r="E1490" s="2"/>
      <c r="F1490" s="2"/>
      <c r="G1490" s="2"/>
    </row>
    <row r="1491" spans="5:7" ht="30" customHeight="1" x14ac:dyDescent="0.35">
      <c r="E1491" s="2"/>
      <c r="F1491" s="2"/>
      <c r="G1491" s="2"/>
    </row>
    <row r="1492" spans="5:7" ht="30" customHeight="1" x14ac:dyDescent="0.35">
      <c r="E1492" s="2"/>
      <c r="F1492" s="2"/>
      <c r="G1492" s="2"/>
    </row>
    <row r="1493" spans="5:7" ht="30" customHeight="1" x14ac:dyDescent="0.35">
      <c r="E1493" s="2"/>
      <c r="F1493" s="2"/>
      <c r="G1493" s="2"/>
    </row>
    <row r="1494" spans="5:7" ht="30" customHeight="1" x14ac:dyDescent="0.35">
      <c r="E1494" s="2"/>
      <c r="F1494" s="2"/>
      <c r="G1494" s="2"/>
    </row>
    <row r="1495" spans="5:7" ht="30" customHeight="1" x14ac:dyDescent="0.35">
      <c r="E1495" s="2"/>
      <c r="F1495" s="2"/>
      <c r="G1495" s="2"/>
    </row>
    <row r="1496" spans="5:7" ht="30" customHeight="1" x14ac:dyDescent="0.35">
      <c r="E1496" s="2"/>
      <c r="F1496" s="2"/>
      <c r="G1496" s="2"/>
    </row>
    <row r="1497" spans="5:7" ht="30" customHeight="1" x14ac:dyDescent="0.35">
      <c r="E1497" s="2"/>
      <c r="F1497" s="2"/>
      <c r="G1497" s="2"/>
    </row>
    <row r="1498" spans="5:7" ht="30" customHeight="1" x14ac:dyDescent="0.35">
      <c r="E1498" s="2"/>
      <c r="F1498" s="2"/>
      <c r="G1498" s="2"/>
    </row>
    <row r="1499" spans="5:7" ht="30" customHeight="1" x14ac:dyDescent="0.35">
      <c r="E1499" s="2"/>
      <c r="F1499" s="2"/>
      <c r="G1499" s="2"/>
    </row>
    <row r="1500" spans="5:7" ht="30" customHeight="1" x14ac:dyDescent="0.35">
      <c r="E1500" s="2"/>
      <c r="F1500" s="2"/>
      <c r="G1500" s="2"/>
    </row>
    <row r="1501" spans="5:7" ht="30" customHeight="1" x14ac:dyDescent="0.35">
      <c r="E1501" s="2"/>
      <c r="F1501" s="2"/>
      <c r="G1501" s="2"/>
    </row>
    <row r="1502" spans="5:7" ht="30" customHeight="1" x14ac:dyDescent="0.35">
      <c r="E1502" s="2"/>
      <c r="F1502" s="2"/>
      <c r="G1502" s="2"/>
    </row>
    <row r="1503" spans="5:7" ht="30" customHeight="1" x14ac:dyDescent="0.35">
      <c r="E1503" s="2"/>
      <c r="F1503" s="2"/>
      <c r="G1503" s="2"/>
    </row>
    <row r="1504" spans="5:7" ht="30" customHeight="1" x14ac:dyDescent="0.35">
      <c r="E1504" s="2"/>
      <c r="F1504" s="2"/>
      <c r="G1504" s="2"/>
    </row>
    <row r="1505" spans="5:7" ht="30" customHeight="1" x14ac:dyDescent="0.35">
      <c r="E1505" s="2"/>
      <c r="F1505" s="2"/>
      <c r="G1505" s="2"/>
    </row>
    <row r="1506" spans="5:7" ht="30" customHeight="1" x14ac:dyDescent="0.35">
      <c r="E1506" s="2"/>
      <c r="F1506" s="2"/>
      <c r="G1506" s="2"/>
    </row>
    <row r="1507" spans="5:7" ht="30" customHeight="1" x14ac:dyDescent="0.35">
      <c r="E1507" s="2"/>
      <c r="F1507" s="2"/>
      <c r="G1507" s="2"/>
    </row>
    <row r="1508" spans="5:7" ht="30" customHeight="1" x14ac:dyDescent="0.35">
      <c r="E1508" s="2"/>
      <c r="F1508" s="2"/>
      <c r="G1508" s="2"/>
    </row>
    <row r="1509" spans="5:7" ht="30" customHeight="1" x14ac:dyDescent="0.35">
      <c r="E1509" s="2"/>
      <c r="F1509" s="2"/>
      <c r="G1509" s="2"/>
    </row>
    <row r="1510" spans="5:7" ht="30" customHeight="1" x14ac:dyDescent="0.35">
      <c r="E1510" s="2"/>
      <c r="F1510" s="2"/>
      <c r="G1510" s="2"/>
    </row>
    <row r="1511" spans="5:7" ht="30" customHeight="1" x14ac:dyDescent="0.35">
      <c r="E1511" s="2"/>
      <c r="F1511" s="2"/>
      <c r="G1511" s="2"/>
    </row>
    <row r="1512" spans="5:7" ht="30" customHeight="1" x14ac:dyDescent="0.35">
      <c r="E1512" s="2"/>
      <c r="F1512" s="2"/>
      <c r="G1512" s="2"/>
    </row>
    <row r="1513" spans="5:7" ht="30" customHeight="1" x14ac:dyDescent="0.35">
      <c r="E1513" s="2"/>
      <c r="F1513" s="2"/>
      <c r="G1513" s="2"/>
    </row>
    <row r="1514" spans="5:7" ht="30" customHeight="1" x14ac:dyDescent="0.35">
      <c r="E1514" s="2"/>
      <c r="F1514" s="2"/>
      <c r="G1514" s="2"/>
    </row>
    <row r="1515" spans="5:7" ht="30" customHeight="1" x14ac:dyDescent="0.35">
      <c r="E1515" s="2"/>
      <c r="F1515" s="2"/>
      <c r="G1515" s="2"/>
    </row>
    <row r="1516" spans="5:7" ht="30" customHeight="1" x14ac:dyDescent="0.35">
      <c r="E1516" s="2"/>
      <c r="F1516" s="2"/>
      <c r="G1516" s="2"/>
    </row>
    <row r="1517" spans="5:7" ht="30" customHeight="1" x14ac:dyDescent="0.35">
      <c r="E1517" s="2"/>
      <c r="F1517" s="2"/>
      <c r="G1517" s="2"/>
    </row>
    <row r="1518" spans="5:7" ht="30" customHeight="1" x14ac:dyDescent="0.35">
      <c r="E1518" s="2"/>
      <c r="F1518" s="2"/>
      <c r="G1518" s="2"/>
    </row>
    <row r="1519" spans="5:7" ht="30" customHeight="1" x14ac:dyDescent="0.35">
      <c r="E1519" s="2"/>
      <c r="F1519" s="2"/>
      <c r="G1519" s="2"/>
    </row>
    <row r="1520" spans="5:7" ht="30" customHeight="1" x14ac:dyDescent="0.35">
      <c r="E1520" s="2"/>
      <c r="F1520" s="2"/>
      <c r="G1520" s="2"/>
    </row>
    <row r="1521" spans="5:7" ht="30" customHeight="1" x14ac:dyDescent="0.35">
      <c r="E1521" s="2"/>
      <c r="F1521" s="2"/>
      <c r="G1521" s="2"/>
    </row>
    <row r="1522" spans="5:7" ht="30" customHeight="1" x14ac:dyDescent="0.35">
      <c r="E1522" s="2"/>
      <c r="F1522" s="2"/>
      <c r="G1522" s="2"/>
    </row>
    <row r="1523" spans="5:7" ht="30" customHeight="1" x14ac:dyDescent="0.35">
      <c r="E1523" s="2"/>
      <c r="F1523" s="2"/>
      <c r="G1523" s="2"/>
    </row>
    <row r="1524" spans="5:7" ht="30" customHeight="1" x14ac:dyDescent="0.35">
      <c r="E1524" s="2"/>
      <c r="F1524" s="2"/>
      <c r="G1524" s="2"/>
    </row>
    <row r="1525" spans="5:7" ht="30" customHeight="1" x14ac:dyDescent="0.35">
      <c r="E1525" s="2"/>
      <c r="F1525" s="2"/>
      <c r="G1525" s="2"/>
    </row>
    <row r="1526" spans="5:7" ht="30" customHeight="1" x14ac:dyDescent="0.35">
      <c r="E1526" s="2"/>
      <c r="F1526" s="2"/>
      <c r="G1526" s="2"/>
    </row>
    <row r="1527" spans="5:7" ht="30" customHeight="1" x14ac:dyDescent="0.35">
      <c r="E1527" s="2"/>
      <c r="F1527" s="2"/>
      <c r="G1527" s="2"/>
    </row>
    <row r="1528" spans="5:7" ht="30" customHeight="1" x14ac:dyDescent="0.35">
      <c r="E1528" s="2"/>
      <c r="F1528" s="2"/>
      <c r="G1528" s="2"/>
    </row>
    <row r="1529" spans="5:7" ht="30" customHeight="1" x14ac:dyDescent="0.35">
      <c r="E1529" s="2"/>
      <c r="F1529" s="2"/>
      <c r="G1529" s="2"/>
    </row>
    <row r="1530" spans="5:7" ht="30" customHeight="1" x14ac:dyDescent="0.35">
      <c r="E1530" s="2"/>
      <c r="F1530" s="2"/>
      <c r="G1530" s="2"/>
    </row>
    <row r="1531" spans="5:7" ht="30" customHeight="1" x14ac:dyDescent="0.35">
      <c r="E1531" s="2"/>
      <c r="F1531" s="2"/>
      <c r="G1531" s="2"/>
    </row>
    <row r="1532" spans="5:7" ht="30" customHeight="1" x14ac:dyDescent="0.35">
      <c r="E1532" s="2"/>
      <c r="F1532" s="2"/>
      <c r="G1532" s="2"/>
    </row>
    <row r="1533" spans="5:7" ht="30" customHeight="1" x14ac:dyDescent="0.35">
      <c r="E1533" s="2"/>
      <c r="F1533" s="2"/>
      <c r="G1533" s="2"/>
    </row>
    <row r="1534" spans="5:7" ht="30" customHeight="1" x14ac:dyDescent="0.35">
      <c r="E1534" s="2"/>
      <c r="F1534" s="2"/>
      <c r="G1534" s="2"/>
    </row>
    <row r="1535" spans="5:7" ht="30" customHeight="1" x14ac:dyDescent="0.35">
      <c r="E1535" s="2"/>
      <c r="F1535" s="2"/>
      <c r="G1535" s="2"/>
    </row>
    <row r="1536" spans="5:7" ht="30" customHeight="1" x14ac:dyDescent="0.35">
      <c r="E1536" s="2"/>
      <c r="F1536" s="2"/>
      <c r="G1536" s="2"/>
    </row>
    <row r="1537" spans="5:7" ht="30" customHeight="1" x14ac:dyDescent="0.35">
      <c r="E1537" s="2"/>
      <c r="F1537" s="2"/>
      <c r="G1537" s="2"/>
    </row>
    <row r="1538" spans="5:7" ht="30" customHeight="1" x14ac:dyDescent="0.35">
      <c r="E1538" s="2"/>
      <c r="F1538" s="2"/>
      <c r="G1538" s="2"/>
    </row>
    <row r="1539" spans="5:7" ht="30" customHeight="1" x14ac:dyDescent="0.35">
      <c r="E1539" s="2"/>
      <c r="F1539" s="2"/>
      <c r="G1539" s="2"/>
    </row>
    <row r="1540" spans="5:7" ht="30" customHeight="1" x14ac:dyDescent="0.35">
      <c r="E1540" s="2"/>
      <c r="F1540" s="2"/>
      <c r="G1540" s="2"/>
    </row>
    <row r="1541" spans="5:7" ht="30" customHeight="1" x14ac:dyDescent="0.35">
      <c r="E1541" s="2"/>
      <c r="F1541" s="2"/>
      <c r="G1541" s="2"/>
    </row>
    <row r="1542" spans="5:7" ht="30" customHeight="1" x14ac:dyDescent="0.35">
      <c r="E1542" s="2"/>
      <c r="F1542" s="2"/>
      <c r="G1542" s="2"/>
    </row>
    <row r="1543" spans="5:7" ht="30" customHeight="1" x14ac:dyDescent="0.35">
      <c r="E1543" s="2"/>
      <c r="F1543" s="2"/>
      <c r="G1543" s="2"/>
    </row>
    <row r="1544" spans="5:7" ht="30" customHeight="1" x14ac:dyDescent="0.35">
      <c r="E1544" s="2"/>
      <c r="F1544" s="2"/>
      <c r="G1544" s="2"/>
    </row>
    <row r="1545" spans="5:7" ht="30" customHeight="1" x14ac:dyDescent="0.35">
      <c r="E1545" s="2"/>
      <c r="F1545" s="2"/>
      <c r="G1545" s="2"/>
    </row>
    <row r="1546" spans="5:7" ht="30" customHeight="1" x14ac:dyDescent="0.35">
      <c r="E1546" s="2"/>
      <c r="F1546" s="2"/>
      <c r="G1546" s="2"/>
    </row>
    <row r="1547" spans="5:7" ht="30" customHeight="1" x14ac:dyDescent="0.35">
      <c r="E1547" s="2"/>
      <c r="F1547" s="2"/>
      <c r="G1547" s="2"/>
    </row>
    <row r="1548" spans="5:7" ht="30" customHeight="1" x14ac:dyDescent="0.35">
      <c r="E1548" s="2"/>
      <c r="F1548" s="2"/>
      <c r="G1548" s="2"/>
    </row>
    <row r="1549" spans="5:7" ht="30" customHeight="1" x14ac:dyDescent="0.35">
      <c r="E1549" s="2"/>
      <c r="F1549" s="2"/>
      <c r="G1549" s="2"/>
    </row>
    <row r="1550" spans="5:7" ht="30" customHeight="1" x14ac:dyDescent="0.35">
      <c r="E1550" s="2"/>
      <c r="F1550" s="2"/>
      <c r="G1550" s="2"/>
    </row>
    <row r="1551" spans="5:7" ht="30" customHeight="1" x14ac:dyDescent="0.35">
      <c r="E1551" s="2"/>
      <c r="F1551" s="2"/>
      <c r="G1551" s="2"/>
    </row>
    <row r="1552" spans="5:7" ht="30" customHeight="1" x14ac:dyDescent="0.35">
      <c r="E1552" s="2"/>
      <c r="F1552" s="2"/>
      <c r="G1552" s="2"/>
    </row>
    <row r="1553" spans="5:7" ht="30" customHeight="1" x14ac:dyDescent="0.35">
      <c r="E1553" s="2"/>
      <c r="F1553" s="2"/>
      <c r="G1553" s="2"/>
    </row>
    <row r="1554" spans="5:7" ht="30" customHeight="1" x14ac:dyDescent="0.35">
      <c r="E1554" s="2"/>
      <c r="F1554" s="2"/>
      <c r="G1554" s="2"/>
    </row>
    <row r="1555" spans="5:7" ht="30" customHeight="1" x14ac:dyDescent="0.35">
      <c r="E1555" s="2"/>
      <c r="F1555" s="2"/>
      <c r="G1555" s="2"/>
    </row>
    <row r="1556" spans="5:7" ht="30" customHeight="1" x14ac:dyDescent="0.35">
      <c r="E1556" s="2"/>
      <c r="F1556" s="2"/>
      <c r="G1556" s="2"/>
    </row>
    <row r="1557" spans="5:7" ht="30" customHeight="1" x14ac:dyDescent="0.35">
      <c r="E1557" s="2"/>
      <c r="F1557" s="2"/>
      <c r="G1557" s="2"/>
    </row>
    <row r="1558" spans="5:7" ht="30" customHeight="1" x14ac:dyDescent="0.35">
      <c r="E1558" s="2"/>
      <c r="F1558" s="2"/>
      <c r="G1558" s="2"/>
    </row>
    <row r="1559" spans="5:7" ht="30" customHeight="1" x14ac:dyDescent="0.35">
      <c r="E1559" s="2"/>
      <c r="F1559" s="2"/>
      <c r="G1559" s="2"/>
    </row>
    <row r="1560" spans="5:7" ht="30" customHeight="1" x14ac:dyDescent="0.35">
      <c r="E1560" s="2"/>
      <c r="F1560" s="2"/>
      <c r="G1560" s="2"/>
    </row>
    <row r="1561" spans="5:7" ht="30" customHeight="1" x14ac:dyDescent="0.35">
      <c r="E1561" s="2"/>
      <c r="F1561" s="2"/>
      <c r="G1561" s="2"/>
    </row>
    <row r="1562" spans="5:7" ht="30" customHeight="1" x14ac:dyDescent="0.35">
      <c r="E1562" s="2"/>
      <c r="F1562" s="2"/>
      <c r="G1562" s="2"/>
    </row>
    <row r="1563" spans="5:7" ht="30" customHeight="1" x14ac:dyDescent="0.35">
      <c r="E1563" s="2"/>
      <c r="F1563" s="2"/>
      <c r="G1563" s="2"/>
    </row>
    <row r="1564" spans="5:7" ht="30" customHeight="1" x14ac:dyDescent="0.35">
      <c r="E1564" s="2"/>
      <c r="F1564" s="2"/>
      <c r="G1564" s="2"/>
    </row>
    <row r="1565" spans="5:7" ht="30" customHeight="1" x14ac:dyDescent="0.35">
      <c r="E1565" s="2"/>
      <c r="F1565" s="2"/>
      <c r="G1565" s="2"/>
    </row>
    <row r="1566" spans="5:7" ht="30" customHeight="1" x14ac:dyDescent="0.35">
      <c r="E1566" s="2"/>
      <c r="F1566" s="2"/>
      <c r="G1566" s="2"/>
    </row>
    <row r="1567" spans="5:7" ht="30" customHeight="1" x14ac:dyDescent="0.35">
      <c r="E1567" s="2"/>
      <c r="F1567" s="2"/>
      <c r="G1567" s="2"/>
    </row>
    <row r="1568" spans="5:7" ht="30" customHeight="1" x14ac:dyDescent="0.35">
      <c r="E1568" s="2"/>
      <c r="F1568" s="2"/>
      <c r="G1568" s="2"/>
    </row>
    <row r="1569" spans="5:7" ht="30" customHeight="1" x14ac:dyDescent="0.35">
      <c r="E1569" s="2"/>
      <c r="F1569" s="2"/>
      <c r="G1569" s="2"/>
    </row>
    <row r="1570" spans="5:7" ht="30" customHeight="1" x14ac:dyDescent="0.35">
      <c r="E1570" s="2"/>
      <c r="F1570" s="2"/>
      <c r="G1570" s="2"/>
    </row>
    <row r="1571" spans="5:7" ht="30" customHeight="1" x14ac:dyDescent="0.35">
      <c r="E1571" s="2"/>
      <c r="F1571" s="2"/>
      <c r="G1571" s="2"/>
    </row>
    <row r="1572" spans="5:7" ht="30" customHeight="1" x14ac:dyDescent="0.35">
      <c r="E1572" s="2"/>
      <c r="F1572" s="2"/>
      <c r="G1572" s="2"/>
    </row>
    <row r="1573" spans="5:7" ht="30" customHeight="1" x14ac:dyDescent="0.35">
      <c r="E1573" s="2"/>
      <c r="F1573" s="2"/>
      <c r="G1573" s="2"/>
    </row>
    <row r="1574" spans="5:7" ht="30" customHeight="1" x14ac:dyDescent="0.35">
      <c r="E1574" s="2"/>
      <c r="F1574" s="2"/>
      <c r="G1574" s="2"/>
    </row>
    <row r="1575" spans="5:7" ht="30" customHeight="1" x14ac:dyDescent="0.35">
      <c r="E1575" s="2"/>
      <c r="F1575" s="2"/>
      <c r="G1575" s="2"/>
    </row>
    <row r="1576" spans="5:7" ht="30" customHeight="1" x14ac:dyDescent="0.35">
      <c r="E1576" s="2"/>
      <c r="F1576" s="2"/>
      <c r="G1576" s="2"/>
    </row>
    <row r="1577" spans="5:7" ht="30" customHeight="1" x14ac:dyDescent="0.35">
      <c r="E1577" s="2"/>
      <c r="F1577" s="2"/>
      <c r="G1577" s="2"/>
    </row>
    <row r="1578" spans="5:7" ht="30" customHeight="1" x14ac:dyDescent="0.35">
      <c r="E1578" s="2"/>
      <c r="F1578" s="2"/>
      <c r="G1578" s="2"/>
    </row>
    <row r="1579" spans="5:7" ht="30" customHeight="1" x14ac:dyDescent="0.35">
      <c r="E1579" s="2"/>
      <c r="F1579" s="2"/>
      <c r="G1579" s="2"/>
    </row>
    <row r="1580" spans="5:7" ht="30" customHeight="1" x14ac:dyDescent="0.35">
      <c r="E1580" s="2"/>
      <c r="F1580" s="2"/>
      <c r="G1580" s="2"/>
    </row>
    <row r="1581" spans="5:7" ht="30" customHeight="1" x14ac:dyDescent="0.35">
      <c r="E1581" s="2"/>
      <c r="F1581" s="2"/>
      <c r="G1581" s="2"/>
    </row>
    <row r="1582" spans="5:7" ht="30" customHeight="1" x14ac:dyDescent="0.35">
      <c r="E1582" s="2"/>
      <c r="F1582" s="2"/>
      <c r="G1582" s="2"/>
    </row>
    <row r="1583" spans="5:7" ht="30" customHeight="1" x14ac:dyDescent="0.35">
      <c r="E1583" s="2"/>
      <c r="F1583" s="2"/>
      <c r="G1583" s="2"/>
    </row>
    <row r="1584" spans="5:7" ht="30" customHeight="1" x14ac:dyDescent="0.35">
      <c r="E1584" s="2"/>
      <c r="F1584" s="2"/>
      <c r="G1584" s="2"/>
    </row>
    <row r="1585" spans="5:7" ht="30" customHeight="1" x14ac:dyDescent="0.35">
      <c r="E1585" s="2"/>
      <c r="F1585" s="2"/>
      <c r="G1585" s="2"/>
    </row>
    <row r="1586" spans="5:7" ht="30" customHeight="1" x14ac:dyDescent="0.35">
      <c r="E1586" s="2"/>
      <c r="F1586" s="2"/>
      <c r="G1586" s="2"/>
    </row>
    <row r="1587" spans="5:7" ht="30" customHeight="1" x14ac:dyDescent="0.35">
      <c r="E1587" s="2"/>
      <c r="F1587" s="2"/>
      <c r="G1587" s="2"/>
    </row>
    <row r="1588" spans="5:7" ht="30" customHeight="1" x14ac:dyDescent="0.35">
      <c r="E1588" s="2"/>
      <c r="F1588" s="2"/>
      <c r="G1588" s="2"/>
    </row>
    <row r="1589" spans="5:7" ht="30" customHeight="1" x14ac:dyDescent="0.35">
      <c r="E1589" s="2"/>
      <c r="F1589" s="2"/>
      <c r="G1589" s="2"/>
    </row>
    <row r="1590" spans="5:7" ht="30" customHeight="1" x14ac:dyDescent="0.35">
      <c r="E1590" s="2"/>
      <c r="F1590" s="2"/>
      <c r="G1590" s="2"/>
    </row>
    <row r="1591" spans="5:7" ht="30" customHeight="1" x14ac:dyDescent="0.35">
      <c r="E1591" s="2"/>
      <c r="F1591" s="2"/>
      <c r="G1591" s="2"/>
    </row>
    <row r="1592" spans="5:7" ht="30" customHeight="1" x14ac:dyDescent="0.35">
      <c r="E1592" s="2"/>
      <c r="F1592" s="2"/>
      <c r="G1592" s="2"/>
    </row>
    <row r="1593" spans="5:7" ht="30" customHeight="1" x14ac:dyDescent="0.35">
      <c r="E1593" s="2"/>
      <c r="F1593" s="2"/>
      <c r="G1593" s="2"/>
    </row>
    <row r="1594" spans="5:7" ht="30" customHeight="1" x14ac:dyDescent="0.35">
      <c r="E1594" s="2"/>
      <c r="F1594" s="2"/>
      <c r="G1594" s="2"/>
    </row>
    <row r="1595" spans="5:7" ht="30" customHeight="1" x14ac:dyDescent="0.35">
      <c r="E1595" s="2"/>
      <c r="F1595" s="2"/>
      <c r="G1595" s="2"/>
    </row>
    <row r="1596" spans="5:7" ht="30" customHeight="1" x14ac:dyDescent="0.35">
      <c r="E1596" s="2"/>
      <c r="F1596" s="2"/>
      <c r="G1596" s="2"/>
    </row>
    <row r="1597" spans="5:7" ht="30" customHeight="1" x14ac:dyDescent="0.35">
      <c r="E1597" s="2"/>
      <c r="F1597" s="2"/>
      <c r="G1597" s="2"/>
    </row>
    <row r="1598" spans="5:7" ht="30" customHeight="1" x14ac:dyDescent="0.35">
      <c r="E1598" s="2"/>
      <c r="F1598" s="2"/>
      <c r="G1598" s="2"/>
    </row>
    <row r="1599" spans="5:7" ht="30" customHeight="1" x14ac:dyDescent="0.35">
      <c r="E1599" s="2"/>
      <c r="F1599" s="2"/>
      <c r="G1599" s="2"/>
    </row>
    <row r="1600" spans="5:7" ht="30" customHeight="1" x14ac:dyDescent="0.35">
      <c r="E1600" s="2"/>
      <c r="F1600" s="2"/>
      <c r="G1600" s="2"/>
    </row>
    <row r="1601" spans="5:7" ht="30" customHeight="1" x14ac:dyDescent="0.35">
      <c r="E1601" s="2"/>
      <c r="F1601" s="2"/>
      <c r="G1601" s="2"/>
    </row>
    <row r="1602" spans="5:7" ht="30" customHeight="1" x14ac:dyDescent="0.35">
      <c r="E1602" s="2"/>
      <c r="F1602" s="2"/>
      <c r="G1602" s="2"/>
    </row>
    <row r="1603" spans="5:7" ht="30" customHeight="1" x14ac:dyDescent="0.35">
      <c r="E1603" s="2"/>
      <c r="F1603" s="2"/>
      <c r="G1603" s="2"/>
    </row>
    <row r="1604" spans="5:7" ht="30" customHeight="1" x14ac:dyDescent="0.35">
      <c r="E1604" s="2"/>
      <c r="F1604" s="2"/>
      <c r="G1604" s="2"/>
    </row>
    <row r="1605" spans="5:7" ht="30" customHeight="1" x14ac:dyDescent="0.35">
      <c r="E1605" s="2"/>
      <c r="F1605" s="2"/>
      <c r="G1605" s="2"/>
    </row>
    <row r="1606" spans="5:7" ht="30" customHeight="1" x14ac:dyDescent="0.35">
      <c r="E1606" s="2"/>
      <c r="F1606" s="2"/>
      <c r="G1606" s="2"/>
    </row>
    <row r="1607" spans="5:7" ht="30" customHeight="1" x14ac:dyDescent="0.35">
      <c r="E1607" s="2"/>
      <c r="F1607" s="2"/>
      <c r="G1607" s="2"/>
    </row>
    <row r="1608" spans="5:7" ht="30" customHeight="1" x14ac:dyDescent="0.35">
      <c r="E1608" s="2"/>
      <c r="F1608" s="2"/>
      <c r="G1608" s="2"/>
    </row>
    <row r="1609" spans="5:7" ht="30" customHeight="1" x14ac:dyDescent="0.35">
      <c r="E1609" s="2"/>
      <c r="F1609" s="2"/>
      <c r="G1609" s="2"/>
    </row>
    <row r="1610" spans="5:7" ht="30" customHeight="1" x14ac:dyDescent="0.35">
      <c r="E1610" s="2"/>
      <c r="F1610" s="2"/>
      <c r="G1610" s="2"/>
    </row>
    <row r="1611" spans="5:7" ht="30" customHeight="1" x14ac:dyDescent="0.35">
      <c r="E1611" s="2"/>
      <c r="F1611" s="2"/>
      <c r="G1611" s="2"/>
    </row>
    <row r="1612" spans="5:7" ht="30" customHeight="1" x14ac:dyDescent="0.35">
      <c r="E1612" s="2"/>
      <c r="F1612" s="2"/>
      <c r="G1612" s="2"/>
    </row>
    <row r="1613" spans="5:7" ht="30" customHeight="1" x14ac:dyDescent="0.35">
      <c r="E1613" s="2"/>
      <c r="F1613" s="2"/>
      <c r="G1613" s="2"/>
    </row>
    <row r="1614" spans="5:7" ht="30" customHeight="1" x14ac:dyDescent="0.35">
      <c r="E1614" s="2"/>
      <c r="F1614" s="2"/>
      <c r="G1614" s="2"/>
    </row>
    <row r="1615" spans="5:7" ht="30" customHeight="1" x14ac:dyDescent="0.35">
      <c r="E1615" s="2"/>
      <c r="F1615" s="2"/>
      <c r="G1615" s="2"/>
    </row>
    <row r="1616" spans="5:7" ht="30" customHeight="1" x14ac:dyDescent="0.35">
      <c r="E1616" s="2"/>
      <c r="F1616" s="2"/>
      <c r="G1616" s="2"/>
    </row>
    <row r="1617" spans="5:7" ht="30" customHeight="1" x14ac:dyDescent="0.35">
      <c r="E1617" s="2"/>
      <c r="F1617" s="2"/>
      <c r="G1617" s="2"/>
    </row>
    <row r="1618" spans="5:7" ht="30" customHeight="1" x14ac:dyDescent="0.35">
      <c r="E1618" s="2"/>
      <c r="F1618" s="2"/>
      <c r="G1618" s="2"/>
    </row>
    <row r="1619" spans="5:7" ht="30" customHeight="1" x14ac:dyDescent="0.35">
      <c r="E1619" s="2"/>
      <c r="F1619" s="2"/>
      <c r="G1619" s="2"/>
    </row>
    <row r="1620" spans="5:7" ht="30" customHeight="1" x14ac:dyDescent="0.35">
      <c r="E1620" s="2"/>
      <c r="F1620" s="2"/>
      <c r="G1620" s="2"/>
    </row>
    <row r="1621" spans="5:7" ht="30" customHeight="1" x14ac:dyDescent="0.35">
      <c r="E1621" s="2"/>
      <c r="F1621" s="2"/>
      <c r="G1621" s="2"/>
    </row>
    <row r="1622" spans="5:7" ht="30" customHeight="1" x14ac:dyDescent="0.35">
      <c r="E1622" s="2"/>
      <c r="F1622" s="2"/>
      <c r="G1622" s="2"/>
    </row>
    <row r="1623" spans="5:7" ht="30" customHeight="1" x14ac:dyDescent="0.35">
      <c r="E1623" s="2"/>
      <c r="F1623" s="2"/>
      <c r="G1623" s="2"/>
    </row>
    <row r="1624" spans="5:7" ht="30" customHeight="1" x14ac:dyDescent="0.35">
      <c r="E1624" s="2"/>
      <c r="F1624" s="2"/>
      <c r="G1624" s="2"/>
    </row>
    <row r="1625" spans="5:7" ht="30" customHeight="1" x14ac:dyDescent="0.35">
      <c r="E1625" s="2"/>
      <c r="F1625" s="2"/>
      <c r="G1625" s="2"/>
    </row>
    <row r="1626" spans="5:7" ht="30" customHeight="1" x14ac:dyDescent="0.35">
      <c r="E1626" s="2"/>
      <c r="F1626" s="2"/>
      <c r="G1626" s="2"/>
    </row>
    <row r="1627" spans="5:7" ht="30" customHeight="1" x14ac:dyDescent="0.35">
      <c r="E1627" s="2"/>
      <c r="F1627" s="2"/>
      <c r="G1627" s="2"/>
    </row>
    <row r="1628" spans="5:7" ht="30" customHeight="1" x14ac:dyDescent="0.35">
      <c r="E1628" s="2"/>
      <c r="F1628" s="2"/>
      <c r="G1628" s="2"/>
    </row>
    <row r="1629" spans="5:7" ht="30" customHeight="1" x14ac:dyDescent="0.35">
      <c r="E1629" s="2"/>
      <c r="F1629" s="2"/>
      <c r="G1629" s="2"/>
    </row>
    <row r="1630" spans="5:7" ht="30" customHeight="1" x14ac:dyDescent="0.35">
      <c r="E1630" s="2"/>
      <c r="F1630" s="2"/>
      <c r="G1630" s="2"/>
    </row>
    <row r="1631" spans="5:7" ht="30" customHeight="1" x14ac:dyDescent="0.35">
      <c r="E1631" s="2"/>
      <c r="F1631" s="2"/>
      <c r="G1631" s="2"/>
    </row>
    <row r="1632" spans="5:7" ht="30" customHeight="1" x14ac:dyDescent="0.35">
      <c r="E1632" s="2"/>
      <c r="F1632" s="2"/>
      <c r="G1632" s="2"/>
    </row>
    <row r="1633" spans="5:7" ht="30" customHeight="1" x14ac:dyDescent="0.35">
      <c r="E1633" s="2"/>
      <c r="F1633" s="2"/>
      <c r="G1633" s="2"/>
    </row>
    <row r="1634" spans="5:7" ht="30" customHeight="1" x14ac:dyDescent="0.35">
      <c r="E1634" s="2"/>
      <c r="F1634" s="2"/>
      <c r="G1634" s="2"/>
    </row>
    <row r="1635" spans="5:7" ht="30" customHeight="1" x14ac:dyDescent="0.35">
      <c r="E1635" s="2"/>
      <c r="F1635" s="2"/>
      <c r="G1635" s="2"/>
    </row>
    <row r="1636" spans="5:7" ht="30" customHeight="1" x14ac:dyDescent="0.35">
      <c r="E1636" s="2"/>
      <c r="F1636" s="2"/>
      <c r="G1636" s="2"/>
    </row>
    <row r="1637" spans="5:7" ht="30" customHeight="1" x14ac:dyDescent="0.35">
      <c r="E1637" s="2"/>
      <c r="F1637" s="2"/>
      <c r="G1637" s="2"/>
    </row>
    <row r="1638" spans="5:7" ht="30" customHeight="1" x14ac:dyDescent="0.35">
      <c r="E1638" s="2"/>
      <c r="F1638" s="2"/>
      <c r="G1638" s="2"/>
    </row>
    <row r="1639" spans="5:7" ht="30" customHeight="1" x14ac:dyDescent="0.35">
      <c r="E1639" s="2"/>
      <c r="F1639" s="2"/>
      <c r="G1639" s="2"/>
    </row>
    <row r="1640" spans="5:7" ht="30" customHeight="1" x14ac:dyDescent="0.35">
      <c r="E1640" s="2"/>
      <c r="F1640" s="2"/>
      <c r="G1640" s="2"/>
    </row>
    <row r="1641" spans="5:7" ht="30" customHeight="1" x14ac:dyDescent="0.35">
      <c r="E1641" s="2"/>
      <c r="F1641" s="2"/>
      <c r="G1641" s="2"/>
    </row>
    <row r="1642" spans="5:7" ht="30" customHeight="1" x14ac:dyDescent="0.35">
      <c r="E1642" s="2"/>
      <c r="F1642" s="2"/>
      <c r="G1642" s="2"/>
    </row>
    <row r="1643" spans="5:7" ht="30" customHeight="1" x14ac:dyDescent="0.35">
      <c r="E1643" s="2"/>
      <c r="F1643" s="2"/>
      <c r="G1643" s="2"/>
    </row>
    <row r="1644" spans="5:7" ht="30" customHeight="1" x14ac:dyDescent="0.35">
      <c r="E1644" s="2"/>
      <c r="F1644" s="2"/>
      <c r="G1644" s="2"/>
    </row>
    <row r="1645" spans="5:7" ht="30" customHeight="1" x14ac:dyDescent="0.35">
      <c r="E1645" s="2"/>
      <c r="F1645" s="2"/>
      <c r="G1645" s="2"/>
    </row>
    <row r="1646" spans="5:7" ht="30" customHeight="1" x14ac:dyDescent="0.35">
      <c r="E1646" s="2"/>
      <c r="F1646" s="2"/>
      <c r="G1646" s="2"/>
    </row>
    <row r="1647" spans="5:7" ht="30" customHeight="1" x14ac:dyDescent="0.35">
      <c r="E1647" s="2"/>
      <c r="F1647" s="2"/>
      <c r="G1647" s="2"/>
    </row>
    <row r="1648" spans="5:7" ht="30" customHeight="1" x14ac:dyDescent="0.35">
      <c r="E1648" s="2"/>
      <c r="F1648" s="2"/>
      <c r="G1648" s="2"/>
    </row>
    <row r="1649" spans="5:7" ht="30" customHeight="1" x14ac:dyDescent="0.35">
      <c r="E1649" s="2"/>
      <c r="F1649" s="2"/>
      <c r="G1649" s="2"/>
    </row>
    <row r="1650" spans="5:7" ht="30" customHeight="1" x14ac:dyDescent="0.35">
      <c r="E1650" s="2"/>
      <c r="F1650" s="2"/>
      <c r="G1650" s="2"/>
    </row>
    <row r="1651" spans="5:7" ht="30" customHeight="1" x14ac:dyDescent="0.35">
      <c r="E1651" s="2"/>
      <c r="F1651" s="2"/>
      <c r="G1651" s="2"/>
    </row>
    <row r="1652" spans="5:7" ht="30" customHeight="1" x14ac:dyDescent="0.35">
      <c r="E1652" s="2"/>
      <c r="F1652" s="2"/>
      <c r="G1652" s="2"/>
    </row>
    <row r="1653" spans="5:7" ht="30" customHeight="1" x14ac:dyDescent="0.35">
      <c r="E1653" s="2"/>
      <c r="F1653" s="2"/>
      <c r="G1653" s="2"/>
    </row>
    <row r="1654" spans="5:7" ht="30" customHeight="1" x14ac:dyDescent="0.35">
      <c r="E1654" s="2"/>
      <c r="F1654" s="2"/>
      <c r="G1654" s="2"/>
    </row>
    <row r="1655" spans="5:7" ht="30" customHeight="1" x14ac:dyDescent="0.35">
      <c r="E1655" s="2"/>
      <c r="F1655" s="2"/>
      <c r="G1655" s="2"/>
    </row>
    <row r="1656" spans="5:7" ht="30" customHeight="1" x14ac:dyDescent="0.35">
      <c r="E1656" s="2"/>
      <c r="F1656" s="2"/>
      <c r="G1656" s="2"/>
    </row>
    <row r="1657" spans="5:7" ht="30" customHeight="1" x14ac:dyDescent="0.35">
      <c r="E1657" s="2"/>
      <c r="F1657" s="2"/>
      <c r="G1657" s="2"/>
    </row>
    <row r="1658" spans="5:7" ht="30" customHeight="1" x14ac:dyDescent="0.35">
      <c r="E1658" s="2"/>
      <c r="F1658" s="2"/>
      <c r="G1658" s="2"/>
    </row>
    <row r="1659" spans="5:7" ht="30" customHeight="1" x14ac:dyDescent="0.35">
      <c r="E1659" s="2"/>
      <c r="F1659" s="2"/>
      <c r="G1659" s="2"/>
    </row>
    <row r="1660" spans="5:7" ht="30" customHeight="1" x14ac:dyDescent="0.35">
      <c r="E1660" s="2"/>
      <c r="F1660" s="2"/>
      <c r="G1660" s="2"/>
    </row>
    <row r="1661" spans="5:7" ht="30" customHeight="1" x14ac:dyDescent="0.35">
      <c r="E1661" s="2"/>
      <c r="F1661" s="2"/>
      <c r="G1661" s="2"/>
    </row>
    <row r="1662" spans="5:7" ht="30" customHeight="1" x14ac:dyDescent="0.35">
      <c r="E1662" s="2"/>
      <c r="F1662" s="2"/>
      <c r="G1662" s="2"/>
    </row>
    <row r="1663" spans="5:7" ht="30" customHeight="1" x14ac:dyDescent="0.35">
      <c r="E1663" s="2"/>
      <c r="F1663" s="2"/>
      <c r="G1663" s="2"/>
    </row>
    <row r="1664" spans="5:7" ht="30" customHeight="1" x14ac:dyDescent="0.35">
      <c r="E1664" s="2"/>
      <c r="F1664" s="2"/>
      <c r="G1664" s="2"/>
    </row>
    <row r="1665" spans="5:7" ht="30" customHeight="1" x14ac:dyDescent="0.35">
      <c r="E1665" s="2"/>
      <c r="F1665" s="2"/>
      <c r="G1665" s="2"/>
    </row>
    <row r="1666" spans="5:7" ht="30" customHeight="1" x14ac:dyDescent="0.35">
      <c r="E1666" s="2"/>
      <c r="F1666" s="2"/>
      <c r="G1666" s="2"/>
    </row>
    <row r="1667" spans="5:7" ht="30" customHeight="1" x14ac:dyDescent="0.35">
      <c r="E1667" s="2"/>
      <c r="F1667" s="2"/>
      <c r="G1667" s="2"/>
    </row>
    <row r="1668" spans="5:7" ht="30" customHeight="1" x14ac:dyDescent="0.35">
      <c r="E1668" s="2"/>
      <c r="F1668" s="2"/>
      <c r="G1668" s="2"/>
    </row>
    <row r="1669" spans="5:7" ht="30" customHeight="1" x14ac:dyDescent="0.35">
      <c r="E1669" s="2"/>
      <c r="F1669" s="2"/>
      <c r="G1669" s="2"/>
    </row>
    <row r="1670" spans="5:7" ht="30" customHeight="1" x14ac:dyDescent="0.35">
      <c r="E1670" s="2"/>
      <c r="F1670" s="2"/>
      <c r="G1670" s="2"/>
    </row>
    <row r="1671" spans="5:7" ht="30" customHeight="1" x14ac:dyDescent="0.35">
      <c r="E1671" s="2"/>
      <c r="F1671" s="2"/>
      <c r="G1671" s="2"/>
    </row>
    <row r="1672" spans="5:7" ht="30" customHeight="1" x14ac:dyDescent="0.35">
      <c r="E1672" s="2"/>
      <c r="F1672" s="2"/>
      <c r="G1672" s="2"/>
    </row>
    <row r="1673" spans="5:7" ht="30" customHeight="1" x14ac:dyDescent="0.35">
      <c r="E1673" s="2"/>
      <c r="F1673" s="2"/>
      <c r="G1673" s="2"/>
    </row>
    <row r="1674" spans="5:7" ht="30" customHeight="1" x14ac:dyDescent="0.35">
      <c r="E1674" s="2"/>
      <c r="F1674" s="2"/>
      <c r="G1674" s="2"/>
    </row>
    <row r="1675" spans="5:7" ht="30" customHeight="1" x14ac:dyDescent="0.35">
      <c r="E1675" s="2"/>
      <c r="F1675" s="2"/>
      <c r="G1675" s="2"/>
    </row>
    <row r="1676" spans="5:7" ht="30" customHeight="1" x14ac:dyDescent="0.35">
      <c r="E1676" s="2"/>
      <c r="F1676" s="2"/>
      <c r="G1676" s="2"/>
    </row>
    <row r="1677" spans="5:7" ht="30" customHeight="1" x14ac:dyDescent="0.35">
      <c r="E1677" s="2"/>
      <c r="F1677" s="2"/>
      <c r="G1677" s="2"/>
    </row>
    <row r="1678" spans="5:7" ht="30" customHeight="1" x14ac:dyDescent="0.35">
      <c r="E1678" s="2"/>
      <c r="F1678" s="2"/>
      <c r="G1678" s="2"/>
    </row>
    <row r="1679" spans="5:7" ht="30" customHeight="1" x14ac:dyDescent="0.35">
      <c r="E1679" s="2"/>
      <c r="F1679" s="2"/>
      <c r="G1679" s="2"/>
    </row>
    <row r="1680" spans="5:7" ht="30" customHeight="1" x14ac:dyDescent="0.35">
      <c r="E1680" s="2"/>
      <c r="F1680" s="2"/>
      <c r="G1680" s="2"/>
    </row>
    <row r="1681" spans="5:7" ht="30" customHeight="1" x14ac:dyDescent="0.35">
      <c r="E1681" s="2"/>
      <c r="F1681" s="2"/>
      <c r="G1681" s="2"/>
    </row>
    <row r="1682" spans="5:7" ht="30" customHeight="1" x14ac:dyDescent="0.35">
      <c r="E1682" s="2"/>
      <c r="F1682" s="2"/>
      <c r="G1682" s="2"/>
    </row>
    <row r="1683" spans="5:7" ht="30" customHeight="1" x14ac:dyDescent="0.35">
      <c r="E1683" s="2"/>
      <c r="F1683" s="2"/>
      <c r="G1683" s="2"/>
    </row>
    <row r="1684" spans="5:7" ht="30" customHeight="1" x14ac:dyDescent="0.35">
      <c r="E1684" s="2"/>
      <c r="F1684" s="2"/>
      <c r="G1684" s="2"/>
    </row>
    <row r="1685" spans="5:7" ht="30" customHeight="1" x14ac:dyDescent="0.35">
      <c r="E1685" s="2"/>
      <c r="F1685" s="2"/>
      <c r="G1685" s="2"/>
    </row>
    <row r="1686" spans="5:7" ht="30" customHeight="1" x14ac:dyDescent="0.35">
      <c r="E1686" s="2"/>
      <c r="F1686" s="2"/>
      <c r="G1686" s="2"/>
    </row>
    <row r="1687" spans="5:7" ht="30" customHeight="1" x14ac:dyDescent="0.35">
      <c r="E1687" s="2"/>
      <c r="F1687" s="2"/>
      <c r="G1687" s="2"/>
    </row>
    <row r="1688" spans="5:7" ht="30" customHeight="1" x14ac:dyDescent="0.35">
      <c r="E1688" s="2"/>
      <c r="F1688" s="2"/>
      <c r="G1688" s="2"/>
    </row>
    <row r="1689" spans="5:7" ht="30" customHeight="1" x14ac:dyDescent="0.35">
      <c r="E1689" s="2"/>
      <c r="F1689" s="2"/>
      <c r="G1689" s="2"/>
    </row>
    <row r="1690" spans="5:7" ht="30" customHeight="1" x14ac:dyDescent="0.35">
      <c r="E1690" s="2"/>
      <c r="F1690" s="2"/>
      <c r="G1690" s="2"/>
    </row>
    <row r="1691" spans="5:7" ht="30" customHeight="1" x14ac:dyDescent="0.35">
      <c r="E1691" s="2"/>
      <c r="F1691" s="2"/>
      <c r="G1691" s="2"/>
    </row>
    <row r="1692" spans="5:7" ht="30" customHeight="1" x14ac:dyDescent="0.35">
      <c r="E1692" s="2"/>
      <c r="F1692" s="2"/>
      <c r="G1692" s="2"/>
    </row>
    <row r="1693" spans="5:7" ht="30" customHeight="1" x14ac:dyDescent="0.35">
      <c r="E1693" s="2"/>
      <c r="F1693" s="2"/>
      <c r="G1693" s="2"/>
    </row>
    <row r="1694" spans="5:7" ht="30" customHeight="1" x14ac:dyDescent="0.35">
      <c r="E1694" s="2"/>
      <c r="F1694" s="2"/>
      <c r="G1694" s="2"/>
    </row>
    <row r="1695" spans="5:7" ht="30" customHeight="1" x14ac:dyDescent="0.35">
      <c r="E1695" s="2"/>
      <c r="F1695" s="2"/>
      <c r="G1695" s="2"/>
    </row>
    <row r="1696" spans="5:7" ht="30" customHeight="1" x14ac:dyDescent="0.35">
      <c r="E1696" s="2"/>
      <c r="F1696" s="2"/>
      <c r="G1696" s="2"/>
    </row>
    <row r="1697" spans="5:7" ht="30" customHeight="1" x14ac:dyDescent="0.35">
      <c r="E1697" s="2"/>
      <c r="F1697" s="2"/>
      <c r="G1697" s="2"/>
    </row>
    <row r="1698" spans="5:7" ht="30" customHeight="1" x14ac:dyDescent="0.35">
      <c r="E1698" s="2"/>
      <c r="F1698" s="2"/>
      <c r="G1698" s="2"/>
    </row>
    <row r="1699" spans="5:7" ht="30" customHeight="1" x14ac:dyDescent="0.35">
      <c r="E1699" s="2"/>
      <c r="F1699" s="2"/>
      <c r="G1699" s="2"/>
    </row>
    <row r="1700" spans="5:7" ht="30" customHeight="1" x14ac:dyDescent="0.35">
      <c r="E1700" s="2"/>
      <c r="F1700" s="2"/>
      <c r="G1700" s="2"/>
    </row>
    <row r="1701" spans="5:7" ht="30" customHeight="1" x14ac:dyDescent="0.35">
      <c r="E1701" s="2"/>
      <c r="F1701" s="2"/>
      <c r="G1701" s="2"/>
    </row>
    <row r="1702" spans="5:7" ht="30" customHeight="1" x14ac:dyDescent="0.35">
      <c r="E1702" s="2"/>
      <c r="F1702" s="2"/>
      <c r="G1702" s="2"/>
    </row>
    <row r="1703" spans="5:7" ht="30" customHeight="1" x14ac:dyDescent="0.35">
      <c r="E1703" s="2"/>
      <c r="F1703" s="2"/>
      <c r="G1703" s="2"/>
    </row>
    <row r="1704" spans="5:7" ht="30" customHeight="1" x14ac:dyDescent="0.35">
      <c r="E1704" s="2"/>
      <c r="F1704" s="2"/>
      <c r="G1704" s="2"/>
    </row>
    <row r="1705" spans="5:7" ht="30" customHeight="1" x14ac:dyDescent="0.35">
      <c r="E1705" s="2"/>
      <c r="F1705" s="2"/>
      <c r="G1705" s="2"/>
    </row>
    <row r="1706" spans="5:7" ht="30" customHeight="1" x14ac:dyDescent="0.35">
      <c r="E1706" s="2"/>
      <c r="F1706" s="2"/>
      <c r="G1706" s="2"/>
    </row>
    <row r="1707" spans="5:7" ht="30" customHeight="1" x14ac:dyDescent="0.35">
      <c r="E1707" s="2"/>
      <c r="F1707" s="2"/>
      <c r="G1707" s="2"/>
    </row>
    <row r="1708" spans="5:7" ht="30" customHeight="1" x14ac:dyDescent="0.35">
      <c r="E1708" s="2"/>
      <c r="F1708" s="2"/>
      <c r="G1708" s="2"/>
    </row>
    <row r="1709" spans="5:7" ht="30" customHeight="1" x14ac:dyDescent="0.35">
      <c r="E1709" s="2"/>
      <c r="F1709" s="2"/>
      <c r="G1709" s="2"/>
    </row>
    <row r="1710" spans="5:7" ht="30" customHeight="1" x14ac:dyDescent="0.35">
      <c r="E1710" s="2"/>
      <c r="F1710" s="2"/>
      <c r="G1710" s="2"/>
    </row>
    <row r="1711" spans="5:7" ht="30" customHeight="1" x14ac:dyDescent="0.35">
      <c r="E1711" s="2"/>
      <c r="F1711" s="2"/>
      <c r="G1711" s="2"/>
    </row>
    <row r="1712" spans="5:7" ht="30" customHeight="1" x14ac:dyDescent="0.35">
      <c r="E1712" s="2"/>
      <c r="F1712" s="2"/>
      <c r="G1712" s="2"/>
    </row>
    <row r="1713" spans="5:7" ht="30" customHeight="1" x14ac:dyDescent="0.35">
      <c r="E1713" s="2"/>
      <c r="F1713" s="2"/>
      <c r="G1713" s="2"/>
    </row>
    <row r="1714" spans="5:7" ht="30" customHeight="1" x14ac:dyDescent="0.35">
      <c r="E1714" s="2"/>
      <c r="F1714" s="2"/>
      <c r="G1714" s="2"/>
    </row>
    <row r="1715" spans="5:7" ht="30" customHeight="1" x14ac:dyDescent="0.35">
      <c r="E1715" s="2"/>
      <c r="F1715" s="2"/>
      <c r="G1715" s="2"/>
    </row>
    <row r="1716" spans="5:7" ht="30" customHeight="1" x14ac:dyDescent="0.35">
      <c r="E1716" s="2"/>
      <c r="F1716" s="2"/>
      <c r="G1716" s="2"/>
    </row>
    <row r="1717" spans="5:7" ht="30" customHeight="1" x14ac:dyDescent="0.35">
      <c r="E1717" s="2"/>
      <c r="F1717" s="2"/>
      <c r="G1717" s="2"/>
    </row>
    <row r="1718" spans="5:7" ht="30" customHeight="1" x14ac:dyDescent="0.35">
      <c r="E1718" s="2"/>
      <c r="F1718" s="2"/>
      <c r="G1718" s="2"/>
    </row>
    <row r="1719" spans="5:7" ht="30" customHeight="1" x14ac:dyDescent="0.35">
      <c r="E1719" s="2"/>
      <c r="F1719" s="2"/>
      <c r="G1719" s="2"/>
    </row>
    <row r="1720" spans="5:7" ht="30" customHeight="1" x14ac:dyDescent="0.35">
      <c r="E1720" s="2"/>
      <c r="F1720" s="2"/>
      <c r="G1720" s="2"/>
    </row>
    <row r="1721" spans="5:7" ht="30" customHeight="1" x14ac:dyDescent="0.35">
      <c r="E1721" s="2"/>
      <c r="F1721" s="2"/>
      <c r="G1721" s="2"/>
    </row>
    <row r="1722" spans="5:7" ht="30" customHeight="1" x14ac:dyDescent="0.35">
      <c r="E1722" s="2"/>
      <c r="F1722" s="2"/>
      <c r="G1722" s="2"/>
    </row>
    <row r="1723" spans="5:7" ht="30" customHeight="1" x14ac:dyDescent="0.35">
      <c r="E1723" s="2"/>
      <c r="F1723" s="2"/>
      <c r="G1723" s="2"/>
    </row>
    <row r="1724" spans="5:7" ht="30" customHeight="1" x14ac:dyDescent="0.35">
      <c r="E1724" s="2"/>
      <c r="F1724" s="2"/>
      <c r="G1724" s="2"/>
    </row>
    <row r="1725" spans="5:7" ht="30" customHeight="1" x14ac:dyDescent="0.35">
      <c r="E1725" s="2"/>
      <c r="F1725" s="2"/>
      <c r="G1725" s="2"/>
    </row>
    <row r="1726" spans="5:7" ht="30" customHeight="1" x14ac:dyDescent="0.35">
      <c r="E1726" s="2"/>
      <c r="F1726" s="2"/>
      <c r="G1726" s="2"/>
    </row>
    <row r="1727" spans="5:7" ht="30" customHeight="1" x14ac:dyDescent="0.35">
      <c r="E1727" s="2"/>
      <c r="F1727" s="2"/>
      <c r="G1727" s="2"/>
    </row>
    <row r="1728" spans="5:7" ht="30" customHeight="1" x14ac:dyDescent="0.35">
      <c r="E1728" s="2"/>
      <c r="F1728" s="2"/>
      <c r="G1728" s="2"/>
    </row>
    <row r="1729" spans="5:7" ht="30" customHeight="1" x14ac:dyDescent="0.35">
      <c r="E1729" s="2"/>
      <c r="F1729" s="2"/>
      <c r="G1729" s="2"/>
    </row>
    <row r="1730" spans="5:7" ht="30" customHeight="1" x14ac:dyDescent="0.35">
      <c r="E1730" s="2"/>
      <c r="F1730" s="2"/>
      <c r="G1730" s="2"/>
    </row>
    <row r="1731" spans="5:7" ht="30" customHeight="1" x14ac:dyDescent="0.35">
      <c r="E1731" s="2"/>
      <c r="F1731" s="2"/>
      <c r="G1731" s="2"/>
    </row>
    <row r="1732" spans="5:7" ht="30" customHeight="1" x14ac:dyDescent="0.35">
      <c r="E1732" s="2"/>
      <c r="F1732" s="2"/>
      <c r="G1732" s="2"/>
    </row>
    <row r="1733" spans="5:7" ht="30" customHeight="1" x14ac:dyDescent="0.35">
      <c r="E1733" s="2"/>
      <c r="F1733" s="2"/>
      <c r="G1733" s="2"/>
    </row>
    <row r="1734" spans="5:7" ht="30" customHeight="1" x14ac:dyDescent="0.35">
      <c r="E1734" s="2"/>
      <c r="F1734" s="2"/>
      <c r="G1734" s="2"/>
    </row>
    <row r="1735" spans="5:7" ht="30" customHeight="1" x14ac:dyDescent="0.35">
      <c r="E1735" s="2"/>
      <c r="F1735" s="2"/>
      <c r="G1735" s="2"/>
    </row>
    <row r="1736" spans="5:7" ht="30" customHeight="1" x14ac:dyDescent="0.35">
      <c r="E1736" s="2"/>
      <c r="F1736" s="2"/>
      <c r="G1736" s="2"/>
    </row>
    <row r="1737" spans="5:7" ht="30" customHeight="1" x14ac:dyDescent="0.35">
      <c r="E1737" s="2"/>
      <c r="F1737" s="2"/>
      <c r="G1737" s="2"/>
    </row>
    <row r="1738" spans="5:7" ht="30" customHeight="1" x14ac:dyDescent="0.35">
      <c r="E1738" s="2"/>
      <c r="F1738" s="2"/>
      <c r="G1738" s="2"/>
    </row>
    <row r="1739" spans="5:7" ht="30" customHeight="1" x14ac:dyDescent="0.35">
      <c r="E1739" s="2"/>
      <c r="F1739" s="2"/>
      <c r="G1739" s="2"/>
    </row>
    <row r="1740" spans="5:7" ht="30" customHeight="1" x14ac:dyDescent="0.35">
      <c r="E1740" s="2"/>
      <c r="F1740" s="2"/>
      <c r="G1740" s="2"/>
    </row>
    <row r="1741" spans="5:7" ht="30" customHeight="1" x14ac:dyDescent="0.35">
      <c r="E1741" s="2"/>
      <c r="F1741" s="2"/>
      <c r="G1741" s="2"/>
    </row>
    <row r="1742" spans="5:7" ht="30" customHeight="1" x14ac:dyDescent="0.35">
      <c r="E1742" s="2"/>
      <c r="F1742" s="2"/>
      <c r="G1742" s="2"/>
    </row>
    <row r="1743" spans="5:7" ht="30" customHeight="1" x14ac:dyDescent="0.35">
      <c r="E1743" s="2"/>
      <c r="F1743" s="2"/>
      <c r="G1743" s="2"/>
    </row>
    <row r="1744" spans="5:7" ht="30" customHeight="1" x14ac:dyDescent="0.35">
      <c r="E1744" s="2"/>
      <c r="F1744" s="2"/>
      <c r="G1744" s="2"/>
    </row>
    <row r="1745" spans="5:7" ht="30" customHeight="1" x14ac:dyDescent="0.35">
      <c r="E1745" s="2"/>
      <c r="F1745" s="2"/>
      <c r="G1745" s="2"/>
    </row>
    <row r="1746" spans="5:7" ht="30" customHeight="1" x14ac:dyDescent="0.35">
      <c r="E1746" s="2"/>
      <c r="F1746" s="2"/>
      <c r="G1746" s="2"/>
    </row>
    <row r="1747" spans="5:7" ht="30" customHeight="1" x14ac:dyDescent="0.35">
      <c r="E1747" s="2"/>
      <c r="F1747" s="2"/>
      <c r="G1747" s="2"/>
    </row>
    <row r="1748" spans="5:7" ht="30" customHeight="1" x14ac:dyDescent="0.35">
      <c r="E1748" s="2"/>
      <c r="F1748" s="2"/>
      <c r="G1748" s="2"/>
    </row>
    <row r="1749" spans="5:7" ht="30" customHeight="1" x14ac:dyDescent="0.35">
      <c r="E1749" s="2"/>
      <c r="F1749" s="2"/>
      <c r="G1749" s="2"/>
    </row>
    <row r="1750" spans="5:7" ht="30" customHeight="1" x14ac:dyDescent="0.35">
      <c r="E1750" s="2"/>
      <c r="F1750" s="2"/>
      <c r="G1750" s="2"/>
    </row>
    <row r="1751" spans="5:7" ht="30" customHeight="1" x14ac:dyDescent="0.35">
      <c r="E1751" s="2"/>
      <c r="F1751" s="2"/>
      <c r="G1751" s="2"/>
    </row>
    <row r="1752" spans="5:7" ht="30" customHeight="1" x14ac:dyDescent="0.35">
      <c r="E1752" s="2"/>
      <c r="F1752" s="2"/>
      <c r="G1752" s="2"/>
    </row>
    <row r="1753" spans="5:7" ht="30" customHeight="1" x14ac:dyDescent="0.35">
      <c r="E1753" s="2"/>
      <c r="F1753" s="2"/>
      <c r="G1753" s="2"/>
    </row>
    <row r="1754" spans="5:7" ht="30" customHeight="1" x14ac:dyDescent="0.35">
      <c r="E1754" s="2"/>
      <c r="F1754" s="2"/>
      <c r="G1754" s="2"/>
    </row>
    <row r="1755" spans="5:7" ht="30" customHeight="1" x14ac:dyDescent="0.35">
      <c r="E1755" s="2"/>
      <c r="F1755" s="2"/>
      <c r="G1755" s="2"/>
    </row>
    <row r="1756" spans="5:7" ht="30" customHeight="1" x14ac:dyDescent="0.35">
      <c r="E1756" s="2"/>
      <c r="F1756" s="2"/>
      <c r="G1756" s="2"/>
    </row>
    <row r="1757" spans="5:7" ht="30" customHeight="1" x14ac:dyDescent="0.35">
      <c r="E1757" s="2"/>
      <c r="F1757" s="2"/>
      <c r="G1757" s="2"/>
    </row>
    <row r="1758" spans="5:7" ht="30" customHeight="1" x14ac:dyDescent="0.35">
      <c r="E1758" s="2"/>
      <c r="F1758" s="2"/>
      <c r="G1758" s="2"/>
    </row>
    <row r="1759" spans="5:7" ht="30" customHeight="1" x14ac:dyDescent="0.35">
      <c r="E1759" s="2"/>
      <c r="F1759" s="2"/>
      <c r="G1759" s="2"/>
    </row>
    <row r="1760" spans="5:7" ht="30" customHeight="1" x14ac:dyDescent="0.35">
      <c r="E1760" s="2"/>
      <c r="F1760" s="2"/>
      <c r="G1760" s="2"/>
    </row>
    <row r="1761" spans="5:7" ht="30" customHeight="1" x14ac:dyDescent="0.35">
      <c r="E1761" s="2"/>
      <c r="F1761" s="2"/>
      <c r="G1761" s="2"/>
    </row>
    <row r="1762" spans="5:7" ht="30" customHeight="1" x14ac:dyDescent="0.35">
      <c r="E1762" s="2"/>
      <c r="F1762" s="2"/>
      <c r="G1762" s="2"/>
    </row>
    <row r="1763" spans="5:7" ht="30" customHeight="1" x14ac:dyDescent="0.35">
      <c r="E1763" s="2"/>
      <c r="F1763" s="2"/>
      <c r="G1763" s="2"/>
    </row>
    <row r="1764" spans="5:7" ht="30" customHeight="1" x14ac:dyDescent="0.35">
      <c r="E1764" s="2"/>
      <c r="F1764" s="2"/>
      <c r="G1764" s="2"/>
    </row>
    <row r="1765" spans="5:7" ht="30" customHeight="1" x14ac:dyDescent="0.35">
      <c r="E1765" s="2"/>
      <c r="F1765" s="2"/>
      <c r="G1765" s="2"/>
    </row>
    <row r="1766" spans="5:7" ht="30" customHeight="1" x14ac:dyDescent="0.35">
      <c r="E1766" s="2"/>
      <c r="F1766" s="2"/>
      <c r="G1766" s="2"/>
    </row>
    <row r="1767" spans="5:7" ht="30" customHeight="1" x14ac:dyDescent="0.35">
      <c r="E1767" s="2"/>
      <c r="F1767" s="2"/>
      <c r="G1767" s="2"/>
    </row>
    <row r="1768" spans="5:7" ht="30" customHeight="1" x14ac:dyDescent="0.35">
      <c r="E1768" s="2"/>
      <c r="F1768" s="2"/>
      <c r="G1768" s="2"/>
    </row>
    <row r="1769" spans="5:7" ht="30" customHeight="1" x14ac:dyDescent="0.35">
      <c r="E1769" s="2"/>
      <c r="F1769" s="2"/>
      <c r="G1769" s="2"/>
    </row>
    <row r="1770" spans="5:7" ht="30" customHeight="1" x14ac:dyDescent="0.35">
      <c r="E1770" s="2"/>
      <c r="F1770" s="2"/>
      <c r="G1770" s="2"/>
    </row>
    <row r="1771" spans="5:7" ht="30" customHeight="1" x14ac:dyDescent="0.35">
      <c r="E1771" s="2"/>
      <c r="F1771" s="2"/>
      <c r="G1771" s="2"/>
    </row>
    <row r="1772" spans="5:7" ht="30" customHeight="1" x14ac:dyDescent="0.35">
      <c r="E1772" s="2"/>
      <c r="F1772" s="2"/>
      <c r="G1772" s="2"/>
    </row>
    <row r="1773" spans="5:7" ht="30" customHeight="1" x14ac:dyDescent="0.35">
      <c r="E1773" s="2"/>
      <c r="F1773" s="2"/>
      <c r="G1773" s="2"/>
    </row>
    <row r="1774" spans="5:7" ht="30" customHeight="1" x14ac:dyDescent="0.35">
      <c r="E1774" s="2"/>
      <c r="F1774" s="2"/>
      <c r="G1774" s="2"/>
    </row>
    <row r="1775" spans="5:7" ht="30" customHeight="1" x14ac:dyDescent="0.35">
      <c r="E1775" s="2"/>
      <c r="F1775" s="2"/>
      <c r="G1775" s="2"/>
    </row>
    <row r="1776" spans="5:7" ht="30" customHeight="1" x14ac:dyDescent="0.35">
      <c r="E1776" s="2"/>
      <c r="F1776" s="2"/>
      <c r="G1776" s="2"/>
    </row>
    <row r="1777" spans="5:7" ht="30" customHeight="1" x14ac:dyDescent="0.35">
      <c r="E1777" s="2"/>
      <c r="F1777" s="2"/>
      <c r="G1777" s="2"/>
    </row>
    <row r="1778" spans="5:7" ht="30" customHeight="1" x14ac:dyDescent="0.35">
      <c r="E1778" s="2"/>
      <c r="F1778" s="2"/>
      <c r="G1778" s="2"/>
    </row>
    <row r="1779" spans="5:7" ht="30" customHeight="1" x14ac:dyDescent="0.35">
      <c r="E1779" s="2"/>
      <c r="F1779" s="2"/>
      <c r="G1779" s="2"/>
    </row>
    <row r="1780" spans="5:7" ht="30" customHeight="1" x14ac:dyDescent="0.35">
      <c r="E1780" s="2"/>
      <c r="F1780" s="2"/>
      <c r="G1780" s="2"/>
    </row>
    <row r="1781" spans="5:7" ht="30" customHeight="1" x14ac:dyDescent="0.35">
      <c r="E1781" s="2"/>
      <c r="F1781" s="2"/>
      <c r="G1781" s="2"/>
    </row>
    <row r="1782" spans="5:7" ht="30" customHeight="1" x14ac:dyDescent="0.35">
      <c r="E1782" s="2"/>
      <c r="F1782" s="2"/>
      <c r="G1782" s="2"/>
    </row>
    <row r="1783" spans="5:7" ht="30" customHeight="1" x14ac:dyDescent="0.35">
      <c r="E1783" s="2"/>
      <c r="F1783" s="2"/>
      <c r="G1783" s="2"/>
    </row>
    <row r="1784" spans="5:7" ht="30" customHeight="1" x14ac:dyDescent="0.35">
      <c r="E1784" s="2"/>
      <c r="F1784" s="2"/>
      <c r="G1784" s="2"/>
    </row>
    <row r="1785" spans="5:7" ht="30" customHeight="1" x14ac:dyDescent="0.35">
      <c r="E1785" s="2"/>
      <c r="F1785" s="2"/>
      <c r="G1785" s="2"/>
    </row>
    <row r="1786" spans="5:7" ht="30" customHeight="1" x14ac:dyDescent="0.35">
      <c r="E1786" s="2"/>
      <c r="F1786" s="2"/>
      <c r="G1786" s="2"/>
    </row>
    <row r="1787" spans="5:7" ht="30" customHeight="1" x14ac:dyDescent="0.35">
      <c r="E1787" s="2"/>
      <c r="F1787" s="2"/>
      <c r="G1787" s="2"/>
    </row>
    <row r="1788" spans="5:7" ht="30" customHeight="1" x14ac:dyDescent="0.35">
      <c r="E1788" s="2"/>
      <c r="F1788" s="2"/>
      <c r="G1788" s="2"/>
    </row>
    <row r="1789" spans="5:7" ht="30" customHeight="1" x14ac:dyDescent="0.35">
      <c r="E1789" s="2"/>
      <c r="F1789" s="2"/>
      <c r="G1789" s="2"/>
    </row>
    <row r="1790" spans="5:7" ht="30" customHeight="1" x14ac:dyDescent="0.35">
      <c r="E1790" s="2"/>
      <c r="F1790" s="2"/>
      <c r="G1790" s="2"/>
    </row>
    <row r="1791" spans="5:7" ht="30" customHeight="1" x14ac:dyDescent="0.35">
      <c r="E1791" s="2"/>
      <c r="F1791" s="2"/>
      <c r="G1791" s="2"/>
    </row>
    <row r="1792" spans="5:7" ht="30" customHeight="1" x14ac:dyDescent="0.35">
      <c r="E1792" s="2"/>
      <c r="F1792" s="2"/>
      <c r="G1792" s="2"/>
    </row>
    <row r="1793" spans="5:7" ht="30" customHeight="1" x14ac:dyDescent="0.35">
      <c r="E1793" s="2"/>
      <c r="F1793" s="2"/>
      <c r="G1793" s="2"/>
    </row>
    <row r="1794" spans="5:7" ht="30" customHeight="1" x14ac:dyDescent="0.35">
      <c r="E1794" s="2"/>
      <c r="F1794" s="2"/>
      <c r="G1794" s="2"/>
    </row>
    <row r="1795" spans="5:7" ht="30" customHeight="1" x14ac:dyDescent="0.35">
      <c r="E1795" s="2"/>
      <c r="F1795" s="2"/>
      <c r="G1795" s="2"/>
    </row>
    <row r="1796" spans="5:7" ht="30" customHeight="1" x14ac:dyDescent="0.35">
      <c r="E1796" s="2"/>
      <c r="F1796" s="2"/>
      <c r="G1796" s="2"/>
    </row>
    <row r="1797" spans="5:7" ht="30" customHeight="1" x14ac:dyDescent="0.35">
      <c r="E1797" s="2"/>
      <c r="F1797" s="2"/>
      <c r="G1797" s="2"/>
    </row>
    <row r="1798" spans="5:7" ht="30" customHeight="1" x14ac:dyDescent="0.35">
      <c r="E1798" s="2"/>
      <c r="F1798" s="2"/>
      <c r="G1798" s="2"/>
    </row>
    <row r="1799" spans="5:7" ht="30" customHeight="1" x14ac:dyDescent="0.35">
      <c r="E1799" s="2"/>
      <c r="F1799" s="2"/>
      <c r="G1799" s="2"/>
    </row>
    <row r="1800" spans="5:7" ht="30" customHeight="1" x14ac:dyDescent="0.35">
      <c r="E1800" s="2"/>
      <c r="F1800" s="2"/>
      <c r="G1800" s="2"/>
    </row>
    <row r="1801" spans="5:7" ht="30" customHeight="1" x14ac:dyDescent="0.35">
      <c r="E1801" s="2"/>
      <c r="F1801" s="2"/>
      <c r="G1801" s="2"/>
    </row>
    <row r="1802" spans="5:7" ht="30" customHeight="1" x14ac:dyDescent="0.35">
      <c r="E1802" s="2"/>
      <c r="F1802" s="2"/>
      <c r="G1802" s="2"/>
    </row>
    <row r="1803" spans="5:7" ht="30" customHeight="1" x14ac:dyDescent="0.35">
      <c r="E1803" s="2"/>
      <c r="F1803" s="2"/>
      <c r="G1803" s="2"/>
    </row>
    <row r="1804" spans="5:7" ht="30" customHeight="1" x14ac:dyDescent="0.35">
      <c r="E1804" s="2"/>
      <c r="F1804" s="2"/>
      <c r="G1804" s="2"/>
    </row>
    <row r="1805" spans="5:7" ht="30" customHeight="1" x14ac:dyDescent="0.35">
      <c r="E1805" s="2"/>
      <c r="F1805" s="2"/>
      <c r="G1805" s="2"/>
    </row>
    <row r="1806" spans="5:7" ht="30" customHeight="1" x14ac:dyDescent="0.35">
      <c r="E1806" s="2"/>
      <c r="F1806" s="2"/>
      <c r="G1806" s="2"/>
    </row>
    <row r="1807" spans="5:7" ht="30" customHeight="1" x14ac:dyDescent="0.35">
      <c r="E1807" s="2"/>
      <c r="F1807" s="2"/>
      <c r="G1807" s="2"/>
    </row>
    <row r="1808" spans="5:7" ht="30" customHeight="1" x14ac:dyDescent="0.35">
      <c r="E1808" s="2"/>
      <c r="F1808" s="2"/>
      <c r="G1808" s="2"/>
    </row>
    <row r="1809" spans="5:7" ht="30" customHeight="1" x14ac:dyDescent="0.35">
      <c r="E1809" s="2"/>
      <c r="F1809" s="2"/>
      <c r="G1809" s="2"/>
    </row>
    <row r="1810" spans="5:7" ht="30" customHeight="1" x14ac:dyDescent="0.35">
      <c r="E1810" s="2"/>
      <c r="F1810" s="2"/>
      <c r="G1810" s="2"/>
    </row>
    <row r="1811" spans="5:7" ht="30" customHeight="1" x14ac:dyDescent="0.35">
      <c r="E1811" s="2"/>
      <c r="F1811" s="2"/>
      <c r="G1811" s="2"/>
    </row>
    <row r="1812" spans="5:7" ht="30" customHeight="1" x14ac:dyDescent="0.35">
      <c r="E1812" s="2"/>
      <c r="F1812" s="2"/>
      <c r="G1812" s="2"/>
    </row>
    <row r="1813" spans="5:7" ht="30" customHeight="1" x14ac:dyDescent="0.35">
      <c r="E1813" s="2"/>
      <c r="F1813" s="2"/>
      <c r="G1813" s="2"/>
    </row>
    <row r="1814" spans="5:7" ht="30" customHeight="1" x14ac:dyDescent="0.35">
      <c r="E1814" s="2"/>
      <c r="F1814" s="2"/>
      <c r="G1814" s="2"/>
    </row>
    <row r="1815" spans="5:7" ht="30" customHeight="1" x14ac:dyDescent="0.35">
      <c r="E1815" s="2"/>
      <c r="F1815" s="2"/>
      <c r="G1815" s="2"/>
    </row>
    <row r="1816" spans="5:7" ht="30" customHeight="1" x14ac:dyDescent="0.35">
      <c r="E1816" s="2"/>
      <c r="F1816" s="2"/>
      <c r="G1816" s="2"/>
    </row>
    <row r="1817" spans="5:7" ht="30" customHeight="1" x14ac:dyDescent="0.35">
      <c r="E1817" s="2"/>
      <c r="F1817" s="2"/>
      <c r="G1817" s="2"/>
    </row>
    <row r="1818" spans="5:7" ht="30" customHeight="1" x14ac:dyDescent="0.35">
      <c r="E1818" s="2"/>
      <c r="F1818" s="2"/>
      <c r="G1818" s="2"/>
    </row>
    <row r="1819" spans="5:7" ht="30" customHeight="1" x14ac:dyDescent="0.35">
      <c r="E1819" s="2"/>
      <c r="F1819" s="2"/>
      <c r="G1819" s="2"/>
    </row>
    <row r="1820" spans="5:7" ht="30" customHeight="1" x14ac:dyDescent="0.35">
      <c r="E1820" s="2"/>
      <c r="F1820" s="2"/>
      <c r="G1820" s="2"/>
    </row>
    <row r="1821" spans="5:7" ht="30" customHeight="1" x14ac:dyDescent="0.35">
      <c r="E1821" s="2"/>
      <c r="F1821" s="2"/>
      <c r="G1821" s="2"/>
    </row>
    <row r="1822" spans="5:7" ht="30" customHeight="1" x14ac:dyDescent="0.35">
      <c r="E1822" s="2"/>
      <c r="F1822" s="2"/>
      <c r="G1822" s="2"/>
    </row>
    <row r="1823" spans="5:7" ht="30" customHeight="1" x14ac:dyDescent="0.35">
      <c r="E1823" s="2"/>
      <c r="F1823" s="2"/>
      <c r="G1823" s="2"/>
    </row>
    <row r="1824" spans="5:7" ht="30" customHeight="1" x14ac:dyDescent="0.35">
      <c r="E1824" s="2"/>
      <c r="F1824" s="2"/>
      <c r="G1824" s="2"/>
    </row>
    <row r="1825" spans="5:7" ht="30" customHeight="1" x14ac:dyDescent="0.35">
      <c r="E1825" s="2"/>
      <c r="F1825" s="2"/>
      <c r="G1825" s="2"/>
    </row>
    <row r="1826" spans="5:7" ht="30" customHeight="1" x14ac:dyDescent="0.35">
      <c r="E1826" s="2"/>
      <c r="F1826" s="2"/>
      <c r="G1826" s="2"/>
    </row>
    <row r="1827" spans="5:7" ht="30" customHeight="1" x14ac:dyDescent="0.35">
      <c r="E1827" s="2"/>
      <c r="F1827" s="2"/>
      <c r="G1827" s="2"/>
    </row>
    <row r="1828" spans="5:7" ht="30" customHeight="1" x14ac:dyDescent="0.35">
      <c r="E1828" s="2"/>
      <c r="F1828" s="2"/>
      <c r="G1828" s="2"/>
    </row>
    <row r="1829" spans="5:7" ht="30" customHeight="1" x14ac:dyDescent="0.35">
      <c r="E1829" s="2"/>
      <c r="F1829" s="2"/>
      <c r="G1829" s="2"/>
    </row>
    <row r="1830" spans="5:7" ht="30" customHeight="1" x14ac:dyDescent="0.35">
      <c r="E1830" s="2"/>
      <c r="F1830" s="2"/>
      <c r="G1830" s="2"/>
    </row>
    <row r="1831" spans="5:7" ht="30" customHeight="1" x14ac:dyDescent="0.35">
      <c r="E1831" s="2"/>
      <c r="F1831" s="2"/>
      <c r="G1831" s="2"/>
    </row>
    <row r="1832" spans="5:7" ht="30" customHeight="1" x14ac:dyDescent="0.35">
      <c r="E1832" s="2"/>
      <c r="F1832" s="2"/>
      <c r="G1832" s="2"/>
    </row>
    <row r="1833" spans="5:7" ht="30" customHeight="1" x14ac:dyDescent="0.35">
      <c r="E1833" s="2"/>
      <c r="F1833" s="2"/>
      <c r="G1833" s="2"/>
    </row>
    <row r="1834" spans="5:7" ht="30" customHeight="1" x14ac:dyDescent="0.35">
      <c r="E1834" s="2"/>
      <c r="F1834" s="2"/>
      <c r="G1834" s="2"/>
    </row>
    <row r="1835" spans="5:7" ht="30" customHeight="1" x14ac:dyDescent="0.35">
      <c r="E1835" s="2"/>
      <c r="F1835" s="2"/>
      <c r="G1835" s="2"/>
    </row>
    <row r="1836" spans="5:7" ht="30" customHeight="1" x14ac:dyDescent="0.35">
      <c r="E1836" s="2"/>
      <c r="F1836" s="2"/>
      <c r="G1836" s="2"/>
    </row>
    <row r="1837" spans="5:7" ht="30" customHeight="1" x14ac:dyDescent="0.35">
      <c r="E1837" s="2"/>
      <c r="F1837" s="2"/>
      <c r="G1837" s="2"/>
    </row>
    <row r="1838" spans="5:7" ht="30" customHeight="1" x14ac:dyDescent="0.35">
      <c r="E1838" s="2"/>
      <c r="F1838" s="2"/>
      <c r="G1838" s="2"/>
    </row>
    <row r="1839" spans="5:7" ht="30" customHeight="1" x14ac:dyDescent="0.35">
      <c r="E1839" s="2"/>
      <c r="F1839" s="2"/>
      <c r="G1839" s="2"/>
    </row>
    <row r="1840" spans="5:7" ht="30" customHeight="1" x14ac:dyDescent="0.35">
      <c r="E1840" s="2"/>
      <c r="F1840" s="2"/>
      <c r="G1840" s="2"/>
    </row>
    <row r="1841" spans="5:7" ht="30" customHeight="1" x14ac:dyDescent="0.35">
      <c r="E1841" s="2"/>
      <c r="F1841" s="2"/>
      <c r="G1841" s="2"/>
    </row>
    <row r="1842" spans="5:7" ht="30" customHeight="1" x14ac:dyDescent="0.35">
      <c r="E1842" s="2"/>
      <c r="F1842" s="2"/>
      <c r="G1842" s="2"/>
    </row>
    <row r="1843" spans="5:7" ht="30" customHeight="1" x14ac:dyDescent="0.35">
      <c r="E1843" s="2"/>
      <c r="F1843" s="2"/>
      <c r="G1843" s="2"/>
    </row>
    <row r="1844" spans="5:7" ht="30" customHeight="1" x14ac:dyDescent="0.35">
      <c r="E1844" s="2"/>
      <c r="F1844" s="2"/>
      <c r="G1844" s="2"/>
    </row>
    <row r="1845" spans="5:7" ht="30" customHeight="1" x14ac:dyDescent="0.35">
      <c r="E1845" s="2"/>
      <c r="F1845" s="2"/>
      <c r="G1845" s="2"/>
    </row>
    <row r="1846" spans="5:7" ht="30" customHeight="1" x14ac:dyDescent="0.35">
      <c r="E1846" s="2"/>
      <c r="F1846" s="2"/>
      <c r="G1846" s="2"/>
    </row>
    <row r="1847" spans="5:7" ht="30" customHeight="1" x14ac:dyDescent="0.35">
      <c r="E1847" s="2"/>
      <c r="F1847" s="2"/>
      <c r="G1847" s="2"/>
    </row>
    <row r="1848" spans="5:7" ht="30" customHeight="1" x14ac:dyDescent="0.35">
      <c r="E1848" s="2"/>
      <c r="F1848" s="2"/>
      <c r="G1848" s="2"/>
    </row>
    <row r="1849" spans="5:7" ht="30" customHeight="1" x14ac:dyDescent="0.35">
      <c r="E1849" s="2"/>
      <c r="F1849" s="2"/>
      <c r="G1849" s="2"/>
    </row>
    <row r="1850" spans="5:7" ht="30" customHeight="1" x14ac:dyDescent="0.35">
      <c r="E1850" s="2"/>
      <c r="F1850" s="2"/>
      <c r="G1850" s="2"/>
    </row>
    <row r="1851" spans="5:7" ht="30" customHeight="1" x14ac:dyDescent="0.35">
      <c r="E1851" s="2"/>
      <c r="F1851" s="2"/>
      <c r="G1851" s="2"/>
    </row>
    <row r="1852" spans="5:7" ht="30" customHeight="1" x14ac:dyDescent="0.35">
      <c r="E1852" s="2"/>
      <c r="F1852" s="2"/>
      <c r="G1852" s="2"/>
    </row>
    <row r="1853" spans="5:7" ht="30" customHeight="1" x14ac:dyDescent="0.35">
      <c r="E1853" s="2"/>
      <c r="F1853" s="2"/>
      <c r="G1853" s="2"/>
    </row>
    <row r="1854" spans="5:7" ht="30" customHeight="1" x14ac:dyDescent="0.35">
      <c r="E1854" s="2"/>
      <c r="F1854" s="2"/>
      <c r="G1854" s="2"/>
    </row>
    <row r="1855" spans="5:7" ht="30" customHeight="1" x14ac:dyDescent="0.35">
      <c r="E1855" s="2"/>
      <c r="F1855" s="2"/>
      <c r="G1855" s="2"/>
    </row>
    <row r="1856" spans="5:7" ht="30" customHeight="1" x14ac:dyDescent="0.35">
      <c r="E1856" s="2"/>
      <c r="F1856" s="2"/>
      <c r="G1856" s="2"/>
    </row>
    <row r="1857" spans="5:7" ht="30" customHeight="1" x14ac:dyDescent="0.35">
      <c r="E1857" s="2"/>
      <c r="F1857" s="2"/>
      <c r="G1857" s="2"/>
    </row>
    <row r="1858" spans="5:7" ht="30" customHeight="1" x14ac:dyDescent="0.35">
      <c r="E1858" s="2"/>
      <c r="F1858" s="2"/>
      <c r="G1858" s="2"/>
    </row>
    <row r="1859" spans="5:7" ht="30" customHeight="1" x14ac:dyDescent="0.35">
      <c r="E1859" s="2"/>
      <c r="F1859" s="2"/>
      <c r="G1859" s="2"/>
    </row>
    <row r="1860" spans="5:7" ht="30" customHeight="1" x14ac:dyDescent="0.35">
      <c r="E1860" s="2"/>
      <c r="F1860" s="2"/>
      <c r="G1860" s="2"/>
    </row>
    <row r="1861" spans="5:7" ht="30" customHeight="1" x14ac:dyDescent="0.35">
      <c r="E1861" s="2"/>
      <c r="F1861" s="2"/>
      <c r="G1861" s="2"/>
    </row>
    <row r="1862" spans="5:7" ht="30" customHeight="1" x14ac:dyDescent="0.35">
      <c r="E1862" s="2"/>
      <c r="F1862" s="2"/>
      <c r="G1862" s="2"/>
    </row>
    <row r="1863" spans="5:7" ht="30" customHeight="1" x14ac:dyDescent="0.35">
      <c r="E1863" s="2"/>
      <c r="F1863" s="2"/>
      <c r="G1863" s="2"/>
    </row>
    <row r="1864" spans="5:7" ht="30" customHeight="1" x14ac:dyDescent="0.35">
      <c r="E1864" s="2"/>
      <c r="F1864" s="2"/>
      <c r="G1864" s="2"/>
    </row>
    <row r="1865" spans="5:7" ht="30" customHeight="1" x14ac:dyDescent="0.35">
      <c r="E1865" s="2"/>
      <c r="F1865" s="2"/>
      <c r="G1865" s="2"/>
    </row>
    <row r="1866" spans="5:7" ht="30" customHeight="1" x14ac:dyDescent="0.35">
      <c r="E1866" s="2"/>
      <c r="F1866" s="2"/>
      <c r="G1866" s="2"/>
    </row>
    <row r="1867" spans="5:7" ht="30" customHeight="1" x14ac:dyDescent="0.35">
      <c r="E1867" s="2"/>
      <c r="F1867" s="2"/>
      <c r="G1867" s="2"/>
    </row>
    <row r="1868" spans="5:7" ht="30" customHeight="1" x14ac:dyDescent="0.35">
      <c r="E1868" s="2"/>
      <c r="F1868" s="2"/>
      <c r="G1868" s="2"/>
    </row>
    <row r="1869" spans="5:7" ht="30" customHeight="1" x14ac:dyDescent="0.35">
      <c r="E1869" s="2"/>
      <c r="F1869" s="2"/>
      <c r="G1869" s="2"/>
    </row>
    <row r="1870" spans="5:7" ht="30" customHeight="1" x14ac:dyDescent="0.35">
      <c r="E1870" s="2"/>
      <c r="F1870" s="2"/>
      <c r="G1870" s="2"/>
    </row>
    <row r="1871" spans="5:7" ht="30" customHeight="1" x14ac:dyDescent="0.35">
      <c r="E1871" s="2"/>
      <c r="F1871" s="2"/>
      <c r="G1871" s="2"/>
    </row>
    <row r="1872" spans="5:7" ht="30" customHeight="1" x14ac:dyDescent="0.35">
      <c r="E1872" s="2"/>
      <c r="F1872" s="2"/>
      <c r="G1872" s="2"/>
    </row>
    <row r="1873" spans="5:7" ht="30" customHeight="1" x14ac:dyDescent="0.35">
      <c r="E1873" s="2"/>
      <c r="F1873" s="2"/>
      <c r="G1873" s="2"/>
    </row>
    <row r="1874" spans="5:7" ht="30" customHeight="1" x14ac:dyDescent="0.35">
      <c r="E1874" s="2"/>
      <c r="F1874" s="2"/>
      <c r="G1874" s="2"/>
    </row>
    <row r="1875" spans="5:7" ht="30" customHeight="1" x14ac:dyDescent="0.35">
      <c r="E1875" s="2"/>
      <c r="F1875" s="2"/>
      <c r="G1875" s="2"/>
    </row>
    <row r="1876" spans="5:7" ht="30" customHeight="1" x14ac:dyDescent="0.35">
      <c r="E1876" s="2"/>
      <c r="F1876" s="2"/>
      <c r="G1876" s="2"/>
    </row>
    <row r="1877" spans="5:7" ht="30" customHeight="1" x14ac:dyDescent="0.35">
      <c r="E1877" s="2"/>
      <c r="F1877" s="2"/>
      <c r="G1877" s="2"/>
    </row>
    <row r="1878" spans="5:7" ht="30" customHeight="1" x14ac:dyDescent="0.35">
      <c r="E1878" s="2"/>
      <c r="F1878" s="2"/>
      <c r="G1878" s="2"/>
    </row>
    <row r="1879" spans="5:7" ht="30" customHeight="1" x14ac:dyDescent="0.35">
      <c r="E1879" s="2"/>
      <c r="F1879" s="2"/>
      <c r="G1879" s="2"/>
    </row>
    <row r="1880" spans="5:7" ht="30" customHeight="1" x14ac:dyDescent="0.35">
      <c r="E1880" s="2"/>
      <c r="F1880" s="2"/>
      <c r="G1880" s="2"/>
    </row>
    <row r="1881" spans="5:7" ht="30" customHeight="1" x14ac:dyDescent="0.35">
      <c r="E1881" s="2"/>
      <c r="F1881" s="2"/>
      <c r="G1881" s="2"/>
    </row>
    <row r="1882" spans="5:7" ht="30" customHeight="1" x14ac:dyDescent="0.35">
      <c r="E1882" s="2"/>
      <c r="F1882" s="2"/>
      <c r="G1882" s="2"/>
    </row>
    <row r="1883" spans="5:7" ht="30" customHeight="1" x14ac:dyDescent="0.35">
      <c r="E1883" s="2"/>
      <c r="F1883" s="2"/>
      <c r="G1883" s="2"/>
    </row>
    <row r="1884" spans="5:7" ht="30" customHeight="1" x14ac:dyDescent="0.35">
      <c r="E1884" s="2"/>
      <c r="F1884" s="2"/>
      <c r="G1884" s="2"/>
    </row>
    <row r="1885" spans="5:7" ht="30" customHeight="1" x14ac:dyDescent="0.35">
      <c r="E1885" s="2"/>
      <c r="F1885" s="2"/>
      <c r="G1885" s="2"/>
    </row>
    <row r="1886" spans="5:7" ht="30" customHeight="1" x14ac:dyDescent="0.35">
      <c r="E1886" s="2"/>
      <c r="F1886" s="2"/>
      <c r="G1886" s="2"/>
    </row>
    <row r="1887" spans="5:7" ht="30" customHeight="1" x14ac:dyDescent="0.35">
      <c r="E1887" s="2"/>
      <c r="F1887" s="2"/>
      <c r="G1887" s="2"/>
    </row>
    <row r="1888" spans="5:7" ht="30" customHeight="1" x14ac:dyDescent="0.35">
      <c r="E1888" s="2"/>
      <c r="F1888" s="2"/>
      <c r="G1888" s="2"/>
    </row>
    <row r="1889" spans="5:7" ht="30" customHeight="1" x14ac:dyDescent="0.35">
      <c r="E1889" s="2"/>
      <c r="F1889" s="2"/>
      <c r="G1889" s="2"/>
    </row>
    <row r="1890" spans="5:7" ht="30" customHeight="1" x14ac:dyDescent="0.35">
      <c r="E1890" s="2"/>
      <c r="F1890" s="2"/>
      <c r="G1890" s="2"/>
    </row>
    <row r="1891" spans="5:7" ht="30" customHeight="1" x14ac:dyDescent="0.35">
      <c r="E1891" s="2"/>
      <c r="F1891" s="2"/>
      <c r="G1891" s="2"/>
    </row>
    <row r="1892" spans="5:7" ht="30" customHeight="1" x14ac:dyDescent="0.35">
      <c r="E1892" s="2"/>
      <c r="F1892" s="2"/>
      <c r="G1892" s="2"/>
    </row>
    <row r="1893" spans="5:7" ht="30" customHeight="1" x14ac:dyDescent="0.35">
      <c r="E1893" s="2"/>
      <c r="F1893" s="2"/>
      <c r="G1893" s="2"/>
    </row>
    <row r="1894" spans="5:7" ht="30" customHeight="1" x14ac:dyDescent="0.35">
      <c r="E1894" s="2"/>
      <c r="F1894" s="2"/>
      <c r="G1894" s="2"/>
    </row>
    <row r="1895" spans="5:7" ht="30" customHeight="1" x14ac:dyDescent="0.35">
      <c r="E1895" s="2"/>
      <c r="F1895" s="2"/>
      <c r="G1895" s="2"/>
    </row>
    <row r="1896" spans="5:7" ht="30" customHeight="1" x14ac:dyDescent="0.35">
      <c r="E1896" s="2"/>
      <c r="F1896" s="2"/>
      <c r="G1896" s="2"/>
    </row>
    <row r="1897" spans="5:7" ht="30" customHeight="1" x14ac:dyDescent="0.35">
      <c r="E1897" s="2"/>
      <c r="F1897" s="2"/>
      <c r="G1897" s="2"/>
    </row>
    <row r="1898" spans="5:7" ht="30" customHeight="1" x14ac:dyDescent="0.35">
      <c r="E1898" s="2"/>
      <c r="F1898" s="2"/>
      <c r="G1898" s="2"/>
    </row>
    <row r="1899" spans="5:7" ht="30" customHeight="1" x14ac:dyDescent="0.35">
      <c r="E1899" s="2"/>
      <c r="F1899" s="2"/>
      <c r="G1899" s="2"/>
    </row>
    <row r="1900" spans="5:7" ht="30" customHeight="1" x14ac:dyDescent="0.35">
      <c r="E1900" s="2"/>
      <c r="F1900" s="2"/>
      <c r="G1900" s="2"/>
    </row>
    <row r="1901" spans="5:7" ht="30" customHeight="1" x14ac:dyDescent="0.35">
      <c r="E1901" s="2"/>
      <c r="F1901" s="2"/>
      <c r="G1901" s="2"/>
    </row>
    <row r="1902" spans="5:7" ht="30" customHeight="1" x14ac:dyDescent="0.35">
      <c r="E1902" s="2"/>
      <c r="F1902" s="2"/>
      <c r="G1902" s="2"/>
    </row>
    <row r="1903" spans="5:7" ht="30" customHeight="1" x14ac:dyDescent="0.35">
      <c r="E1903" s="2"/>
      <c r="F1903" s="2"/>
      <c r="G1903" s="2"/>
    </row>
    <row r="1904" spans="5:7" ht="30" customHeight="1" x14ac:dyDescent="0.35">
      <c r="E1904" s="2"/>
      <c r="F1904" s="2"/>
      <c r="G1904" s="2"/>
    </row>
    <row r="1905" spans="5:7" ht="30" customHeight="1" x14ac:dyDescent="0.35">
      <c r="E1905" s="2"/>
      <c r="F1905" s="2"/>
      <c r="G1905" s="2"/>
    </row>
    <row r="1906" spans="5:7" ht="30" customHeight="1" x14ac:dyDescent="0.35">
      <c r="E1906" s="2"/>
      <c r="F1906" s="2"/>
      <c r="G1906" s="2"/>
    </row>
    <row r="1907" spans="5:7" ht="30" customHeight="1" x14ac:dyDescent="0.35">
      <c r="E1907" s="2"/>
      <c r="F1907" s="2"/>
      <c r="G1907" s="2"/>
    </row>
    <row r="1908" spans="5:7" ht="30" customHeight="1" x14ac:dyDescent="0.35">
      <c r="E1908" s="2"/>
      <c r="F1908" s="2"/>
      <c r="G1908" s="2"/>
    </row>
    <row r="1909" spans="5:7" ht="30" customHeight="1" x14ac:dyDescent="0.35">
      <c r="E1909" s="2"/>
      <c r="F1909" s="2"/>
      <c r="G1909" s="2"/>
    </row>
    <row r="1910" spans="5:7" ht="30" customHeight="1" x14ac:dyDescent="0.35">
      <c r="E1910" s="2"/>
      <c r="F1910" s="2"/>
      <c r="G1910" s="2"/>
    </row>
    <row r="1911" spans="5:7" ht="30" customHeight="1" x14ac:dyDescent="0.35">
      <c r="E1911" s="2"/>
      <c r="F1911" s="2"/>
      <c r="G1911" s="2"/>
    </row>
    <row r="1912" spans="5:7" ht="30" customHeight="1" x14ac:dyDescent="0.35">
      <c r="E1912" s="2"/>
      <c r="F1912" s="2"/>
      <c r="G1912" s="2"/>
    </row>
    <row r="1913" spans="5:7" ht="30" customHeight="1" x14ac:dyDescent="0.35">
      <c r="E1913" s="2"/>
      <c r="F1913" s="2"/>
      <c r="G1913" s="2"/>
    </row>
    <row r="1914" spans="5:7" ht="30" customHeight="1" x14ac:dyDescent="0.35">
      <c r="E1914" s="2"/>
      <c r="F1914" s="2"/>
      <c r="G1914" s="2"/>
    </row>
    <row r="1915" spans="5:7" ht="30" customHeight="1" x14ac:dyDescent="0.35">
      <c r="E1915" s="2"/>
      <c r="F1915" s="2"/>
      <c r="G1915" s="2"/>
    </row>
    <row r="1916" spans="5:7" ht="30" customHeight="1" x14ac:dyDescent="0.35">
      <c r="E1916" s="2"/>
      <c r="F1916" s="2"/>
      <c r="G1916" s="2"/>
    </row>
    <row r="1917" spans="5:7" ht="30" customHeight="1" x14ac:dyDescent="0.35">
      <c r="E1917" s="2"/>
      <c r="F1917" s="2"/>
      <c r="G1917" s="2"/>
    </row>
    <row r="1918" spans="5:7" ht="30" customHeight="1" x14ac:dyDescent="0.35">
      <c r="E1918" s="2"/>
      <c r="F1918" s="2"/>
      <c r="G1918" s="2"/>
    </row>
    <row r="1919" spans="5:7" ht="30" customHeight="1" x14ac:dyDescent="0.35">
      <c r="E1919" s="2"/>
      <c r="F1919" s="2"/>
      <c r="G1919" s="2"/>
    </row>
    <row r="1920" spans="5:7" ht="30" customHeight="1" x14ac:dyDescent="0.35">
      <c r="E1920" s="2"/>
      <c r="F1920" s="2"/>
      <c r="G1920" s="2"/>
    </row>
    <row r="1921" spans="5:7" ht="30" customHeight="1" x14ac:dyDescent="0.35">
      <c r="E1921" s="2"/>
      <c r="F1921" s="2"/>
      <c r="G1921" s="2"/>
    </row>
    <row r="1922" spans="5:7" ht="30" customHeight="1" x14ac:dyDescent="0.35">
      <c r="E1922" s="2"/>
      <c r="F1922" s="2"/>
      <c r="G1922" s="2"/>
    </row>
    <row r="1923" spans="5:7" ht="30" customHeight="1" x14ac:dyDescent="0.35">
      <c r="E1923" s="2"/>
      <c r="F1923" s="2"/>
      <c r="G1923" s="2"/>
    </row>
    <row r="1924" spans="5:7" ht="30" customHeight="1" x14ac:dyDescent="0.35">
      <c r="E1924" s="2"/>
      <c r="F1924" s="2"/>
      <c r="G1924" s="2"/>
    </row>
    <row r="1925" spans="5:7" ht="30" customHeight="1" x14ac:dyDescent="0.35">
      <c r="E1925" s="2"/>
      <c r="F1925" s="2"/>
      <c r="G1925" s="2"/>
    </row>
    <row r="1926" spans="5:7" ht="30" customHeight="1" x14ac:dyDescent="0.35">
      <c r="E1926" s="2"/>
      <c r="F1926" s="2"/>
      <c r="G1926" s="2"/>
    </row>
    <row r="1927" spans="5:7" ht="30" customHeight="1" x14ac:dyDescent="0.35">
      <c r="E1927" s="2"/>
      <c r="F1927" s="2"/>
      <c r="G1927" s="2"/>
    </row>
    <row r="1928" spans="5:7" ht="30" customHeight="1" x14ac:dyDescent="0.35">
      <c r="E1928" s="2"/>
      <c r="F1928" s="2"/>
      <c r="G1928" s="2"/>
    </row>
    <row r="1929" spans="5:7" ht="30" customHeight="1" x14ac:dyDescent="0.35">
      <c r="E1929" s="2"/>
      <c r="F1929" s="2"/>
      <c r="G1929" s="2"/>
    </row>
    <row r="1930" spans="5:7" ht="30" customHeight="1" x14ac:dyDescent="0.35">
      <c r="E1930" s="2"/>
      <c r="F1930" s="2"/>
      <c r="G1930" s="2"/>
    </row>
    <row r="1931" spans="5:7" ht="30" customHeight="1" x14ac:dyDescent="0.35">
      <c r="E1931" s="2"/>
      <c r="F1931" s="2"/>
      <c r="G1931" s="2"/>
    </row>
    <row r="1932" spans="5:7" ht="30" customHeight="1" x14ac:dyDescent="0.35">
      <c r="E1932" s="2"/>
      <c r="F1932" s="2"/>
      <c r="G1932" s="2"/>
    </row>
    <row r="1933" spans="5:7" ht="30" customHeight="1" x14ac:dyDescent="0.35">
      <c r="E1933" s="2"/>
      <c r="F1933" s="2"/>
      <c r="G1933" s="2"/>
    </row>
    <row r="1934" spans="5:7" ht="30" customHeight="1" x14ac:dyDescent="0.35">
      <c r="E1934" s="2"/>
      <c r="F1934" s="2"/>
      <c r="G1934" s="2"/>
    </row>
    <row r="1935" spans="5:7" ht="30" customHeight="1" x14ac:dyDescent="0.35">
      <c r="E1935" s="2"/>
      <c r="F1935" s="2"/>
      <c r="G1935" s="2"/>
    </row>
    <row r="1936" spans="5:7" ht="30" customHeight="1" x14ac:dyDescent="0.35">
      <c r="E1936" s="2"/>
      <c r="F1936" s="2"/>
      <c r="G1936" s="2"/>
    </row>
    <row r="1937" spans="5:7" ht="30" customHeight="1" x14ac:dyDescent="0.35">
      <c r="E1937" s="2"/>
      <c r="F1937" s="2"/>
      <c r="G1937" s="2"/>
    </row>
    <row r="1938" spans="5:7" ht="30" customHeight="1" x14ac:dyDescent="0.35">
      <c r="E1938" s="2"/>
      <c r="F1938" s="2"/>
      <c r="G1938" s="2"/>
    </row>
    <row r="1939" spans="5:7" ht="30" customHeight="1" x14ac:dyDescent="0.35">
      <c r="E1939" s="2"/>
      <c r="F1939" s="2"/>
      <c r="G1939" s="2"/>
    </row>
    <row r="1940" spans="5:7" ht="30" customHeight="1" x14ac:dyDescent="0.35">
      <c r="E1940" s="2"/>
      <c r="F1940" s="2"/>
      <c r="G1940" s="2"/>
    </row>
    <row r="1941" spans="5:7" ht="30" customHeight="1" x14ac:dyDescent="0.35">
      <c r="E1941" s="2"/>
      <c r="F1941" s="2"/>
      <c r="G1941" s="2"/>
    </row>
    <row r="1942" spans="5:7" ht="30" customHeight="1" x14ac:dyDescent="0.35">
      <c r="E1942" s="2"/>
      <c r="F1942" s="2"/>
      <c r="G1942" s="2"/>
    </row>
    <row r="1943" spans="5:7" ht="30" customHeight="1" x14ac:dyDescent="0.35">
      <c r="E1943" s="2"/>
      <c r="F1943" s="2"/>
      <c r="G1943" s="2"/>
    </row>
    <row r="1944" spans="5:7" ht="30" customHeight="1" x14ac:dyDescent="0.35">
      <c r="E1944" s="2"/>
      <c r="F1944" s="2"/>
      <c r="G1944" s="2"/>
    </row>
    <row r="1945" spans="5:7" ht="30" customHeight="1" x14ac:dyDescent="0.35">
      <c r="E1945" s="2"/>
      <c r="F1945" s="2"/>
      <c r="G1945" s="2"/>
    </row>
    <row r="1946" spans="5:7" ht="30" customHeight="1" x14ac:dyDescent="0.35">
      <c r="E1946" s="2"/>
      <c r="F1946" s="2"/>
      <c r="G1946" s="2"/>
    </row>
    <row r="1947" spans="5:7" ht="30" customHeight="1" x14ac:dyDescent="0.35">
      <c r="E1947" s="2"/>
      <c r="F1947" s="2"/>
      <c r="G1947" s="2"/>
    </row>
    <row r="1948" spans="5:7" ht="30" customHeight="1" x14ac:dyDescent="0.35">
      <c r="E1948" s="2"/>
      <c r="F1948" s="2"/>
      <c r="G1948" s="2"/>
    </row>
    <row r="1949" spans="5:7" ht="30" customHeight="1" x14ac:dyDescent="0.35">
      <c r="E1949" s="2"/>
      <c r="F1949" s="2"/>
      <c r="G1949" s="2"/>
    </row>
    <row r="1950" spans="5:7" ht="30" customHeight="1" x14ac:dyDescent="0.35">
      <c r="E1950" s="2"/>
      <c r="F1950" s="2"/>
      <c r="G1950" s="2"/>
    </row>
    <row r="1951" spans="5:7" ht="30" customHeight="1" x14ac:dyDescent="0.35">
      <c r="E1951" s="2"/>
      <c r="F1951" s="2"/>
      <c r="G1951" s="2"/>
    </row>
    <row r="1952" spans="5:7" ht="30" customHeight="1" x14ac:dyDescent="0.35">
      <c r="E1952" s="2"/>
      <c r="F1952" s="2"/>
      <c r="G1952" s="2"/>
    </row>
    <row r="1953" spans="5:7" ht="30" customHeight="1" x14ac:dyDescent="0.35">
      <c r="E1953" s="2"/>
      <c r="F1953" s="2"/>
      <c r="G1953" s="2"/>
    </row>
    <row r="1954" spans="5:7" ht="30" customHeight="1" x14ac:dyDescent="0.35">
      <c r="E1954" s="2"/>
      <c r="F1954" s="2"/>
      <c r="G1954" s="2"/>
    </row>
    <row r="1955" spans="5:7" ht="30" customHeight="1" x14ac:dyDescent="0.35">
      <c r="E1955" s="2"/>
      <c r="F1955" s="2"/>
      <c r="G1955" s="2"/>
    </row>
    <row r="1956" spans="5:7" ht="30" customHeight="1" x14ac:dyDescent="0.35">
      <c r="E1956" s="2"/>
      <c r="F1956" s="2"/>
      <c r="G1956" s="2"/>
    </row>
    <row r="1957" spans="5:7" ht="30" customHeight="1" x14ac:dyDescent="0.35">
      <c r="E1957" s="2"/>
      <c r="F1957" s="2"/>
      <c r="G1957" s="2"/>
    </row>
    <row r="1958" spans="5:7" ht="30" customHeight="1" x14ac:dyDescent="0.35">
      <c r="E1958" s="2"/>
      <c r="F1958" s="2"/>
      <c r="G1958" s="2"/>
    </row>
    <row r="1959" spans="5:7" ht="30" customHeight="1" x14ac:dyDescent="0.35">
      <c r="E1959" s="2"/>
      <c r="F1959" s="2"/>
      <c r="G1959" s="2"/>
    </row>
    <row r="1960" spans="5:7" ht="30" customHeight="1" x14ac:dyDescent="0.35">
      <c r="E1960" s="2"/>
      <c r="F1960" s="2"/>
      <c r="G1960" s="2"/>
    </row>
    <row r="1961" spans="5:7" ht="30" customHeight="1" x14ac:dyDescent="0.35">
      <c r="E1961" s="2"/>
      <c r="F1961" s="2"/>
      <c r="G1961" s="2"/>
    </row>
    <row r="1962" spans="5:7" ht="30" customHeight="1" x14ac:dyDescent="0.35">
      <c r="E1962" s="2"/>
      <c r="F1962" s="2"/>
      <c r="G1962" s="2"/>
    </row>
    <row r="1963" spans="5:7" ht="30" customHeight="1" x14ac:dyDescent="0.35">
      <c r="E1963" s="2"/>
      <c r="F1963" s="2"/>
      <c r="G1963" s="2"/>
    </row>
    <row r="1964" spans="5:7" ht="30" customHeight="1" x14ac:dyDescent="0.35">
      <c r="E1964" s="2"/>
      <c r="F1964" s="2"/>
      <c r="G1964" s="2"/>
    </row>
    <row r="1965" spans="5:7" ht="30" customHeight="1" x14ac:dyDescent="0.35">
      <c r="E1965" s="2"/>
      <c r="F1965" s="2"/>
      <c r="G1965" s="2"/>
    </row>
    <row r="1966" spans="5:7" ht="30" customHeight="1" x14ac:dyDescent="0.35">
      <c r="E1966" s="2"/>
      <c r="F1966" s="2"/>
      <c r="G1966" s="2"/>
    </row>
    <row r="1967" spans="5:7" ht="30" customHeight="1" x14ac:dyDescent="0.35">
      <c r="E1967" s="2"/>
      <c r="F1967" s="2"/>
      <c r="G1967" s="2"/>
    </row>
    <row r="1968" spans="5:7" ht="30" customHeight="1" x14ac:dyDescent="0.35">
      <c r="E1968" s="2"/>
      <c r="F1968" s="2"/>
      <c r="G1968" s="2"/>
    </row>
    <row r="1969" spans="5:7" ht="30" customHeight="1" x14ac:dyDescent="0.35">
      <c r="E1969" s="2"/>
      <c r="F1969" s="2"/>
      <c r="G1969" s="2"/>
    </row>
    <row r="1970" spans="5:7" ht="30" customHeight="1" x14ac:dyDescent="0.35">
      <c r="E1970" s="2"/>
      <c r="F1970" s="2"/>
      <c r="G1970" s="2"/>
    </row>
    <row r="1971" spans="5:7" ht="30" customHeight="1" x14ac:dyDescent="0.35">
      <c r="E1971" s="2"/>
      <c r="F1971" s="2"/>
      <c r="G1971" s="2"/>
    </row>
    <row r="1972" spans="5:7" ht="30" customHeight="1" x14ac:dyDescent="0.35">
      <c r="E1972" s="2"/>
      <c r="F1972" s="2"/>
      <c r="G1972" s="2"/>
    </row>
    <row r="1973" spans="5:7" ht="30" customHeight="1" x14ac:dyDescent="0.35">
      <c r="E1973" s="2"/>
      <c r="F1973" s="2"/>
      <c r="G1973" s="2"/>
    </row>
    <row r="1974" spans="5:7" ht="30" customHeight="1" x14ac:dyDescent="0.35">
      <c r="E1974" s="2"/>
      <c r="F1974" s="2"/>
      <c r="G1974" s="2"/>
    </row>
    <row r="1975" spans="5:7" ht="30" customHeight="1" x14ac:dyDescent="0.35">
      <c r="E1975" s="2"/>
      <c r="F1975" s="2"/>
      <c r="G1975" s="2"/>
    </row>
    <row r="1976" spans="5:7" ht="30" customHeight="1" x14ac:dyDescent="0.35">
      <c r="E1976" s="2"/>
      <c r="F1976" s="2"/>
      <c r="G1976" s="2"/>
    </row>
    <row r="1977" spans="5:7" ht="30" customHeight="1" x14ac:dyDescent="0.35">
      <c r="E1977" s="2"/>
      <c r="F1977" s="2"/>
      <c r="G1977" s="2"/>
    </row>
    <row r="1978" spans="5:7" ht="30" customHeight="1" x14ac:dyDescent="0.35">
      <c r="E1978" s="2"/>
      <c r="F1978" s="2"/>
      <c r="G1978" s="2"/>
    </row>
    <row r="1979" spans="5:7" ht="30" customHeight="1" x14ac:dyDescent="0.35">
      <c r="E1979" s="2"/>
      <c r="F1979" s="2"/>
      <c r="G1979" s="2"/>
    </row>
    <row r="1980" spans="5:7" ht="30" customHeight="1" x14ac:dyDescent="0.35">
      <c r="E1980" s="2"/>
      <c r="F1980" s="2"/>
      <c r="G1980" s="2"/>
    </row>
    <row r="1981" spans="5:7" ht="30" customHeight="1" x14ac:dyDescent="0.35">
      <c r="E1981" s="2"/>
      <c r="F1981" s="2"/>
      <c r="G1981" s="2"/>
    </row>
    <row r="1982" spans="5:7" ht="30" customHeight="1" x14ac:dyDescent="0.35">
      <c r="E1982" s="2"/>
      <c r="F1982" s="2"/>
      <c r="G1982" s="2"/>
    </row>
    <row r="1983" spans="5:7" ht="30" customHeight="1" x14ac:dyDescent="0.35">
      <c r="E1983" s="2"/>
      <c r="F1983" s="2"/>
      <c r="G1983" s="2"/>
    </row>
    <row r="1984" spans="5:7" ht="30" customHeight="1" x14ac:dyDescent="0.35">
      <c r="E1984" s="2"/>
      <c r="F1984" s="2"/>
      <c r="G1984" s="2"/>
    </row>
    <row r="1985" spans="5:7" ht="30" customHeight="1" x14ac:dyDescent="0.35">
      <c r="E1985" s="2"/>
      <c r="F1985" s="2"/>
      <c r="G1985" s="2"/>
    </row>
    <row r="1986" spans="5:7" ht="30" customHeight="1" x14ac:dyDescent="0.35">
      <c r="E1986" s="2"/>
      <c r="F1986" s="2"/>
      <c r="G1986" s="2"/>
    </row>
    <row r="1987" spans="5:7" ht="30" customHeight="1" x14ac:dyDescent="0.35">
      <c r="E1987" s="2"/>
      <c r="F1987" s="2"/>
      <c r="G1987" s="2"/>
    </row>
    <row r="1988" spans="5:7" ht="30" customHeight="1" x14ac:dyDescent="0.35">
      <c r="E1988" s="2"/>
      <c r="F1988" s="2"/>
      <c r="G1988" s="2"/>
    </row>
    <row r="1989" spans="5:7" ht="30" customHeight="1" x14ac:dyDescent="0.35">
      <c r="E1989" s="2"/>
      <c r="F1989" s="2"/>
      <c r="G1989" s="2"/>
    </row>
    <row r="1990" spans="5:7" ht="30" customHeight="1" x14ac:dyDescent="0.35">
      <c r="E1990" s="2"/>
      <c r="F1990" s="2"/>
      <c r="G1990" s="2"/>
    </row>
    <row r="1991" spans="5:7" ht="30" customHeight="1" x14ac:dyDescent="0.35">
      <c r="E1991" s="2"/>
      <c r="F1991" s="2"/>
      <c r="G1991" s="2"/>
    </row>
    <row r="1992" spans="5:7" ht="30" customHeight="1" x14ac:dyDescent="0.35">
      <c r="E1992" s="2"/>
      <c r="F1992" s="2"/>
      <c r="G1992" s="2"/>
    </row>
    <row r="1993" spans="5:7" ht="30" customHeight="1" x14ac:dyDescent="0.35">
      <c r="E1993" s="2"/>
      <c r="F1993" s="2"/>
      <c r="G1993" s="2"/>
    </row>
    <row r="1994" spans="5:7" ht="30" customHeight="1" x14ac:dyDescent="0.35">
      <c r="E1994" s="2"/>
      <c r="F1994" s="2"/>
      <c r="G1994" s="2"/>
    </row>
    <row r="1995" spans="5:7" ht="30" customHeight="1" x14ac:dyDescent="0.35">
      <c r="E1995" s="2"/>
      <c r="F1995" s="2"/>
      <c r="G1995" s="2"/>
    </row>
    <row r="1996" spans="5:7" ht="30" customHeight="1" x14ac:dyDescent="0.35">
      <c r="E1996" s="2"/>
      <c r="F1996" s="2"/>
      <c r="G1996" s="2"/>
    </row>
    <row r="1997" spans="5:7" ht="30" customHeight="1" x14ac:dyDescent="0.35">
      <c r="E1997" s="2"/>
      <c r="F1997" s="2"/>
      <c r="G1997" s="2"/>
    </row>
    <row r="1998" spans="5:7" ht="30" customHeight="1" x14ac:dyDescent="0.35">
      <c r="E1998" s="2"/>
      <c r="F1998" s="2"/>
      <c r="G1998" s="2"/>
    </row>
    <row r="1999" spans="5:7" ht="30" customHeight="1" x14ac:dyDescent="0.35">
      <c r="E1999" s="2"/>
      <c r="F1999" s="2"/>
      <c r="G1999" s="2"/>
    </row>
    <row r="2000" spans="5:7" ht="30" customHeight="1" x14ac:dyDescent="0.35">
      <c r="E2000" s="2"/>
      <c r="F2000" s="2"/>
      <c r="G2000" s="2"/>
    </row>
    <row r="2001" spans="5:7" ht="30" customHeight="1" x14ac:dyDescent="0.35">
      <c r="E2001" s="2"/>
      <c r="F2001" s="2"/>
      <c r="G2001" s="2"/>
    </row>
    <row r="2002" spans="5:7" ht="30" customHeight="1" x14ac:dyDescent="0.35">
      <c r="E2002" s="2"/>
      <c r="F2002" s="2"/>
      <c r="G2002" s="2"/>
    </row>
    <row r="2003" spans="5:7" ht="30" customHeight="1" x14ac:dyDescent="0.35">
      <c r="E2003" s="2"/>
      <c r="F2003" s="2"/>
      <c r="G2003" s="2"/>
    </row>
    <row r="2004" spans="5:7" ht="30" customHeight="1" x14ac:dyDescent="0.35">
      <c r="E2004" s="2"/>
      <c r="F2004" s="2"/>
      <c r="G2004" s="2"/>
    </row>
    <row r="2005" spans="5:7" ht="30" customHeight="1" x14ac:dyDescent="0.35">
      <c r="E2005" s="2"/>
      <c r="F2005" s="2"/>
      <c r="G2005" s="2"/>
    </row>
    <row r="2006" spans="5:7" ht="30" customHeight="1" x14ac:dyDescent="0.35">
      <c r="E2006" s="2"/>
      <c r="F2006" s="2"/>
      <c r="G2006" s="2"/>
    </row>
    <row r="2007" spans="5:7" ht="30" customHeight="1" x14ac:dyDescent="0.35">
      <c r="E2007" s="2"/>
      <c r="F2007" s="2"/>
      <c r="G2007" s="2"/>
    </row>
    <row r="2008" spans="5:7" ht="30" customHeight="1" x14ac:dyDescent="0.35">
      <c r="E2008" s="2"/>
      <c r="F2008" s="2"/>
      <c r="G2008" s="2"/>
    </row>
    <row r="2009" spans="5:7" ht="30" customHeight="1" x14ac:dyDescent="0.35">
      <c r="E2009" s="2"/>
      <c r="F2009" s="2"/>
      <c r="G2009" s="2"/>
    </row>
    <row r="2010" spans="5:7" ht="30" customHeight="1" x14ac:dyDescent="0.35">
      <c r="E2010" s="2"/>
      <c r="F2010" s="2"/>
      <c r="G2010" s="2"/>
    </row>
    <row r="2011" spans="5:7" ht="30" customHeight="1" x14ac:dyDescent="0.35">
      <c r="E2011" s="2"/>
      <c r="F2011" s="2"/>
      <c r="G2011" s="2"/>
    </row>
    <row r="2012" spans="5:7" ht="30" customHeight="1" x14ac:dyDescent="0.35">
      <c r="E2012" s="2"/>
      <c r="F2012" s="2"/>
      <c r="G2012" s="2"/>
    </row>
    <row r="2013" spans="5:7" ht="30" customHeight="1" x14ac:dyDescent="0.35">
      <c r="E2013" s="2"/>
      <c r="F2013" s="2"/>
      <c r="G2013" s="2"/>
    </row>
    <row r="2014" spans="5:7" ht="30" customHeight="1" x14ac:dyDescent="0.35">
      <c r="E2014" s="2"/>
      <c r="F2014" s="2"/>
      <c r="G2014" s="2"/>
    </row>
    <row r="2015" spans="5:7" ht="30" customHeight="1" x14ac:dyDescent="0.35">
      <c r="E2015" s="2"/>
      <c r="F2015" s="2"/>
      <c r="G2015" s="2"/>
    </row>
    <row r="2016" spans="5:7" ht="30" customHeight="1" x14ac:dyDescent="0.35">
      <c r="E2016" s="2"/>
      <c r="F2016" s="2"/>
      <c r="G2016" s="2"/>
    </row>
    <row r="2017" spans="5:7" ht="30" customHeight="1" x14ac:dyDescent="0.35">
      <c r="E2017" s="2"/>
      <c r="F2017" s="2"/>
      <c r="G2017" s="2"/>
    </row>
    <row r="2018" spans="5:7" ht="30" customHeight="1" x14ac:dyDescent="0.35">
      <c r="E2018" s="2"/>
      <c r="F2018" s="2"/>
      <c r="G2018" s="2"/>
    </row>
    <row r="2019" spans="5:7" ht="30" customHeight="1" x14ac:dyDescent="0.35">
      <c r="E2019" s="2"/>
      <c r="F2019" s="2"/>
      <c r="G2019" s="2"/>
    </row>
    <row r="2020" spans="5:7" ht="30" customHeight="1" x14ac:dyDescent="0.35">
      <c r="E2020" s="2"/>
      <c r="F2020" s="2"/>
      <c r="G2020" s="2"/>
    </row>
    <row r="2021" spans="5:7" ht="30" customHeight="1" x14ac:dyDescent="0.35">
      <c r="E2021" s="2"/>
      <c r="F2021" s="2"/>
      <c r="G2021" s="2"/>
    </row>
    <row r="2022" spans="5:7" ht="30" customHeight="1" x14ac:dyDescent="0.35">
      <c r="E2022" s="2"/>
      <c r="F2022" s="2"/>
      <c r="G2022" s="2"/>
    </row>
    <row r="2023" spans="5:7" ht="30" customHeight="1" x14ac:dyDescent="0.35">
      <c r="E2023" s="2"/>
      <c r="F2023" s="2"/>
      <c r="G2023" s="2"/>
    </row>
    <row r="2024" spans="5:7" ht="30" customHeight="1" x14ac:dyDescent="0.35">
      <c r="E2024" s="2"/>
      <c r="F2024" s="2"/>
      <c r="G2024" s="2"/>
    </row>
    <row r="2025" spans="5:7" ht="30" customHeight="1" x14ac:dyDescent="0.35">
      <c r="E2025" s="2"/>
      <c r="F2025" s="2"/>
      <c r="G2025" s="2"/>
    </row>
    <row r="2026" spans="5:7" ht="30" customHeight="1" x14ac:dyDescent="0.35">
      <c r="E2026" s="2"/>
      <c r="F2026" s="2"/>
      <c r="G2026" s="2"/>
    </row>
    <row r="2027" spans="5:7" ht="30" customHeight="1" x14ac:dyDescent="0.35">
      <c r="E2027" s="2"/>
      <c r="F2027" s="2"/>
      <c r="G2027" s="2"/>
    </row>
    <row r="2028" spans="5:7" ht="30" customHeight="1" x14ac:dyDescent="0.35">
      <c r="E2028" s="2"/>
      <c r="F2028" s="2"/>
      <c r="G2028" s="2"/>
    </row>
    <row r="2029" spans="5:7" ht="30" customHeight="1" x14ac:dyDescent="0.35">
      <c r="E2029" s="2"/>
      <c r="F2029" s="2"/>
      <c r="G2029" s="2"/>
    </row>
    <row r="2030" spans="5:7" ht="30" customHeight="1" x14ac:dyDescent="0.35">
      <c r="E2030" s="2"/>
      <c r="F2030" s="2"/>
      <c r="G2030" s="2"/>
    </row>
    <row r="2031" spans="5:7" ht="30" customHeight="1" x14ac:dyDescent="0.35">
      <c r="E2031" s="2"/>
      <c r="F2031" s="2"/>
      <c r="G2031" s="2"/>
    </row>
    <row r="2032" spans="5:7" ht="30" customHeight="1" x14ac:dyDescent="0.35">
      <c r="E2032" s="2"/>
      <c r="F2032" s="2"/>
      <c r="G2032" s="2"/>
    </row>
    <row r="2033" spans="5:7" ht="30" customHeight="1" x14ac:dyDescent="0.35">
      <c r="E2033" s="2"/>
      <c r="F2033" s="2"/>
      <c r="G2033" s="2"/>
    </row>
    <row r="2034" spans="5:7" ht="30" customHeight="1" x14ac:dyDescent="0.35">
      <c r="E2034" s="2"/>
      <c r="F2034" s="2"/>
      <c r="G2034" s="2"/>
    </row>
    <row r="2035" spans="5:7" ht="30" customHeight="1" x14ac:dyDescent="0.35">
      <c r="E2035" s="2"/>
      <c r="F2035" s="2"/>
      <c r="G2035" s="2"/>
    </row>
    <row r="2036" spans="5:7" ht="30" customHeight="1" x14ac:dyDescent="0.35">
      <c r="E2036" s="2"/>
      <c r="F2036" s="2"/>
      <c r="G2036" s="2"/>
    </row>
    <row r="2037" spans="5:7" ht="30" customHeight="1" x14ac:dyDescent="0.35">
      <c r="E2037" s="2"/>
      <c r="F2037" s="2"/>
      <c r="G2037" s="2"/>
    </row>
    <row r="2038" spans="5:7" ht="30" customHeight="1" x14ac:dyDescent="0.35">
      <c r="E2038" s="2"/>
      <c r="F2038" s="2"/>
      <c r="G2038" s="2"/>
    </row>
    <row r="2039" spans="5:7" ht="30" customHeight="1" x14ac:dyDescent="0.35">
      <c r="E2039" s="2"/>
      <c r="F2039" s="2"/>
      <c r="G2039" s="2"/>
    </row>
    <row r="2040" spans="5:7" ht="30" customHeight="1" x14ac:dyDescent="0.35">
      <c r="E2040" s="2"/>
      <c r="F2040" s="2"/>
      <c r="G2040" s="2"/>
    </row>
    <row r="2041" spans="5:7" ht="30" customHeight="1" x14ac:dyDescent="0.35">
      <c r="E2041" s="2"/>
      <c r="F2041" s="2"/>
      <c r="G2041" s="2"/>
    </row>
    <row r="2042" spans="5:7" ht="30" customHeight="1" x14ac:dyDescent="0.35">
      <c r="E2042" s="2"/>
      <c r="F2042" s="2"/>
      <c r="G2042" s="2"/>
    </row>
    <row r="2043" spans="5:7" ht="30" customHeight="1" x14ac:dyDescent="0.35">
      <c r="E2043" s="2"/>
      <c r="F2043" s="2"/>
      <c r="G2043" s="2"/>
    </row>
    <row r="2044" spans="5:7" ht="30" customHeight="1" x14ac:dyDescent="0.35">
      <c r="E2044" s="2"/>
      <c r="F2044" s="2"/>
      <c r="G2044" s="2"/>
    </row>
    <row r="2045" spans="5:7" ht="30" customHeight="1" x14ac:dyDescent="0.35">
      <c r="E2045" s="2"/>
      <c r="F2045" s="2"/>
      <c r="G2045" s="2"/>
    </row>
    <row r="2046" spans="5:7" ht="30" customHeight="1" x14ac:dyDescent="0.35">
      <c r="E2046" s="2"/>
      <c r="F2046" s="2"/>
      <c r="G2046" s="2"/>
    </row>
    <row r="2047" spans="5:7" ht="30" customHeight="1" x14ac:dyDescent="0.35">
      <c r="E2047" s="2"/>
      <c r="F2047" s="2"/>
      <c r="G2047" s="2"/>
    </row>
    <row r="2048" spans="5:7" ht="30" customHeight="1" x14ac:dyDescent="0.35">
      <c r="E2048" s="2"/>
      <c r="F2048" s="2"/>
      <c r="G2048" s="2"/>
    </row>
    <row r="2049" spans="5:7" ht="30" customHeight="1" x14ac:dyDescent="0.35">
      <c r="E2049" s="2"/>
      <c r="F2049" s="2"/>
      <c r="G2049" s="2"/>
    </row>
    <row r="2050" spans="5:7" ht="30" customHeight="1" x14ac:dyDescent="0.35">
      <c r="E2050" s="2"/>
      <c r="F2050" s="2"/>
      <c r="G2050" s="2"/>
    </row>
    <row r="2051" spans="5:7" ht="30" customHeight="1" x14ac:dyDescent="0.35">
      <c r="E2051" s="2"/>
      <c r="F2051" s="2"/>
      <c r="G2051" s="2"/>
    </row>
    <row r="2052" spans="5:7" ht="30" customHeight="1" x14ac:dyDescent="0.35">
      <c r="E2052" s="2"/>
      <c r="F2052" s="2"/>
      <c r="G2052" s="2"/>
    </row>
    <row r="2053" spans="5:7" ht="30" customHeight="1" x14ac:dyDescent="0.35">
      <c r="E2053" s="2"/>
      <c r="F2053" s="2"/>
      <c r="G2053" s="2"/>
    </row>
    <row r="2054" spans="5:7" ht="30" customHeight="1" x14ac:dyDescent="0.35">
      <c r="E2054" s="2"/>
      <c r="F2054" s="2"/>
      <c r="G2054" s="2"/>
    </row>
    <row r="2055" spans="5:7" ht="30" customHeight="1" x14ac:dyDescent="0.35">
      <c r="E2055" s="2"/>
      <c r="F2055" s="2"/>
      <c r="G2055" s="2"/>
    </row>
    <row r="2056" spans="5:7" ht="30" customHeight="1" x14ac:dyDescent="0.35">
      <c r="E2056" s="2"/>
      <c r="F2056" s="2"/>
      <c r="G2056" s="2"/>
    </row>
    <row r="2057" spans="5:7" ht="30" customHeight="1" x14ac:dyDescent="0.35">
      <c r="E2057" s="2"/>
      <c r="F2057" s="2"/>
      <c r="G2057" s="2"/>
    </row>
    <row r="2058" spans="5:7" ht="30" customHeight="1" x14ac:dyDescent="0.35">
      <c r="E2058" s="2"/>
      <c r="F2058" s="2"/>
      <c r="G2058" s="2"/>
    </row>
    <row r="2059" spans="5:7" ht="30" customHeight="1" x14ac:dyDescent="0.35">
      <c r="E2059" s="2"/>
      <c r="F2059" s="2"/>
      <c r="G2059" s="2"/>
    </row>
    <row r="2060" spans="5:7" ht="30" customHeight="1" x14ac:dyDescent="0.35">
      <c r="E2060" s="2"/>
      <c r="F2060" s="2"/>
      <c r="G2060" s="2"/>
    </row>
    <row r="2061" spans="5:7" ht="30" customHeight="1" x14ac:dyDescent="0.35">
      <c r="E2061" s="2"/>
      <c r="F2061" s="2"/>
      <c r="G2061" s="2"/>
    </row>
    <row r="2062" spans="5:7" ht="30" customHeight="1" x14ac:dyDescent="0.35">
      <c r="E2062" s="2"/>
      <c r="F2062" s="2"/>
      <c r="G2062" s="2"/>
    </row>
    <row r="2063" spans="5:7" ht="30" customHeight="1" x14ac:dyDescent="0.35">
      <c r="E2063" s="2"/>
      <c r="F2063" s="2"/>
      <c r="G2063" s="2"/>
    </row>
    <row r="2064" spans="5:7" ht="30" customHeight="1" x14ac:dyDescent="0.35">
      <c r="E2064" s="2"/>
      <c r="F2064" s="2"/>
      <c r="G2064" s="2"/>
    </row>
    <row r="2065" spans="5:7" ht="30" customHeight="1" x14ac:dyDescent="0.35">
      <c r="E2065" s="2"/>
      <c r="F2065" s="2"/>
      <c r="G2065" s="2"/>
    </row>
    <row r="2066" spans="5:7" ht="30" customHeight="1" x14ac:dyDescent="0.35">
      <c r="E2066" s="2"/>
      <c r="F2066" s="2"/>
      <c r="G2066" s="2"/>
    </row>
    <row r="2067" spans="5:7" ht="30" customHeight="1" x14ac:dyDescent="0.35">
      <c r="E2067" s="2"/>
      <c r="F2067" s="2"/>
      <c r="G2067" s="2"/>
    </row>
    <row r="2068" spans="5:7" ht="30" customHeight="1" x14ac:dyDescent="0.35">
      <c r="E2068" s="2"/>
      <c r="F2068" s="2"/>
      <c r="G2068" s="2"/>
    </row>
    <row r="2069" spans="5:7" ht="30" customHeight="1" x14ac:dyDescent="0.35">
      <c r="E2069" s="2"/>
      <c r="F2069" s="2"/>
      <c r="G2069" s="2"/>
    </row>
    <row r="2070" spans="5:7" ht="30" customHeight="1" x14ac:dyDescent="0.35">
      <c r="E2070" s="2"/>
      <c r="F2070" s="2"/>
      <c r="G2070" s="2"/>
    </row>
    <row r="2071" spans="5:7" ht="30" customHeight="1" x14ac:dyDescent="0.35">
      <c r="E2071" s="2"/>
      <c r="F2071" s="2"/>
      <c r="G2071" s="2"/>
    </row>
    <row r="2072" spans="5:7" ht="30" customHeight="1" x14ac:dyDescent="0.35">
      <c r="E2072" s="2"/>
      <c r="F2072" s="2"/>
      <c r="G2072" s="2"/>
    </row>
    <row r="2073" spans="5:7" ht="30" customHeight="1" x14ac:dyDescent="0.35">
      <c r="E2073" s="2"/>
      <c r="F2073" s="2"/>
      <c r="G2073" s="2"/>
    </row>
    <row r="2074" spans="5:7" ht="30" customHeight="1" x14ac:dyDescent="0.35">
      <c r="E2074" s="2"/>
      <c r="F2074" s="2"/>
      <c r="G2074" s="2"/>
    </row>
    <row r="2075" spans="5:7" ht="30" customHeight="1" x14ac:dyDescent="0.35">
      <c r="E2075" s="2"/>
      <c r="F2075" s="2"/>
      <c r="G2075" s="2"/>
    </row>
    <row r="2076" spans="5:7" ht="30" customHeight="1" x14ac:dyDescent="0.35">
      <c r="E2076" s="2"/>
      <c r="F2076" s="2"/>
      <c r="G2076" s="2"/>
    </row>
    <row r="2077" spans="5:7" ht="30" customHeight="1" x14ac:dyDescent="0.35">
      <c r="E2077" s="2"/>
      <c r="F2077" s="2"/>
      <c r="G2077" s="2"/>
    </row>
    <row r="2078" spans="5:7" ht="30" customHeight="1" x14ac:dyDescent="0.35">
      <c r="E2078" s="2"/>
      <c r="F2078" s="2"/>
      <c r="G2078" s="2"/>
    </row>
    <row r="2079" spans="5:7" ht="30" customHeight="1" x14ac:dyDescent="0.35">
      <c r="E2079" s="2"/>
      <c r="F2079" s="2"/>
      <c r="G2079" s="2"/>
    </row>
    <row r="2080" spans="5:7" ht="30" customHeight="1" x14ac:dyDescent="0.35">
      <c r="E2080" s="2"/>
      <c r="F2080" s="2"/>
      <c r="G2080" s="2"/>
    </row>
    <row r="2081" spans="5:7" ht="30" customHeight="1" x14ac:dyDescent="0.35">
      <c r="E2081" s="2"/>
      <c r="F2081" s="2"/>
      <c r="G2081" s="2"/>
    </row>
    <row r="2082" spans="5:7" ht="30" customHeight="1" x14ac:dyDescent="0.35">
      <c r="E2082" s="2"/>
      <c r="F2082" s="2"/>
      <c r="G2082" s="2"/>
    </row>
    <row r="2083" spans="5:7" ht="30" customHeight="1" x14ac:dyDescent="0.35">
      <c r="E2083" s="2"/>
      <c r="F2083" s="2"/>
      <c r="G2083" s="2"/>
    </row>
    <row r="2084" spans="5:7" ht="30" customHeight="1" x14ac:dyDescent="0.35">
      <c r="E2084" s="2"/>
      <c r="F2084" s="2"/>
      <c r="G2084" s="2"/>
    </row>
    <row r="2085" spans="5:7" ht="30" customHeight="1" x14ac:dyDescent="0.35">
      <c r="E2085" s="2"/>
      <c r="F2085" s="2"/>
      <c r="G2085" s="2"/>
    </row>
    <row r="2086" spans="5:7" ht="30" customHeight="1" x14ac:dyDescent="0.35">
      <c r="E2086" s="2"/>
      <c r="F2086" s="2"/>
      <c r="G2086" s="2"/>
    </row>
    <row r="2087" spans="5:7" ht="30" customHeight="1" x14ac:dyDescent="0.35">
      <c r="E2087" s="2"/>
      <c r="F2087" s="2"/>
      <c r="G2087" s="2"/>
    </row>
    <row r="2088" spans="5:7" ht="30" customHeight="1" x14ac:dyDescent="0.35">
      <c r="E2088" s="2"/>
      <c r="F2088" s="2"/>
      <c r="G2088" s="2"/>
    </row>
    <row r="2089" spans="5:7" ht="30" customHeight="1" x14ac:dyDescent="0.35">
      <c r="E2089" s="2"/>
      <c r="F2089" s="2"/>
      <c r="G2089" s="2"/>
    </row>
    <row r="2090" spans="5:7" ht="30" customHeight="1" x14ac:dyDescent="0.35">
      <c r="E2090" s="2"/>
      <c r="F2090" s="2"/>
      <c r="G2090" s="2"/>
    </row>
    <row r="2091" spans="5:7" ht="30" customHeight="1" x14ac:dyDescent="0.35">
      <c r="E2091" s="2"/>
      <c r="F2091" s="2"/>
      <c r="G2091" s="2"/>
    </row>
    <row r="2092" spans="5:7" ht="30" customHeight="1" x14ac:dyDescent="0.35">
      <c r="E2092" s="2"/>
      <c r="F2092" s="2"/>
      <c r="G2092" s="2"/>
    </row>
    <row r="2093" spans="5:7" ht="30" customHeight="1" x14ac:dyDescent="0.35">
      <c r="E2093" s="2"/>
      <c r="F2093" s="2"/>
      <c r="G2093" s="2"/>
    </row>
    <row r="2094" spans="5:7" ht="30" customHeight="1" x14ac:dyDescent="0.35">
      <c r="E2094" s="2"/>
      <c r="F2094" s="2"/>
      <c r="G2094" s="2"/>
    </row>
    <row r="2095" spans="5:7" ht="30" customHeight="1" x14ac:dyDescent="0.35">
      <c r="E2095" s="2"/>
      <c r="F2095" s="2"/>
      <c r="G2095" s="2"/>
    </row>
    <row r="2096" spans="5:7" ht="30" customHeight="1" x14ac:dyDescent="0.35">
      <c r="E2096" s="2"/>
      <c r="F2096" s="2"/>
      <c r="G2096" s="2"/>
    </row>
    <row r="2097" spans="5:7" ht="30" customHeight="1" x14ac:dyDescent="0.35">
      <c r="E2097" s="2"/>
      <c r="F2097" s="2"/>
      <c r="G2097" s="2"/>
    </row>
    <row r="2098" spans="5:7" ht="30" customHeight="1" x14ac:dyDescent="0.35">
      <c r="E2098" s="2"/>
      <c r="F2098" s="2"/>
      <c r="G2098" s="2"/>
    </row>
    <row r="2099" spans="5:7" ht="30" customHeight="1" x14ac:dyDescent="0.35">
      <c r="E2099" s="2"/>
      <c r="F2099" s="2"/>
      <c r="G2099" s="2"/>
    </row>
    <row r="2100" spans="5:7" ht="30" customHeight="1" x14ac:dyDescent="0.35">
      <c r="E2100" s="2"/>
      <c r="F2100" s="2"/>
      <c r="G2100" s="2"/>
    </row>
    <row r="2101" spans="5:7" ht="30" customHeight="1" x14ac:dyDescent="0.35">
      <c r="E2101" s="2"/>
      <c r="F2101" s="2"/>
      <c r="G2101" s="2"/>
    </row>
    <row r="2102" spans="5:7" ht="30" customHeight="1" x14ac:dyDescent="0.35">
      <c r="E2102" s="2"/>
      <c r="F2102" s="2"/>
      <c r="G2102" s="2"/>
    </row>
    <row r="2103" spans="5:7" ht="30" customHeight="1" x14ac:dyDescent="0.35">
      <c r="E2103" s="2"/>
      <c r="F2103" s="2"/>
      <c r="G2103" s="2"/>
    </row>
    <row r="2104" spans="5:7" ht="30" customHeight="1" x14ac:dyDescent="0.35">
      <c r="E2104" s="2"/>
      <c r="F2104" s="2"/>
      <c r="G2104" s="2"/>
    </row>
    <row r="2105" spans="5:7" ht="30" customHeight="1" x14ac:dyDescent="0.35">
      <c r="E2105" s="2"/>
      <c r="F2105" s="2"/>
      <c r="G2105" s="2"/>
    </row>
    <row r="2106" spans="5:7" ht="30" customHeight="1" x14ac:dyDescent="0.35">
      <c r="E2106" s="2"/>
      <c r="F2106" s="2"/>
      <c r="G2106" s="2"/>
    </row>
    <row r="2107" spans="5:7" ht="30" customHeight="1" x14ac:dyDescent="0.35">
      <c r="E2107" s="2"/>
      <c r="F2107" s="2"/>
      <c r="G2107" s="2"/>
    </row>
    <row r="2108" spans="5:7" ht="30" customHeight="1" x14ac:dyDescent="0.35">
      <c r="E2108" s="2"/>
      <c r="F2108" s="2"/>
      <c r="G2108" s="2"/>
    </row>
    <row r="2109" spans="5:7" ht="30" customHeight="1" x14ac:dyDescent="0.35">
      <c r="E2109" s="2"/>
      <c r="F2109" s="2"/>
      <c r="G2109" s="2"/>
    </row>
    <row r="2110" spans="5:7" ht="30" customHeight="1" x14ac:dyDescent="0.35">
      <c r="E2110" s="2"/>
      <c r="F2110" s="2"/>
      <c r="G2110" s="2"/>
    </row>
    <row r="2111" spans="5:7" ht="30" customHeight="1" x14ac:dyDescent="0.35">
      <c r="E2111" s="2"/>
      <c r="F2111" s="2"/>
      <c r="G2111" s="2"/>
    </row>
    <row r="2112" spans="5:7" ht="30" customHeight="1" x14ac:dyDescent="0.35">
      <c r="E2112" s="2"/>
      <c r="F2112" s="2"/>
      <c r="G2112" s="2"/>
    </row>
    <row r="2113" spans="5:7" ht="30" customHeight="1" x14ac:dyDescent="0.35">
      <c r="E2113" s="2"/>
      <c r="F2113" s="2"/>
      <c r="G2113" s="2"/>
    </row>
    <row r="2114" spans="5:7" ht="30" customHeight="1" x14ac:dyDescent="0.35">
      <c r="E2114" s="2"/>
      <c r="F2114" s="2"/>
      <c r="G2114" s="2"/>
    </row>
    <row r="2115" spans="5:7" ht="30" customHeight="1" x14ac:dyDescent="0.35">
      <c r="E2115" s="2"/>
      <c r="F2115" s="2"/>
      <c r="G2115" s="2"/>
    </row>
    <row r="2116" spans="5:7" ht="30" customHeight="1" x14ac:dyDescent="0.35">
      <c r="E2116" s="2"/>
      <c r="F2116" s="2"/>
      <c r="G2116" s="2"/>
    </row>
    <row r="2117" spans="5:7" ht="30" customHeight="1" x14ac:dyDescent="0.35">
      <c r="E2117" s="2"/>
      <c r="F2117" s="2"/>
      <c r="G2117" s="2"/>
    </row>
    <row r="2118" spans="5:7" ht="30" customHeight="1" x14ac:dyDescent="0.35">
      <c r="E2118" s="2"/>
      <c r="F2118" s="2"/>
      <c r="G2118" s="2"/>
    </row>
    <row r="2119" spans="5:7" ht="30" customHeight="1" x14ac:dyDescent="0.35">
      <c r="E2119" s="2"/>
      <c r="F2119" s="2"/>
      <c r="G2119" s="2"/>
    </row>
    <row r="2120" spans="5:7" ht="30" customHeight="1" x14ac:dyDescent="0.35">
      <c r="E2120" s="2"/>
      <c r="F2120" s="2"/>
      <c r="G2120" s="2"/>
    </row>
    <row r="2121" spans="5:7" ht="30" customHeight="1" x14ac:dyDescent="0.35">
      <c r="E2121" s="2"/>
      <c r="F2121" s="2"/>
      <c r="G2121" s="2"/>
    </row>
    <row r="2122" spans="5:7" ht="30" customHeight="1" x14ac:dyDescent="0.35">
      <c r="E2122" s="2"/>
      <c r="F2122" s="2"/>
      <c r="G2122" s="2"/>
    </row>
    <row r="2123" spans="5:7" ht="30" customHeight="1" x14ac:dyDescent="0.35">
      <c r="E2123" s="2"/>
      <c r="F2123" s="2"/>
      <c r="G2123" s="2"/>
    </row>
    <row r="2124" spans="5:7" ht="30" customHeight="1" x14ac:dyDescent="0.35">
      <c r="E2124" s="2"/>
      <c r="F2124" s="2"/>
      <c r="G2124" s="2"/>
    </row>
    <row r="2125" spans="5:7" ht="30" customHeight="1" x14ac:dyDescent="0.35">
      <c r="E2125" s="2"/>
      <c r="F2125" s="2"/>
      <c r="G2125" s="2"/>
    </row>
    <row r="2126" spans="5:7" ht="30" customHeight="1" x14ac:dyDescent="0.35">
      <c r="E2126" s="2"/>
      <c r="F2126" s="2"/>
      <c r="G2126" s="2"/>
    </row>
    <row r="2127" spans="5:7" ht="30" customHeight="1" x14ac:dyDescent="0.35">
      <c r="E2127" s="2"/>
      <c r="F2127" s="2"/>
      <c r="G2127" s="2"/>
    </row>
    <row r="2128" spans="5:7" ht="30" customHeight="1" x14ac:dyDescent="0.35">
      <c r="E2128" s="2"/>
      <c r="F2128" s="2"/>
      <c r="G2128" s="2"/>
    </row>
    <row r="2129" spans="5:7" ht="30" customHeight="1" x14ac:dyDescent="0.35">
      <c r="E2129" s="2"/>
      <c r="F2129" s="2"/>
      <c r="G2129" s="2"/>
    </row>
    <row r="2130" spans="5:7" ht="30" customHeight="1" x14ac:dyDescent="0.35">
      <c r="E2130" s="2"/>
      <c r="F2130" s="2"/>
      <c r="G2130" s="2"/>
    </row>
    <row r="2131" spans="5:7" ht="30" customHeight="1" x14ac:dyDescent="0.35">
      <c r="E2131" s="2"/>
      <c r="F2131" s="2"/>
      <c r="G2131" s="2"/>
    </row>
    <row r="2132" spans="5:7" ht="30" customHeight="1" x14ac:dyDescent="0.35">
      <c r="E2132" s="2"/>
      <c r="F2132" s="2"/>
      <c r="G2132" s="2"/>
    </row>
    <row r="2133" spans="5:7" ht="30" customHeight="1" x14ac:dyDescent="0.35">
      <c r="E2133" s="2"/>
      <c r="F2133" s="2"/>
      <c r="G2133" s="2"/>
    </row>
    <row r="2134" spans="5:7" ht="30" customHeight="1" x14ac:dyDescent="0.35">
      <c r="E2134" s="2"/>
      <c r="F2134" s="2"/>
      <c r="G2134" s="2"/>
    </row>
    <row r="2135" spans="5:7" ht="30" customHeight="1" x14ac:dyDescent="0.35">
      <c r="E2135" s="2"/>
      <c r="F2135" s="2"/>
      <c r="G2135" s="2"/>
    </row>
    <row r="2136" spans="5:7" ht="30" customHeight="1" x14ac:dyDescent="0.35">
      <c r="E2136" s="2"/>
      <c r="F2136" s="2"/>
      <c r="G2136" s="2"/>
    </row>
    <row r="2137" spans="5:7" ht="30" customHeight="1" x14ac:dyDescent="0.35">
      <c r="E2137" s="2"/>
      <c r="F2137" s="2"/>
      <c r="G2137" s="2"/>
    </row>
    <row r="2138" spans="5:7" ht="30" customHeight="1" x14ac:dyDescent="0.35">
      <c r="E2138" s="2"/>
      <c r="F2138" s="2"/>
      <c r="G2138" s="2"/>
    </row>
    <row r="2139" spans="5:7" ht="30" customHeight="1" x14ac:dyDescent="0.35">
      <c r="E2139" s="2"/>
      <c r="F2139" s="2"/>
      <c r="G2139" s="2"/>
    </row>
    <row r="2140" spans="5:7" ht="30" customHeight="1" x14ac:dyDescent="0.35">
      <c r="E2140" s="2"/>
      <c r="F2140" s="2"/>
      <c r="G2140" s="2"/>
    </row>
    <row r="2141" spans="5:7" ht="30" customHeight="1" x14ac:dyDescent="0.35">
      <c r="E2141" s="2"/>
      <c r="F2141" s="2"/>
      <c r="G2141" s="2"/>
    </row>
    <row r="2142" spans="5:7" ht="30" customHeight="1" x14ac:dyDescent="0.35">
      <c r="E2142" s="2"/>
      <c r="F2142" s="2"/>
      <c r="G2142" s="2"/>
    </row>
    <row r="2143" spans="5:7" ht="30" customHeight="1" x14ac:dyDescent="0.35">
      <c r="E2143" s="2"/>
      <c r="F2143" s="2"/>
      <c r="G2143" s="2"/>
    </row>
    <row r="2144" spans="5:7" ht="30" customHeight="1" x14ac:dyDescent="0.35">
      <c r="E2144" s="2"/>
      <c r="F2144" s="2"/>
      <c r="G2144" s="2"/>
    </row>
    <row r="2145" spans="5:7" ht="30" customHeight="1" x14ac:dyDescent="0.35">
      <c r="E2145" s="2"/>
      <c r="F2145" s="2"/>
      <c r="G2145" s="2"/>
    </row>
    <row r="2146" spans="5:7" ht="30" customHeight="1" x14ac:dyDescent="0.35">
      <c r="E2146" s="2"/>
      <c r="F2146" s="2"/>
      <c r="G2146" s="2"/>
    </row>
    <row r="2147" spans="5:7" ht="30" customHeight="1" x14ac:dyDescent="0.35">
      <c r="E2147" s="2"/>
      <c r="F2147" s="2"/>
      <c r="G2147" s="2"/>
    </row>
    <row r="2148" spans="5:7" ht="30" customHeight="1" x14ac:dyDescent="0.35">
      <c r="E2148" s="2"/>
      <c r="F2148" s="2"/>
      <c r="G2148" s="2"/>
    </row>
    <row r="2149" spans="5:7" ht="30" customHeight="1" x14ac:dyDescent="0.35">
      <c r="E2149" s="2"/>
      <c r="F2149" s="2"/>
      <c r="G2149" s="2"/>
    </row>
    <row r="2150" spans="5:7" ht="30" customHeight="1" x14ac:dyDescent="0.35">
      <c r="E2150" s="2"/>
      <c r="F2150" s="2"/>
      <c r="G2150" s="2"/>
    </row>
    <row r="2151" spans="5:7" ht="30" customHeight="1" x14ac:dyDescent="0.35">
      <c r="E2151" s="2"/>
      <c r="F2151" s="2"/>
      <c r="G2151" s="2"/>
    </row>
    <row r="2152" spans="5:7" ht="30" customHeight="1" x14ac:dyDescent="0.35">
      <c r="E2152" s="2"/>
      <c r="F2152" s="2"/>
      <c r="G2152" s="2"/>
    </row>
    <row r="2153" spans="5:7" ht="30" customHeight="1" x14ac:dyDescent="0.35">
      <c r="E2153" s="2"/>
      <c r="F2153" s="2"/>
      <c r="G2153" s="2"/>
    </row>
    <row r="2154" spans="5:7" ht="30" customHeight="1" x14ac:dyDescent="0.35">
      <c r="E2154" s="2"/>
      <c r="F2154" s="2"/>
      <c r="G2154" s="2"/>
    </row>
    <row r="2155" spans="5:7" ht="30" customHeight="1" x14ac:dyDescent="0.35">
      <c r="E2155" s="2"/>
      <c r="F2155" s="2"/>
      <c r="G2155" s="2"/>
    </row>
    <row r="2156" spans="5:7" ht="30" customHeight="1" x14ac:dyDescent="0.35">
      <c r="E2156" s="2"/>
      <c r="F2156" s="2"/>
      <c r="G2156" s="2"/>
    </row>
    <row r="2157" spans="5:7" ht="30" customHeight="1" x14ac:dyDescent="0.35">
      <c r="E2157" s="2"/>
      <c r="F2157" s="2"/>
      <c r="G2157" s="2"/>
    </row>
    <row r="2158" spans="5:7" ht="30" customHeight="1" x14ac:dyDescent="0.35">
      <c r="E2158" s="2"/>
      <c r="F2158" s="2"/>
      <c r="G2158" s="2"/>
    </row>
    <row r="2159" spans="5:7" ht="30" customHeight="1" x14ac:dyDescent="0.35">
      <c r="E2159" s="2"/>
      <c r="F2159" s="2"/>
      <c r="G2159" s="2"/>
    </row>
  </sheetData>
  <autoFilter ref="A1:N1084" xr:uid="{0836ECC5-6EDE-40F9-9041-14E330C7DDB0}"/>
  <conditionalFormatting sqref="A1:A1048576">
    <cfRule type="duplicateValues" dxfId="4" priority="1"/>
    <cfRule type="duplicateValues" dxfId="3" priority="2"/>
  </conditionalFormatting>
  <conditionalFormatting sqref="F1:F1079 G2">
    <cfRule type="duplicateValues" dxfId="2" priority="17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CF19-656B-45E6-ABEA-2A49E0FF57C2}">
  <dimension ref="A1:N1118"/>
  <sheetViews>
    <sheetView workbookViewId="0">
      <pane ySplit="1" topLeftCell="A1106" activePane="bottomLeft" state="frozen"/>
      <selection activeCell="B124" sqref="B124"/>
      <selection pane="bottomLeft" activeCell="B124" sqref="B124"/>
    </sheetView>
  </sheetViews>
  <sheetFormatPr defaultRowHeight="30" customHeight="1" x14ac:dyDescent="0.35"/>
  <cols>
    <col min="1" max="1" width="11" customWidth="1"/>
    <col min="2" max="2" width="23.54296875" customWidth="1"/>
    <col min="3" max="3" width="20.81640625" customWidth="1"/>
    <col min="5" max="7" width="13" customWidth="1"/>
    <col min="8" max="8" width="13" style="8" customWidth="1"/>
    <col min="9" max="9" width="9.1796875" style="10"/>
  </cols>
  <sheetData>
    <row r="1" spans="1:14" s="1" customFormat="1" ht="61.5" customHeight="1" x14ac:dyDescent="0.35">
      <c r="A1" s="3" t="s">
        <v>0</v>
      </c>
      <c r="B1" s="3" t="s">
        <v>1</v>
      </c>
      <c r="C1" s="3" t="s">
        <v>3</v>
      </c>
      <c r="D1" s="3" t="s">
        <v>2</v>
      </c>
      <c r="E1" s="3" t="s">
        <v>7</v>
      </c>
      <c r="F1" s="3" t="s">
        <v>2212</v>
      </c>
      <c r="G1" s="3" t="s">
        <v>2213</v>
      </c>
      <c r="H1" s="7" t="s">
        <v>2219</v>
      </c>
      <c r="I1" s="9" t="s">
        <v>2218</v>
      </c>
      <c r="J1" s="3"/>
      <c r="K1" s="3"/>
      <c r="L1" s="3"/>
      <c r="M1" s="3"/>
      <c r="N1" s="3"/>
    </row>
    <row r="2" spans="1:14" ht="30" customHeight="1" x14ac:dyDescent="0.35">
      <c r="A2" t="s">
        <v>8</v>
      </c>
      <c r="B2" t="s">
        <v>9</v>
      </c>
      <c r="C2" t="s">
        <v>11</v>
      </c>
      <c r="D2" t="s">
        <v>10</v>
      </c>
      <c r="E2" s="2">
        <v>37995704.659999996</v>
      </c>
      <c r="F2" s="2">
        <v>785270.23</v>
      </c>
      <c r="G2" s="2">
        <v>1100000</v>
      </c>
      <c r="H2" s="8">
        <f>IF(ISBLANK(F2), "",(F2+G2))</f>
        <v>1885270.23</v>
      </c>
      <c r="I2" s="10">
        <f>IF(ISBLANK(F2), "", E2/H2)</f>
        <v>20.153983262123646</v>
      </c>
      <c r="L2" s="2"/>
      <c r="M2" s="2"/>
      <c r="N2" s="2"/>
    </row>
    <row r="3" spans="1:14" ht="30" customHeight="1" x14ac:dyDescent="0.35">
      <c r="A3" t="s">
        <v>12</v>
      </c>
      <c r="B3" t="s">
        <v>13</v>
      </c>
      <c r="C3" t="s">
        <v>15</v>
      </c>
      <c r="D3" t="s">
        <v>14</v>
      </c>
      <c r="E3" s="2">
        <v>23095.279999999999</v>
      </c>
      <c r="F3" s="2">
        <v>577059.56000000006</v>
      </c>
      <c r="G3" s="2">
        <v>161831.81</v>
      </c>
      <c r="H3" s="8">
        <f t="shared" ref="H3:H65" si="0">IF(ISBLANK(F3), "",(F3+G3))</f>
        <v>738891.37000000011</v>
      </c>
      <c r="I3" s="10">
        <f t="shared" ref="I3:I65" si="1">IF(ISBLANK(F3), "", E3/H3)</f>
        <v>3.1256664968221236E-2</v>
      </c>
      <c r="L3" s="2"/>
      <c r="M3" s="2"/>
      <c r="N3" s="2"/>
    </row>
    <row r="4" spans="1:14" ht="30" customHeight="1" x14ac:dyDescent="0.35">
      <c r="A4" t="s">
        <v>16</v>
      </c>
      <c r="B4" t="s">
        <v>17</v>
      </c>
      <c r="C4" t="s">
        <v>19</v>
      </c>
      <c r="D4" t="s">
        <v>18</v>
      </c>
      <c r="E4" s="2">
        <v>28115.119999999999</v>
      </c>
      <c r="F4" s="2"/>
      <c r="G4" s="2"/>
      <c r="H4" s="8" t="str">
        <f t="shared" si="0"/>
        <v/>
      </c>
      <c r="I4" s="10" t="str">
        <f t="shared" si="1"/>
        <v/>
      </c>
      <c r="L4" s="2"/>
      <c r="M4" s="2"/>
      <c r="N4" s="2"/>
    </row>
    <row r="5" spans="1:14" ht="30" customHeight="1" x14ac:dyDescent="0.35">
      <c r="A5" t="s">
        <v>20</v>
      </c>
      <c r="B5" t="s">
        <v>21</v>
      </c>
      <c r="C5" t="s">
        <v>23</v>
      </c>
      <c r="D5" t="s">
        <v>22</v>
      </c>
      <c r="E5" s="2">
        <v>0</v>
      </c>
      <c r="F5" s="2"/>
      <c r="G5" s="2"/>
      <c r="H5" s="8" t="str">
        <f t="shared" si="0"/>
        <v/>
      </c>
      <c r="I5" s="10" t="str">
        <f t="shared" si="1"/>
        <v/>
      </c>
      <c r="L5" s="2"/>
      <c r="M5" s="2"/>
      <c r="N5" s="2"/>
    </row>
    <row r="6" spans="1:14" ht="30" customHeight="1" x14ac:dyDescent="0.35">
      <c r="A6" t="s">
        <v>24</v>
      </c>
      <c r="B6" t="s">
        <v>25</v>
      </c>
      <c r="C6" t="s">
        <v>19</v>
      </c>
      <c r="D6" t="s">
        <v>18</v>
      </c>
      <c r="E6" s="2">
        <v>15614.22</v>
      </c>
      <c r="F6" s="2"/>
      <c r="G6" s="2"/>
      <c r="H6" s="8" t="str">
        <f t="shared" si="0"/>
        <v/>
      </c>
      <c r="I6" s="10" t="str">
        <f t="shared" si="1"/>
        <v/>
      </c>
      <c r="L6" s="2"/>
      <c r="M6" s="2"/>
      <c r="N6" s="2"/>
    </row>
    <row r="7" spans="1:14" ht="30" customHeight="1" x14ac:dyDescent="0.35">
      <c r="A7" t="s">
        <v>26</v>
      </c>
      <c r="B7" t="s">
        <v>27</v>
      </c>
      <c r="C7" t="s">
        <v>29</v>
      </c>
      <c r="D7" t="s">
        <v>28</v>
      </c>
      <c r="E7" s="2">
        <v>32971.550000000003</v>
      </c>
      <c r="F7" s="2"/>
      <c r="G7" s="2"/>
      <c r="H7" s="8" t="str">
        <f t="shared" si="0"/>
        <v/>
      </c>
      <c r="I7" s="10" t="str">
        <f t="shared" si="1"/>
        <v/>
      </c>
      <c r="L7" s="2"/>
      <c r="M7" s="2"/>
      <c r="N7" s="2"/>
    </row>
    <row r="8" spans="1:14" ht="30" customHeight="1" x14ac:dyDescent="0.35">
      <c r="A8" t="s">
        <v>30</v>
      </c>
      <c r="B8" t="s">
        <v>31</v>
      </c>
      <c r="C8" t="s">
        <v>33</v>
      </c>
      <c r="D8" t="s">
        <v>32</v>
      </c>
      <c r="E8" s="2">
        <v>1295702.03</v>
      </c>
      <c r="F8" s="2">
        <v>0</v>
      </c>
      <c r="G8" s="2">
        <v>500000</v>
      </c>
      <c r="H8" s="8">
        <f t="shared" si="0"/>
        <v>500000</v>
      </c>
      <c r="I8" s="10">
        <f t="shared" si="1"/>
        <v>2.5914040599999999</v>
      </c>
      <c r="L8" s="2"/>
      <c r="M8" s="2"/>
      <c r="N8" s="2"/>
    </row>
    <row r="9" spans="1:14" ht="30" customHeight="1" x14ac:dyDescent="0.35">
      <c r="A9" t="s">
        <v>2234</v>
      </c>
      <c r="B9" t="s">
        <v>2235</v>
      </c>
      <c r="C9" t="s">
        <v>385</v>
      </c>
      <c r="D9" t="s">
        <v>384</v>
      </c>
      <c r="E9" s="2">
        <v>5208.7299999999996</v>
      </c>
      <c r="F9" s="2"/>
      <c r="G9" s="2"/>
      <c r="H9" s="8" t="str">
        <f t="shared" si="0"/>
        <v/>
      </c>
      <c r="I9" s="10" t="str">
        <f t="shared" si="1"/>
        <v/>
      </c>
      <c r="L9" s="2"/>
      <c r="M9" s="2"/>
      <c r="N9" s="2"/>
    </row>
    <row r="10" spans="1:14" ht="30" customHeight="1" x14ac:dyDescent="0.35">
      <c r="A10" t="s">
        <v>2236</v>
      </c>
      <c r="B10" t="s">
        <v>2237</v>
      </c>
      <c r="C10" t="s">
        <v>2238</v>
      </c>
      <c r="D10" t="s">
        <v>2239</v>
      </c>
      <c r="E10" s="2">
        <v>3710.58</v>
      </c>
      <c r="F10" s="2"/>
      <c r="G10" s="2"/>
      <c r="H10" s="8" t="str">
        <f t="shared" si="0"/>
        <v/>
      </c>
      <c r="I10" s="10" t="str">
        <f t="shared" si="1"/>
        <v/>
      </c>
      <c r="L10" s="2"/>
      <c r="M10" s="2"/>
      <c r="N10" s="2"/>
    </row>
    <row r="11" spans="1:14" ht="30" customHeight="1" x14ac:dyDescent="0.35">
      <c r="A11" t="s">
        <v>2240</v>
      </c>
      <c r="B11" t="s">
        <v>2241</v>
      </c>
      <c r="C11" t="s">
        <v>29</v>
      </c>
      <c r="D11" t="s">
        <v>28</v>
      </c>
      <c r="E11" s="2">
        <v>594.72</v>
      </c>
      <c r="F11" s="2"/>
      <c r="G11" s="2"/>
      <c r="H11" s="8" t="str">
        <f t="shared" si="0"/>
        <v/>
      </c>
      <c r="I11" s="10" t="str">
        <f t="shared" si="1"/>
        <v/>
      </c>
      <c r="L11" s="2"/>
      <c r="M11" s="2"/>
      <c r="N11" s="2"/>
    </row>
    <row r="12" spans="1:14" ht="30" customHeight="1" x14ac:dyDescent="0.35">
      <c r="A12" t="s">
        <v>34</v>
      </c>
      <c r="B12" t="s">
        <v>35</v>
      </c>
      <c r="C12" t="s">
        <v>19</v>
      </c>
      <c r="D12" t="s">
        <v>18</v>
      </c>
      <c r="E12" s="2">
        <v>233698.99</v>
      </c>
      <c r="F12" s="2"/>
      <c r="G12" s="2"/>
      <c r="H12" s="8" t="str">
        <f t="shared" si="0"/>
        <v/>
      </c>
      <c r="I12" s="10" t="str">
        <f t="shared" si="1"/>
        <v/>
      </c>
      <c r="L12" s="2"/>
      <c r="M12" s="2"/>
      <c r="N12" s="2"/>
    </row>
    <row r="13" spans="1:14" ht="30" customHeight="1" x14ac:dyDescent="0.35">
      <c r="A13" t="s">
        <v>36</v>
      </c>
      <c r="B13" t="s">
        <v>37</v>
      </c>
      <c r="C13" t="s">
        <v>29</v>
      </c>
      <c r="D13" t="s">
        <v>28</v>
      </c>
      <c r="E13" s="2">
        <v>6031.65</v>
      </c>
      <c r="F13" s="2"/>
      <c r="G13" s="2"/>
      <c r="H13" s="8" t="str">
        <f t="shared" si="0"/>
        <v/>
      </c>
      <c r="I13" s="10" t="str">
        <f t="shared" si="1"/>
        <v/>
      </c>
      <c r="L13" s="2"/>
      <c r="M13" s="2"/>
      <c r="N13" s="2"/>
    </row>
    <row r="14" spans="1:14" ht="30" customHeight="1" x14ac:dyDescent="0.35">
      <c r="A14" t="s">
        <v>38</v>
      </c>
      <c r="B14" t="s">
        <v>39</v>
      </c>
      <c r="C14" t="s">
        <v>2238</v>
      </c>
      <c r="D14" t="s">
        <v>2239</v>
      </c>
      <c r="E14" s="2">
        <v>57460.44</v>
      </c>
      <c r="F14" s="2"/>
      <c r="G14" s="2"/>
      <c r="H14" s="8" t="str">
        <f t="shared" si="0"/>
        <v/>
      </c>
      <c r="I14" s="10" t="str">
        <f t="shared" si="1"/>
        <v/>
      </c>
      <c r="L14" s="2"/>
      <c r="M14" s="2"/>
      <c r="N14" s="2"/>
    </row>
    <row r="15" spans="1:14" ht="30" customHeight="1" x14ac:dyDescent="0.35">
      <c r="A15" t="s">
        <v>42</v>
      </c>
      <c r="B15" t="s">
        <v>43</v>
      </c>
      <c r="C15" t="s">
        <v>45</v>
      </c>
      <c r="D15" t="s">
        <v>44</v>
      </c>
      <c r="E15" s="2">
        <v>142127</v>
      </c>
      <c r="F15" s="2">
        <v>12298.53</v>
      </c>
      <c r="G15" s="2"/>
      <c r="H15" s="8">
        <f t="shared" si="0"/>
        <v>12298.53</v>
      </c>
      <c r="I15" s="10">
        <f t="shared" si="1"/>
        <v>11.556421783741634</v>
      </c>
      <c r="L15" s="2"/>
      <c r="M15" s="2"/>
      <c r="N15" s="2"/>
    </row>
    <row r="16" spans="1:14" ht="30" customHeight="1" x14ac:dyDescent="0.35">
      <c r="A16" t="s">
        <v>46</v>
      </c>
      <c r="B16" t="s">
        <v>47</v>
      </c>
      <c r="C16" t="s">
        <v>29</v>
      </c>
      <c r="D16" t="s">
        <v>28</v>
      </c>
      <c r="E16" s="2">
        <v>2760.78</v>
      </c>
      <c r="F16" s="2"/>
      <c r="G16" s="2"/>
      <c r="H16" s="8" t="str">
        <f t="shared" si="0"/>
        <v/>
      </c>
      <c r="I16" s="10" t="str">
        <f t="shared" si="1"/>
        <v/>
      </c>
      <c r="L16" s="2"/>
      <c r="M16" s="2"/>
      <c r="N16" s="2"/>
    </row>
    <row r="17" spans="1:14" ht="30" customHeight="1" x14ac:dyDescent="0.35">
      <c r="A17" t="s">
        <v>2242</v>
      </c>
      <c r="B17" t="s">
        <v>2243</v>
      </c>
      <c r="C17" t="s">
        <v>19</v>
      </c>
      <c r="D17" t="s">
        <v>18</v>
      </c>
      <c r="E17" s="2">
        <v>847.49</v>
      </c>
      <c r="F17" s="2"/>
      <c r="G17" s="2"/>
      <c r="H17" s="8" t="str">
        <f t="shared" si="0"/>
        <v/>
      </c>
      <c r="I17" s="10" t="str">
        <f t="shared" si="1"/>
        <v/>
      </c>
      <c r="L17" s="2"/>
      <c r="M17" s="2"/>
      <c r="N17" s="2"/>
    </row>
    <row r="18" spans="1:14" ht="30" customHeight="1" x14ac:dyDescent="0.35">
      <c r="A18" t="s">
        <v>48</v>
      </c>
      <c r="B18" t="s">
        <v>49</v>
      </c>
      <c r="C18" t="s">
        <v>51</v>
      </c>
      <c r="D18" t="s">
        <v>50</v>
      </c>
      <c r="E18" s="2">
        <v>337.61</v>
      </c>
      <c r="F18" s="2">
        <v>493672.27</v>
      </c>
      <c r="G18" s="2">
        <v>0</v>
      </c>
      <c r="H18" s="8">
        <f t="shared" si="0"/>
        <v>493672.27</v>
      </c>
      <c r="I18" s="10">
        <f t="shared" si="1"/>
        <v>6.8387474953778547E-4</v>
      </c>
      <c r="L18" s="2"/>
      <c r="M18" s="2"/>
      <c r="N18" s="2"/>
    </row>
    <row r="19" spans="1:14" ht="30" customHeight="1" x14ac:dyDescent="0.35">
      <c r="A19" t="s">
        <v>52</v>
      </c>
      <c r="B19" t="s">
        <v>53</v>
      </c>
      <c r="C19" t="s">
        <v>19</v>
      </c>
      <c r="D19" t="s">
        <v>18</v>
      </c>
      <c r="E19" s="2">
        <v>4004.73</v>
      </c>
      <c r="F19" s="2"/>
      <c r="G19" s="2"/>
      <c r="H19" s="8" t="str">
        <f t="shared" si="0"/>
        <v/>
      </c>
      <c r="I19" s="10" t="str">
        <f t="shared" si="1"/>
        <v/>
      </c>
      <c r="L19" s="2"/>
      <c r="M19" s="2"/>
      <c r="N19" s="2"/>
    </row>
    <row r="20" spans="1:14" ht="30" customHeight="1" x14ac:dyDescent="0.35">
      <c r="A20" t="s">
        <v>54</v>
      </c>
      <c r="B20" t="s">
        <v>55</v>
      </c>
      <c r="C20" t="s">
        <v>57</v>
      </c>
      <c r="D20" t="s">
        <v>56</v>
      </c>
      <c r="E20" s="2">
        <v>25899.68</v>
      </c>
      <c r="F20" s="2">
        <v>288722.31</v>
      </c>
      <c r="G20" s="2">
        <v>80000</v>
      </c>
      <c r="H20" s="8">
        <f t="shared" si="0"/>
        <v>368722.31</v>
      </c>
      <c r="I20" s="10">
        <f t="shared" si="1"/>
        <v>7.0241694895001067E-2</v>
      </c>
      <c r="L20" s="2"/>
      <c r="M20" s="2"/>
      <c r="N20" s="2"/>
    </row>
    <row r="21" spans="1:14" ht="30" customHeight="1" x14ac:dyDescent="0.35">
      <c r="A21" t="s">
        <v>58</v>
      </c>
      <c r="B21" t="s">
        <v>59</v>
      </c>
      <c r="C21" t="s">
        <v>2238</v>
      </c>
      <c r="D21" t="s">
        <v>2239</v>
      </c>
      <c r="E21" s="2">
        <v>19355.47</v>
      </c>
      <c r="F21" s="2">
        <v>379220.47999999998</v>
      </c>
      <c r="G21" s="2">
        <v>120779.52</v>
      </c>
      <c r="H21" s="8">
        <f t="shared" si="0"/>
        <v>500000</v>
      </c>
      <c r="I21" s="10">
        <f t="shared" si="1"/>
        <v>3.8710939999999999E-2</v>
      </c>
      <c r="L21" s="2"/>
      <c r="M21" s="2"/>
      <c r="N21" s="2"/>
    </row>
    <row r="22" spans="1:14" ht="30" customHeight="1" x14ac:dyDescent="0.35">
      <c r="A22" t="s">
        <v>60</v>
      </c>
      <c r="B22" t="s">
        <v>61</v>
      </c>
      <c r="C22" t="s">
        <v>19</v>
      </c>
      <c r="D22" t="s">
        <v>18</v>
      </c>
      <c r="E22" s="2">
        <v>30283.69</v>
      </c>
      <c r="F22" s="2">
        <v>231707.81</v>
      </c>
      <c r="G22" s="2"/>
      <c r="H22" s="8">
        <f t="shared" si="0"/>
        <v>231707.81</v>
      </c>
      <c r="I22" s="10">
        <f t="shared" si="1"/>
        <v>0.13069775248404444</v>
      </c>
      <c r="L22" s="2"/>
      <c r="M22" s="2"/>
      <c r="N22" s="2"/>
    </row>
    <row r="23" spans="1:14" ht="30" customHeight="1" x14ac:dyDescent="0.35">
      <c r="A23" t="s">
        <v>62</v>
      </c>
      <c r="B23" t="s">
        <v>63</v>
      </c>
      <c r="C23" t="s">
        <v>51</v>
      </c>
      <c r="D23" t="s">
        <v>50</v>
      </c>
      <c r="E23" s="2">
        <v>1413.21</v>
      </c>
      <c r="F23" s="2">
        <v>181928.67</v>
      </c>
      <c r="G23" s="2"/>
      <c r="H23" s="8">
        <f t="shared" si="0"/>
        <v>181928.67</v>
      </c>
      <c r="I23" s="10">
        <f t="shared" si="1"/>
        <v>7.7679345426974206E-3</v>
      </c>
      <c r="L23" s="2"/>
      <c r="M23" s="2"/>
      <c r="N23" s="2"/>
    </row>
    <row r="24" spans="1:14" ht="30" customHeight="1" x14ac:dyDescent="0.35">
      <c r="A24" t="s">
        <v>64</v>
      </c>
      <c r="B24" t="s">
        <v>65</v>
      </c>
      <c r="C24" t="s">
        <v>2225</v>
      </c>
      <c r="D24" t="s">
        <v>308</v>
      </c>
      <c r="E24" s="2">
        <v>188654.98</v>
      </c>
      <c r="F24" s="2"/>
      <c r="G24" s="2"/>
      <c r="H24" s="8" t="str">
        <f t="shared" si="0"/>
        <v/>
      </c>
      <c r="I24" s="10" t="str">
        <f t="shared" si="1"/>
        <v/>
      </c>
      <c r="L24" s="2"/>
      <c r="M24" s="2"/>
      <c r="N24" s="2"/>
    </row>
    <row r="25" spans="1:14" ht="30" customHeight="1" x14ac:dyDescent="0.35">
      <c r="A25" t="s">
        <v>2244</v>
      </c>
      <c r="B25" t="s">
        <v>2245</v>
      </c>
      <c r="C25" t="s">
        <v>73</v>
      </c>
      <c r="D25" t="s">
        <v>72</v>
      </c>
      <c r="E25" s="2">
        <v>396.82</v>
      </c>
      <c r="F25" s="2"/>
      <c r="G25" s="2"/>
      <c r="H25" s="8" t="str">
        <f t="shared" si="0"/>
        <v/>
      </c>
      <c r="I25" s="10" t="str">
        <f t="shared" si="1"/>
        <v/>
      </c>
      <c r="L25" s="2"/>
      <c r="M25" s="2"/>
      <c r="N25" s="2"/>
    </row>
    <row r="26" spans="1:14" ht="30" customHeight="1" x14ac:dyDescent="0.35">
      <c r="A26" t="s">
        <v>68</v>
      </c>
      <c r="B26" t="s">
        <v>69</v>
      </c>
      <c r="C26" t="s">
        <v>33</v>
      </c>
      <c r="D26" t="s">
        <v>32</v>
      </c>
      <c r="E26" s="2">
        <v>286.89999999999998</v>
      </c>
      <c r="F26" s="2"/>
      <c r="G26" s="2"/>
      <c r="H26" s="8" t="str">
        <f t="shared" si="0"/>
        <v/>
      </c>
      <c r="I26" s="10" t="str">
        <f t="shared" si="1"/>
        <v/>
      </c>
      <c r="L26" s="2"/>
      <c r="M26" s="2"/>
      <c r="N26" s="2"/>
    </row>
    <row r="27" spans="1:14" ht="30" customHeight="1" x14ac:dyDescent="0.35">
      <c r="A27" t="s">
        <v>70</v>
      </c>
      <c r="B27" t="s">
        <v>71</v>
      </c>
      <c r="C27" t="s">
        <v>73</v>
      </c>
      <c r="D27" t="s">
        <v>72</v>
      </c>
      <c r="E27" s="2">
        <v>105804.73</v>
      </c>
      <c r="F27" s="2"/>
      <c r="G27" s="2"/>
      <c r="H27" s="8" t="str">
        <f t="shared" si="0"/>
        <v/>
      </c>
      <c r="I27" s="10" t="str">
        <f t="shared" si="1"/>
        <v/>
      </c>
      <c r="L27" s="2"/>
      <c r="M27" s="2"/>
      <c r="N27" s="2"/>
    </row>
    <row r="28" spans="1:14" ht="30" customHeight="1" x14ac:dyDescent="0.35">
      <c r="A28" t="s">
        <v>2246</v>
      </c>
      <c r="B28" t="s">
        <v>2247</v>
      </c>
      <c r="C28" t="s">
        <v>33</v>
      </c>
      <c r="D28" t="s">
        <v>32</v>
      </c>
      <c r="E28" s="2">
        <v>649899.15</v>
      </c>
      <c r="F28" s="2"/>
      <c r="G28" s="2"/>
      <c r="H28" s="8" t="str">
        <f t="shared" si="0"/>
        <v/>
      </c>
      <c r="I28" s="10" t="str">
        <f t="shared" si="1"/>
        <v/>
      </c>
      <c r="L28" s="2"/>
      <c r="M28" s="2"/>
      <c r="N28" s="2"/>
    </row>
    <row r="29" spans="1:14" ht="30" customHeight="1" x14ac:dyDescent="0.35">
      <c r="A29" t="s">
        <v>2248</v>
      </c>
      <c r="B29" t="s">
        <v>2249</v>
      </c>
      <c r="C29" t="s">
        <v>73</v>
      </c>
      <c r="D29" t="s">
        <v>72</v>
      </c>
      <c r="E29" s="2">
        <v>1783.84</v>
      </c>
      <c r="F29" s="2"/>
      <c r="G29" s="2"/>
      <c r="H29" s="8" t="str">
        <f t="shared" si="0"/>
        <v/>
      </c>
      <c r="I29" s="10" t="str">
        <f t="shared" si="1"/>
        <v/>
      </c>
      <c r="L29" s="2"/>
      <c r="M29" s="2"/>
      <c r="N29" s="2"/>
    </row>
    <row r="30" spans="1:14" ht="30" customHeight="1" x14ac:dyDescent="0.35">
      <c r="A30" t="s">
        <v>74</v>
      </c>
      <c r="B30" t="s">
        <v>75</v>
      </c>
      <c r="C30" t="s">
        <v>77</v>
      </c>
      <c r="D30" t="s">
        <v>76</v>
      </c>
      <c r="E30" s="2">
        <v>61127.35</v>
      </c>
      <c r="F30" s="2"/>
      <c r="G30" s="2"/>
      <c r="H30" s="8" t="str">
        <f t="shared" si="0"/>
        <v/>
      </c>
      <c r="I30" s="10" t="str">
        <f t="shared" si="1"/>
        <v/>
      </c>
      <c r="L30" s="2"/>
      <c r="M30" s="2"/>
      <c r="N30" s="2"/>
    </row>
    <row r="31" spans="1:14" ht="30" customHeight="1" x14ac:dyDescent="0.35">
      <c r="A31" t="s">
        <v>78</v>
      </c>
      <c r="B31" t="s">
        <v>79</v>
      </c>
      <c r="C31" t="s">
        <v>33</v>
      </c>
      <c r="D31" t="s">
        <v>32</v>
      </c>
      <c r="E31" s="2">
        <v>269810.03999999998</v>
      </c>
      <c r="F31" s="2"/>
      <c r="G31" s="2"/>
      <c r="H31" s="8" t="str">
        <f t="shared" si="0"/>
        <v/>
      </c>
      <c r="I31" s="10" t="str">
        <f t="shared" si="1"/>
        <v/>
      </c>
      <c r="L31" s="2"/>
      <c r="M31" s="2"/>
      <c r="N31" s="2"/>
    </row>
    <row r="32" spans="1:14" ht="30" customHeight="1" x14ac:dyDescent="0.35">
      <c r="A32" t="s">
        <v>80</v>
      </c>
      <c r="B32" t="s">
        <v>81</v>
      </c>
      <c r="C32" t="s">
        <v>33</v>
      </c>
      <c r="D32" t="s">
        <v>32</v>
      </c>
      <c r="E32" s="2">
        <v>295000</v>
      </c>
      <c r="F32" s="2"/>
      <c r="G32" s="2"/>
      <c r="H32" s="8" t="str">
        <f t="shared" si="0"/>
        <v/>
      </c>
      <c r="I32" s="10" t="str">
        <f t="shared" si="1"/>
        <v/>
      </c>
      <c r="L32" s="2"/>
      <c r="M32" s="2"/>
      <c r="N32" s="2"/>
    </row>
    <row r="33" spans="1:14" ht="30" customHeight="1" x14ac:dyDescent="0.35">
      <c r="A33" t="s">
        <v>2250</v>
      </c>
      <c r="B33" t="s">
        <v>2251</v>
      </c>
      <c r="C33" t="s">
        <v>73</v>
      </c>
      <c r="D33" t="s">
        <v>72</v>
      </c>
      <c r="E33" s="2">
        <v>53993.86</v>
      </c>
      <c r="F33" s="2"/>
      <c r="G33" s="2"/>
      <c r="H33" s="8" t="str">
        <f t="shared" si="0"/>
        <v/>
      </c>
      <c r="I33" s="10" t="str">
        <f t="shared" si="1"/>
        <v/>
      </c>
      <c r="L33" s="2"/>
      <c r="M33" s="2"/>
      <c r="N33" s="2"/>
    </row>
    <row r="34" spans="1:14" ht="30" customHeight="1" x14ac:dyDescent="0.35">
      <c r="A34" t="s">
        <v>82</v>
      </c>
      <c r="B34" t="s">
        <v>83</v>
      </c>
      <c r="C34" t="s">
        <v>73</v>
      </c>
      <c r="D34" t="s">
        <v>72</v>
      </c>
      <c r="E34" s="2">
        <v>19534.27</v>
      </c>
      <c r="F34" s="2"/>
      <c r="G34" s="2"/>
      <c r="H34" s="8" t="str">
        <f t="shared" si="0"/>
        <v/>
      </c>
      <c r="I34" s="10" t="str">
        <f t="shared" si="1"/>
        <v/>
      </c>
      <c r="L34" s="2"/>
      <c r="M34" s="2"/>
      <c r="N34" s="2"/>
    </row>
    <row r="35" spans="1:14" ht="30" customHeight="1" x14ac:dyDescent="0.35">
      <c r="A35" t="s">
        <v>84</v>
      </c>
      <c r="B35" t="s">
        <v>85</v>
      </c>
      <c r="C35" t="s">
        <v>29</v>
      </c>
      <c r="D35" t="s">
        <v>28</v>
      </c>
      <c r="E35" s="2">
        <v>1373</v>
      </c>
      <c r="F35" s="2"/>
      <c r="G35" s="2"/>
      <c r="H35" s="8" t="str">
        <f t="shared" si="0"/>
        <v/>
      </c>
      <c r="I35" s="10" t="str">
        <f t="shared" si="1"/>
        <v/>
      </c>
      <c r="L35" s="2"/>
      <c r="M35" s="2"/>
      <c r="N35" s="2"/>
    </row>
    <row r="36" spans="1:14" ht="30" customHeight="1" x14ac:dyDescent="0.35">
      <c r="A36" t="s">
        <v>86</v>
      </c>
      <c r="B36" t="s">
        <v>87</v>
      </c>
      <c r="C36" t="s">
        <v>73</v>
      </c>
      <c r="D36" t="s">
        <v>72</v>
      </c>
      <c r="E36" s="2">
        <v>1530.15</v>
      </c>
      <c r="F36" s="2"/>
      <c r="G36" s="2"/>
      <c r="H36" s="8" t="str">
        <f t="shared" si="0"/>
        <v/>
      </c>
      <c r="I36" s="10" t="str">
        <f t="shared" si="1"/>
        <v/>
      </c>
      <c r="L36" s="2"/>
      <c r="M36" s="2"/>
      <c r="N36" s="2"/>
    </row>
    <row r="37" spans="1:14" ht="30" customHeight="1" x14ac:dyDescent="0.35">
      <c r="A37" t="s">
        <v>88</v>
      </c>
      <c r="B37" t="s">
        <v>89</v>
      </c>
      <c r="C37" t="s">
        <v>19</v>
      </c>
      <c r="D37" t="s">
        <v>18</v>
      </c>
      <c r="E37" s="2">
        <v>316.73</v>
      </c>
      <c r="F37" s="2"/>
      <c r="G37" s="2"/>
      <c r="H37" s="8" t="str">
        <f t="shared" si="0"/>
        <v/>
      </c>
      <c r="I37" s="10" t="str">
        <f t="shared" si="1"/>
        <v/>
      </c>
      <c r="L37" s="2"/>
      <c r="M37" s="2"/>
      <c r="N37" s="2"/>
    </row>
    <row r="38" spans="1:14" ht="30" customHeight="1" x14ac:dyDescent="0.35">
      <c r="A38" t="s">
        <v>90</v>
      </c>
      <c r="B38" t="s">
        <v>91</v>
      </c>
      <c r="C38" t="s">
        <v>29</v>
      </c>
      <c r="D38" t="s">
        <v>28</v>
      </c>
      <c r="E38" s="2">
        <v>2451.12</v>
      </c>
      <c r="F38" s="2">
        <v>55340.32</v>
      </c>
      <c r="G38" s="2"/>
      <c r="H38" s="8">
        <f t="shared" si="0"/>
        <v>55340.32</v>
      </c>
      <c r="I38" s="10">
        <f t="shared" si="1"/>
        <v>4.4291756896237676E-2</v>
      </c>
      <c r="L38" s="2"/>
      <c r="M38" s="2"/>
      <c r="N38" s="2"/>
    </row>
    <row r="39" spans="1:14" ht="30" customHeight="1" x14ac:dyDescent="0.35">
      <c r="A39" t="s">
        <v>92</v>
      </c>
      <c r="B39" t="s">
        <v>93</v>
      </c>
      <c r="C39" t="s">
        <v>29</v>
      </c>
      <c r="D39" t="s">
        <v>28</v>
      </c>
      <c r="E39" s="2">
        <v>18.03</v>
      </c>
      <c r="F39" s="2"/>
      <c r="G39" s="2"/>
      <c r="H39" s="8" t="str">
        <f t="shared" si="0"/>
        <v/>
      </c>
      <c r="I39" s="10" t="str">
        <f t="shared" si="1"/>
        <v/>
      </c>
      <c r="L39" s="2"/>
      <c r="M39" s="2"/>
      <c r="N39" s="2"/>
    </row>
    <row r="40" spans="1:14" ht="30" customHeight="1" x14ac:dyDescent="0.35">
      <c r="A40" t="s">
        <v>2252</v>
      </c>
      <c r="B40" t="s">
        <v>2253</v>
      </c>
      <c r="C40" t="s">
        <v>2238</v>
      </c>
      <c r="D40" t="s">
        <v>2239</v>
      </c>
      <c r="E40" s="2">
        <v>99.18</v>
      </c>
      <c r="F40" s="2"/>
      <c r="G40" s="2"/>
      <c r="H40" s="8" t="str">
        <f t="shared" si="0"/>
        <v/>
      </c>
      <c r="I40" s="10" t="str">
        <f t="shared" si="1"/>
        <v/>
      </c>
      <c r="L40" s="2"/>
      <c r="M40" s="2"/>
      <c r="N40" s="2"/>
    </row>
    <row r="41" spans="1:14" ht="30" customHeight="1" x14ac:dyDescent="0.35">
      <c r="A41" t="s">
        <v>2254</v>
      </c>
      <c r="B41" t="s">
        <v>2255</v>
      </c>
      <c r="C41" t="s">
        <v>29</v>
      </c>
      <c r="D41" t="s">
        <v>28</v>
      </c>
      <c r="E41" s="2">
        <v>3.85</v>
      </c>
      <c r="F41" s="2"/>
      <c r="G41" s="2"/>
      <c r="H41" s="8" t="str">
        <f t="shared" si="0"/>
        <v/>
      </c>
      <c r="I41" s="10" t="str">
        <f t="shared" si="1"/>
        <v/>
      </c>
      <c r="L41" s="2"/>
      <c r="M41" s="2"/>
      <c r="N41" s="2"/>
    </row>
    <row r="42" spans="1:14" ht="30" customHeight="1" x14ac:dyDescent="0.35">
      <c r="A42" t="s">
        <v>94</v>
      </c>
      <c r="B42" t="s">
        <v>95</v>
      </c>
      <c r="C42" t="s">
        <v>19</v>
      </c>
      <c r="D42" t="s">
        <v>18</v>
      </c>
      <c r="E42" s="2">
        <v>152.15</v>
      </c>
      <c r="F42" s="2"/>
      <c r="G42" s="2"/>
      <c r="H42" s="8" t="str">
        <f t="shared" si="0"/>
        <v/>
      </c>
      <c r="I42" s="10" t="str">
        <f t="shared" si="1"/>
        <v/>
      </c>
      <c r="L42" s="2"/>
      <c r="M42" s="2"/>
      <c r="N42" s="2"/>
    </row>
    <row r="43" spans="1:14" ht="30" customHeight="1" x14ac:dyDescent="0.35">
      <c r="A43" t="s">
        <v>96</v>
      </c>
      <c r="B43" t="s">
        <v>97</v>
      </c>
      <c r="C43" t="s">
        <v>2238</v>
      </c>
      <c r="D43" t="s">
        <v>2239</v>
      </c>
      <c r="E43" s="2">
        <v>114653.79</v>
      </c>
      <c r="F43" s="2"/>
      <c r="G43" s="2"/>
      <c r="H43" s="8" t="str">
        <f t="shared" si="0"/>
        <v/>
      </c>
      <c r="I43" s="10" t="str">
        <f t="shared" si="1"/>
        <v/>
      </c>
      <c r="L43" s="2"/>
      <c r="M43" s="2"/>
      <c r="N43" s="2"/>
    </row>
    <row r="44" spans="1:14" ht="30" customHeight="1" x14ac:dyDescent="0.35">
      <c r="A44" t="s">
        <v>98</v>
      </c>
      <c r="B44" t="s">
        <v>99</v>
      </c>
      <c r="C44" t="s">
        <v>101</v>
      </c>
      <c r="D44" t="s">
        <v>100</v>
      </c>
      <c r="E44" s="2">
        <v>1013422.1</v>
      </c>
      <c r="F44" s="2">
        <v>1776308.77</v>
      </c>
      <c r="G44" s="2"/>
      <c r="H44" s="8">
        <f t="shared" si="0"/>
        <v>1776308.77</v>
      </c>
      <c r="I44" s="10">
        <f t="shared" si="1"/>
        <v>0.57052136267953002</v>
      </c>
      <c r="L44" s="2"/>
      <c r="M44" s="2"/>
      <c r="N44" s="2"/>
    </row>
    <row r="45" spans="1:14" ht="30" customHeight="1" x14ac:dyDescent="0.35">
      <c r="A45" t="s">
        <v>102</v>
      </c>
      <c r="B45" t="s">
        <v>103</v>
      </c>
      <c r="C45" t="s">
        <v>101</v>
      </c>
      <c r="D45" t="s">
        <v>100</v>
      </c>
      <c r="E45" s="2">
        <v>688240.2</v>
      </c>
      <c r="F45" s="2"/>
      <c r="G45" s="2"/>
      <c r="H45" s="8" t="str">
        <f t="shared" si="0"/>
        <v/>
      </c>
      <c r="I45" s="10" t="str">
        <f t="shared" si="1"/>
        <v/>
      </c>
      <c r="L45" s="2"/>
      <c r="M45" s="2"/>
      <c r="N45" s="2"/>
    </row>
    <row r="46" spans="1:14" ht="30" customHeight="1" x14ac:dyDescent="0.35">
      <c r="A46" t="s">
        <v>104</v>
      </c>
      <c r="B46" t="s">
        <v>105</v>
      </c>
      <c r="C46" t="s">
        <v>29</v>
      </c>
      <c r="D46" t="s">
        <v>28</v>
      </c>
      <c r="E46" s="2">
        <v>42440.21</v>
      </c>
      <c r="F46" s="2"/>
      <c r="G46" s="2"/>
      <c r="H46" s="8" t="str">
        <f t="shared" si="0"/>
        <v/>
      </c>
      <c r="I46" s="10" t="str">
        <f t="shared" si="1"/>
        <v/>
      </c>
      <c r="L46" s="2"/>
      <c r="M46" s="2"/>
      <c r="N46" s="2"/>
    </row>
    <row r="47" spans="1:14" ht="30" customHeight="1" x14ac:dyDescent="0.35">
      <c r="A47" t="s">
        <v>2256</v>
      </c>
      <c r="B47" t="s">
        <v>2257</v>
      </c>
      <c r="C47" t="s">
        <v>2258</v>
      </c>
      <c r="D47" t="s">
        <v>1760</v>
      </c>
      <c r="E47" s="2">
        <v>0</v>
      </c>
      <c r="F47" s="2"/>
      <c r="G47" s="2"/>
      <c r="H47" s="8" t="str">
        <f t="shared" si="0"/>
        <v/>
      </c>
      <c r="I47" s="10" t="str">
        <f t="shared" si="1"/>
        <v/>
      </c>
      <c r="L47" s="2"/>
      <c r="M47" s="2"/>
      <c r="N47" s="2"/>
    </row>
    <row r="48" spans="1:14" ht="30" customHeight="1" x14ac:dyDescent="0.35">
      <c r="A48" t="s">
        <v>106</v>
      </c>
      <c r="B48" t="s">
        <v>107</v>
      </c>
      <c r="C48" t="s">
        <v>2259</v>
      </c>
      <c r="D48" t="s">
        <v>713</v>
      </c>
      <c r="E48" s="2">
        <v>52404.93</v>
      </c>
      <c r="F48" s="2"/>
      <c r="G48" s="2"/>
      <c r="H48" s="8" t="str">
        <f t="shared" si="0"/>
        <v/>
      </c>
      <c r="I48" s="10" t="str">
        <f t="shared" si="1"/>
        <v/>
      </c>
      <c r="L48" s="2"/>
      <c r="M48" s="2"/>
      <c r="N48" s="2"/>
    </row>
    <row r="49" spans="1:14" ht="30" customHeight="1" x14ac:dyDescent="0.35">
      <c r="A49" t="s">
        <v>110</v>
      </c>
      <c r="B49" t="s">
        <v>111</v>
      </c>
      <c r="C49" t="s">
        <v>33</v>
      </c>
      <c r="D49" t="s">
        <v>32</v>
      </c>
      <c r="E49" s="2">
        <v>5841672</v>
      </c>
      <c r="F49" s="2"/>
      <c r="G49" s="2"/>
      <c r="H49" s="8" t="str">
        <f t="shared" si="0"/>
        <v/>
      </c>
      <c r="I49" s="10" t="str">
        <f t="shared" si="1"/>
        <v/>
      </c>
      <c r="L49" s="2"/>
      <c r="M49" s="2"/>
      <c r="N49" s="2"/>
    </row>
    <row r="50" spans="1:14" ht="30" customHeight="1" x14ac:dyDescent="0.35">
      <c r="A50" t="s">
        <v>2260</v>
      </c>
      <c r="B50" t="s">
        <v>2261</v>
      </c>
      <c r="C50" t="s">
        <v>2238</v>
      </c>
      <c r="D50" t="s">
        <v>2239</v>
      </c>
      <c r="E50" s="2">
        <v>6665.7</v>
      </c>
      <c r="F50" s="2"/>
      <c r="G50" s="2"/>
      <c r="H50" s="8" t="str">
        <f t="shared" si="0"/>
        <v/>
      </c>
      <c r="I50" s="10" t="str">
        <f t="shared" si="1"/>
        <v/>
      </c>
      <c r="L50" s="2"/>
      <c r="M50" s="2"/>
      <c r="N50" s="2"/>
    </row>
    <row r="51" spans="1:14" ht="30" customHeight="1" x14ac:dyDescent="0.35">
      <c r="A51" t="s">
        <v>112</v>
      </c>
      <c r="B51" t="s">
        <v>113</v>
      </c>
      <c r="C51" t="s">
        <v>2262</v>
      </c>
      <c r="D51" t="s">
        <v>1518</v>
      </c>
      <c r="E51" s="2">
        <v>80774.759999999995</v>
      </c>
      <c r="F51" s="2"/>
      <c r="G51" s="2"/>
      <c r="H51" s="8" t="str">
        <f t="shared" si="0"/>
        <v/>
      </c>
      <c r="I51" s="10" t="str">
        <f t="shared" si="1"/>
        <v/>
      </c>
      <c r="L51" s="2"/>
      <c r="M51" s="2"/>
      <c r="N51" s="2"/>
    </row>
    <row r="52" spans="1:14" ht="30" customHeight="1" x14ac:dyDescent="0.35">
      <c r="A52" t="s">
        <v>114</v>
      </c>
      <c r="B52" t="s">
        <v>115</v>
      </c>
      <c r="C52" t="s">
        <v>19</v>
      </c>
      <c r="D52" t="s">
        <v>18</v>
      </c>
      <c r="E52" s="2">
        <v>301.2</v>
      </c>
      <c r="F52" s="2">
        <v>174539.42</v>
      </c>
      <c r="G52" s="2">
        <v>460.58</v>
      </c>
      <c r="H52" s="8">
        <f t="shared" si="0"/>
        <v>175000</v>
      </c>
      <c r="I52" s="10">
        <f t="shared" si="1"/>
        <v>1.7211428571428571E-3</v>
      </c>
      <c r="L52" s="2"/>
      <c r="M52" s="2"/>
      <c r="N52" s="2"/>
    </row>
    <row r="53" spans="1:14" ht="30" customHeight="1" x14ac:dyDescent="0.35">
      <c r="A53" t="s">
        <v>116</v>
      </c>
      <c r="B53" t="s">
        <v>117</v>
      </c>
      <c r="C53" t="s">
        <v>77</v>
      </c>
      <c r="D53" t="s">
        <v>76</v>
      </c>
      <c r="E53" s="2">
        <v>2896.09</v>
      </c>
      <c r="F53" s="2">
        <v>0</v>
      </c>
      <c r="G53" s="2">
        <v>200000</v>
      </c>
      <c r="H53" s="8">
        <f t="shared" si="0"/>
        <v>200000</v>
      </c>
      <c r="I53" s="10">
        <f t="shared" si="1"/>
        <v>1.4480450000000001E-2</v>
      </c>
      <c r="L53" s="2"/>
      <c r="M53" s="2"/>
      <c r="N53" s="2"/>
    </row>
    <row r="54" spans="1:14" ht="30" customHeight="1" x14ac:dyDescent="0.35">
      <c r="A54" t="s">
        <v>118</v>
      </c>
      <c r="B54" t="s">
        <v>119</v>
      </c>
      <c r="C54" t="s">
        <v>121</v>
      </c>
      <c r="D54" t="s">
        <v>120</v>
      </c>
      <c r="E54" s="2">
        <v>137.09</v>
      </c>
      <c r="F54" s="2">
        <v>163970.63</v>
      </c>
      <c r="G54" s="2"/>
      <c r="H54" s="8">
        <f t="shared" si="0"/>
        <v>163970.63</v>
      </c>
      <c r="I54" s="10">
        <f t="shared" si="1"/>
        <v>8.3606436103831521E-4</v>
      </c>
      <c r="L54" s="2"/>
      <c r="M54" s="2"/>
      <c r="N54" s="2"/>
    </row>
    <row r="55" spans="1:14" ht="30" customHeight="1" x14ac:dyDescent="0.35">
      <c r="A55" t="s">
        <v>122</v>
      </c>
      <c r="B55" t="s">
        <v>123</v>
      </c>
      <c r="C55" t="s">
        <v>33</v>
      </c>
      <c r="D55" t="s">
        <v>32</v>
      </c>
      <c r="E55" s="2">
        <v>5489.73</v>
      </c>
      <c r="F55" s="2">
        <v>160009.57999999999</v>
      </c>
      <c r="G55" s="2"/>
      <c r="H55" s="8">
        <f t="shared" si="0"/>
        <v>160009.57999999999</v>
      </c>
      <c r="I55" s="10">
        <f t="shared" si="1"/>
        <v>3.4308758263098996E-2</v>
      </c>
      <c r="L55" s="2"/>
      <c r="M55" s="2"/>
      <c r="N55" s="2"/>
    </row>
    <row r="56" spans="1:14" ht="30" customHeight="1" x14ac:dyDescent="0.35">
      <c r="A56" t="s">
        <v>124</v>
      </c>
      <c r="B56" t="s">
        <v>125</v>
      </c>
      <c r="C56" t="s">
        <v>19</v>
      </c>
      <c r="D56" t="s">
        <v>18</v>
      </c>
      <c r="E56" s="2">
        <v>1202.6500000000001</v>
      </c>
      <c r="F56" s="2">
        <v>219615.56</v>
      </c>
      <c r="G56" s="2">
        <v>38350</v>
      </c>
      <c r="H56" s="8">
        <f t="shared" si="0"/>
        <v>257965.56</v>
      </c>
      <c r="I56" s="10">
        <f t="shared" si="1"/>
        <v>4.66205643885176E-3</v>
      </c>
      <c r="L56" s="2"/>
      <c r="M56" s="2"/>
      <c r="N56" s="2"/>
    </row>
    <row r="57" spans="1:14" ht="30" customHeight="1" x14ac:dyDescent="0.35">
      <c r="A57" t="s">
        <v>126</v>
      </c>
      <c r="B57" t="s">
        <v>127</v>
      </c>
      <c r="C57" t="s">
        <v>19</v>
      </c>
      <c r="D57" t="s">
        <v>18</v>
      </c>
      <c r="E57" s="2">
        <v>11497.58</v>
      </c>
      <c r="F57" s="2">
        <v>153590.92000000001</v>
      </c>
      <c r="G57" s="2">
        <v>1300</v>
      </c>
      <c r="H57" s="8">
        <f t="shared" si="0"/>
        <v>154890.92000000001</v>
      </c>
      <c r="I57" s="10">
        <f t="shared" si="1"/>
        <v>7.4230174370453733E-2</v>
      </c>
      <c r="L57" s="2"/>
      <c r="M57" s="2"/>
      <c r="N57" s="2"/>
    </row>
    <row r="58" spans="1:14" ht="30" customHeight="1" x14ac:dyDescent="0.35">
      <c r="A58" t="s">
        <v>128</v>
      </c>
      <c r="B58" t="s">
        <v>129</v>
      </c>
      <c r="C58" t="s">
        <v>2263</v>
      </c>
      <c r="D58" t="s">
        <v>1233</v>
      </c>
      <c r="E58" s="2">
        <v>10241.23</v>
      </c>
      <c r="F58" s="2">
        <v>148907.70000000001</v>
      </c>
      <c r="G58" s="2">
        <v>1092.3</v>
      </c>
      <c r="H58" s="8">
        <f t="shared" si="0"/>
        <v>150000</v>
      </c>
      <c r="I58" s="10">
        <f t="shared" si="1"/>
        <v>6.827486666666667E-2</v>
      </c>
      <c r="L58" s="2"/>
      <c r="M58" s="2"/>
      <c r="N58" s="2"/>
    </row>
    <row r="59" spans="1:14" ht="30" customHeight="1" x14ac:dyDescent="0.35">
      <c r="A59" t="s">
        <v>130</v>
      </c>
      <c r="B59" t="s">
        <v>131</v>
      </c>
      <c r="C59" t="s">
        <v>19</v>
      </c>
      <c r="D59" t="s">
        <v>18</v>
      </c>
      <c r="E59" s="2">
        <v>927.03</v>
      </c>
      <c r="F59" s="2">
        <v>143748.31</v>
      </c>
      <c r="G59" s="2"/>
      <c r="H59" s="8">
        <f t="shared" si="0"/>
        <v>143748.31</v>
      </c>
      <c r="I59" s="10">
        <f t="shared" si="1"/>
        <v>6.4489801654015969E-3</v>
      </c>
      <c r="L59" s="2"/>
      <c r="M59" s="2"/>
      <c r="N59" s="2"/>
    </row>
    <row r="60" spans="1:14" ht="30" customHeight="1" x14ac:dyDescent="0.35">
      <c r="A60" t="s">
        <v>132</v>
      </c>
      <c r="B60" t="s">
        <v>133</v>
      </c>
      <c r="C60" t="s">
        <v>51</v>
      </c>
      <c r="D60" t="s">
        <v>50</v>
      </c>
      <c r="E60" s="2">
        <v>1225.82</v>
      </c>
      <c r="F60" s="2">
        <v>136757.03</v>
      </c>
      <c r="G60" s="2">
        <v>242.97</v>
      </c>
      <c r="H60" s="8">
        <f t="shared" si="0"/>
        <v>137000</v>
      </c>
      <c r="I60" s="10">
        <f t="shared" si="1"/>
        <v>8.9475912408759125E-3</v>
      </c>
      <c r="L60" s="2"/>
      <c r="M60" s="2"/>
      <c r="N60" s="2"/>
    </row>
    <row r="61" spans="1:14" ht="30" customHeight="1" x14ac:dyDescent="0.35">
      <c r="A61" t="s">
        <v>134</v>
      </c>
      <c r="B61" t="s">
        <v>135</v>
      </c>
      <c r="C61" t="s">
        <v>51</v>
      </c>
      <c r="D61" t="s">
        <v>50</v>
      </c>
      <c r="E61" s="2">
        <v>589.79</v>
      </c>
      <c r="F61" s="2">
        <v>124728.18</v>
      </c>
      <c r="G61" s="2"/>
      <c r="H61" s="8">
        <f t="shared" si="0"/>
        <v>124728.18</v>
      </c>
      <c r="I61" s="10">
        <f t="shared" si="1"/>
        <v>4.7286026301353876E-3</v>
      </c>
      <c r="L61" s="2"/>
      <c r="M61" s="2"/>
      <c r="N61" s="2"/>
    </row>
    <row r="62" spans="1:14" ht="30" customHeight="1" x14ac:dyDescent="0.35">
      <c r="A62" t="s">
        <v>2264</v>
      </c>
      <c r="B62" t="s">
        <v>2265</v>
      </c>
      <c r="C62" t="s">
        <v>2263</v>
      </c>
      <c r="D62" t="s">
        <v>1233</v>
      </c>
      <c r="E62" s="2">
        <v>548.4</v>
      </c>
      <c r="F62" s="2"/>
      <c r="G62" s="2"/>
      <c r="H62" s="8" t="str">
        <f t="shared" si="0"/>
        <v/>
      </c>
      <c r="I62" s="10" t="str">
        <f t="shared" si="1"/>
        <v/>
      </c>
      <c r="L62" s="2"/>
      <c r="M62" s="2"/>
      <c r="N62" s="2"/>
    </row>
    <row r="63" spans="1:14" ht="30" customHeight="1" x14ac:dyDescent="0.35">
      <c r="A63" t="s">
        <v>136</v>
      </c>
      <c r="B63" t="s">
        <v>137</v>
      </c>
      <c r="C63" t="s">
        <v>51</v>
      </c>
      <c r="D63" t="s">
        <v>50</v>
      </c>
      <c r="E63" s="2">
        <v>58315.82</v>
      </c>
      <c r="F63" s="2"/>
      <c r="G63" s="2"/>
      <c r="H63" s="8" t="str">
        <f t="shared" si="0"/>
        <v/>
      </c>
      <c r="I63" s="10" t="str">
        <f t="shared" si="1"/>
        <v/>
      </c>
      <c r="L63" s="2"/>
      <c r="M63" s="2"/>
      <c r="N63" s="2"/>
    </row>
    <row r="64" spans="1:14" ht="30" customHeight="1" x14ac:dyDescent="0.35">
      <c r="A64" t="s">
        <v>138</v>
      </c>
      <c r="B64" t="s">
        <v>139</v>
      </c>
      <c r="C64" t="s">
        <v>77</v>
      </c>
      <c r="D64" t="s">
        <v>76</v>
      </c>
      <c r="E64" s="2">
        <v>95798.22</v>
      </c>
      <c r="F64" s="2"/>
      <c r="G64" s="2"/>
      <c r="H64" s="8" t="str">
        <f t="shared" si="0"/>
        <v/>
      </c>
      <c r="I64" s="10" t="str">
        <f t="shared" si="1"/>
        <v/>
      </c>
      <c r="L64" s="2"/>
      <c r="M64" s="2"/>
      <c r="N64" s="2"/>
    </row>
    <row r="65" spans="1:14" ht="30" customHeight="1" x14ac:dyDescent="0.35">
      <c r="A65" t="s">
        <v>140</v>
      </c>
      <c r="B65" t="s">
        <v>141</v>
      </c>
      <c r="C65" t="s">
        <v>2263</v>
      </c>
      <c r="D65" t="s">
        <v>1233</v>
      </c>
      <c r="E65" s="2">
        <v>26567.07</v>
      </c>
      <c r="F65" s="2"/>
      <c r="G65" s="2"/>
      <c r="H65" s="8" t="str">
        <f t="shared" si="0"/>
        <v/>
      </c>
      <c r="I65" s="10" t="str">
        <f t="shared" si="1"/>
        <v/>
      </c>
      <c r="L65" s="2"/>
      <c r="M65" s="2"/>
      <c r="N65" s="2"/>
    </row>
    <row r="66" spans="1:14" ht="30" customHeight="1" x14ac:dyDescent="0.35">
      <c r="A66" t="s">
        <v>142</v>
      </c>
      <c r="B66" t="s">
        <v>143</v>
      </c>
      <c r="C66" t="s">
        <v>51</v>
      </c>
      <c r="D66" t="s">
        <v>50</v>
      </c>
      <c r="E66" s="2">
        <v>249235.13</v>
      </c>
      <c r="F66" s="2"/>
      <c r="G66" s="2"/>
      <c r="H66" s="8" t="str">
        <f t="shared" ref="H66:H125" si="2">IF(ISBLANK(F66), "",(F66+G66))</f>
        <v/>
      </c>
      <c r="I66" s="10" t="str">
        <f t="shared" ref="I66:I125" si="3">IF(ISBLANK(F66), "", E66/H66)</f>
        <v/>
      </c>
      <c r="L66" s="2"/>
      <c r="M66" s="2"/>
      <c r="N66" s="2"/>
    </row>
    <row r="67" spans="1:14" ht="30" customHeight="1" x14ac:dyDescent="0.35">
      <c r="A67" t="s">
        <v>144</v>
      </c>
      <c r="B67" t="s">
        <v>145</v>
      </c>
      <c r="C67" t="s">
        <v>19</v>
      </c>
      <c r="D67" t="s">
        <v>18</v>
      </c>
      <c r="E67" s="2">
        <v>521186</v>
      </c>
      <c r="F67" s="2">
        <v>0</v>
      </c>
      <c r="G67" s="2">
        <v>2500</v>
      </c>
      <c r="H67" s="8">
        <f t="shared" si="2"/>
        <v>2500</v>
      </c>
      <c r="I67" s="10">
        <f t="shared" si="3"/>
        <v>208.4744</v>
      </c>
      <c r="L67" s="2"/>
      <c r="M67" s="2"/>
      <c r="N67" s="2"/>
    </row>
    <row r="68" spans="1:14" ht="30" customHeight="1" x14ac:dyDescent="0.35">
      <c r="A68" t="s">
        <v>146</v>
      </c>
      <c r="B68" t="s">
        <v>147</v>
      </c>
      <c r="C68" t="s">
        <v>19</v>
      </c>
      <c r="D68" t="s">
        <v>18</v>
      </c>
      <c r="E68" s="2">
        <v>478960.56</v>
      </c>
      <c r="F68" s="2">
        <v>0</v>
      </c>
      <c r="G68" s="2">
        <v>1000</v>
      </c>
      <c r="H68" s="8">
        <f t="shared" si="2"/>
        <v>1000</v>
      </c>
      <c r="I68" s="10">
        <f t="shared" si="3"/>
        <v>478.96055999999999</v>
      </c>
      <c r="L68" s="2"/>
      <c r="M68" s="2"/>
      <c r="N68" s="2"/>
    </row>
    <row r="69" spans="1:14" ht="30" customHeight="1" x14ac:dyDescent="0.35">
      <c r="A69" t="s">
        <v>148</v>
      </c>
      <c r="B69" t="s">
        <v>149</v>
      </c>
      <c r="C69" t="s">
        <v>77</v>
      </c>
      <c r="D69" t="s">
        <v>76</v>
      </c>
      <c r="E69" s="2">
        <v>29909.33</v>
      </c>
      <c r="F69" s="2">
        <v>9230.41</v>
      </c>
      <c r="G69" s="2">
        <v>140769.59</v>
      </c>
      <c r="H69" s="8">
        <f t="shared" si="2"/>
        <v>150000</v>
      </c>
      <c r="I69" s="10">
        <f t="shared" si="3"/>
        <v>0.19939553333333335</v>
      </c>
      <c r="L69" s="2"/>
      <c r="M69" s="2"/>
      <c r="N69" s="2"/>
    </row>
    <row r="70" spans="1:14" ht="30" customHeight="1" x14ac:dyDescent="0.35">
      <c r="A70" t="s">
        <v>150</v>
      </c>
      <c r="B70" t="s">
        <v>151</v>
      </c>
      <c r="C70" t="s">
        <v>19</v>
      </c>
      <c r="D70" t="s">
        <v>18</v>
      </c>
      <c r="E70" s="2">
        <v>40480.49</v>
      </c>
      <c r="F70" s="2"/>
      <c r="G70" s="2"/>
      <c r="H70" s="8" t="str">
        <f t="shared" si="2"/>
        <v/>
      </c>
      <c r="I70" s="10" t="str">
        <f t="shared" si="3"/>
        <v/>
      </c>
      <c r="L70" s="2"/>
      <c r="M70" s="2"/>
      <c r="N70" s="2"/>
    </row>
    <row r="71" spans="1:14" ht="30" customHeight="1" x14ac:dyDescent="0.35">
      <c r="A71" t="s">
        <v>152</v>
      </c>
      <c r="B71" t="s">
        <v>153</v>
      </c>
      <c r="C71" t="s">
        <v>2259</v>
      </c>
      <c r="D71" t="s">
        <v>713</v>
      </c>
      <c r="E71" s="2">
        <v>112014.28</v>
      </c>
      <c r="F71" s="2"/>
      <c r="G71" s="2"/>
      <c r="H71" s="8" t="str">
        <f t="shared" si="2"/>
        <v/>
      </c>
      <c r="I71" s="10" t="str">
        <f t="shared" si="3"/>
        <v/>
      </c>
      <c r="L71" s="2"/>
      <c r="M71" s="2"/>
      <c r="N71" s="2"/>
    </row>
    <row r="72" spans="1:14" ht="30" customHeight="1" x14ac:dyDescent="0.35">
      <c r="A72" t="s">
        <v>154</v>
      </c>
      <c r="B72" t="s">
        <v>155</v>
      </c>
      <c r="C72" t="s">
        <v>51</v>
      </c>
      <c r="D72" t="s">
        <v>50</v>
      </c>
      <c r="E72" s="2">
        <v>293074.25</v>
      </c>
      <c r="F72" s="2"/>
      <c r="G72" s="2"/>
      <c r="H72" s="8" t="str">
        <f t="shared" si="2"/>
        <v/>
      </c>
      <c r="I72" s="10" t="str">
        <f t="shared" si="3"/>
        <v/>
      </c>
      <c r="L72" s="2"/>
      <c r="M72" s="2"/>
      <c r="N72" s="2"/>
    </row>
    <row r="73" spans="1:14" ht="30" customHeight="1" x14ac:dyDescent="0.35">
      <c r="A73" t="s">
        <v>156</v>
      </c>
      <c r="B73" t="s">
        <v>157</v>
      </c>
      <c r="C73" t="s">
        <v>2259</v>
      </c>
      <c r="D73" t="s">
        <v>713</v>
      </c>
      <c r="E73" s="2">
        <v>23863.67</v>
      </c>
      <c r="F73" s="2"/>
      <c r="G73" s="2"/>
      <c r="H73" s="8" t="str">
        <f t="shared" si="2"/>
        <v/>
      </c>
      <c r="I73" s="10" t="str">
        <f t="shared" si="3"/>
        <v/>
      </c>
      <c r="L73" s="2"/>
      <c r="M73" s="2"/>
      <c r="N73" s="2"/>
    </row>
    <row r="74" spans="1:14" ht="30" customHeight="1" x14ac:dyDescent="0.35">
      <c r="A74" t="s">
        <v>158</v>
      </c>
      <c r="B74" t="s">
        <v>159</v>
      </c>
      <c r="C74" t="s">
        <v>51</v>
      </c>
      <c r="D74" t="s">
        <v>50</v>
      </c>
      <c r="E74" s="2">
        <v>11894.45</v>
      </c>
      <c r="F74" s="2"/>
      <c r="G74" s="2"/>
      <c r="H74" s="8" t="str">
        <f t="shared" si="2"/>
        <v/>
      </c>
      <c r="I74" s="10" t="str">
        <f t="shared" si="3"/>
        <v/>
      </c>
      <c r="L74" s="2"/>
      <c r="M74" s="2"/>
      <c r="N74" s="2"/>
    </row>
    <row r="75" spans="1:14" ht="30" customHeight="1" x14ac:dyDescent="0.35">
      <c r="A75" t="s">
        <v>160</v>
      </c>
      <c r="B75" t="s">
        <v>161</v>
      </c>
      <c r="C75" t="s">
        <v>19</v>
      </c>
      <c r="D75" t="s">
        <v>18</v>
      </c>
      <c r="E75" s="2">
        <v>27761.51</v>
      </c>
      <c r="F75" s="2"/>
      <c r="G75" s="2"/>
      <c r="H75" s="8" t="str">
        <f t="shared" si="2"/>
        <v/>
      </c>
      <c r="I75" s="10" t="str">
        <f t="shared" si="3"/>
        <v/>
      </c>
      <c r="L75" s="2"/>
      <c r="M75" s="2"/>
      <c r="N75" s="2"/>
    </row>
    <row r="76" spans="1:14" ht="30" customHeight="1" x14ac:dyDescent="0.35">
      <c r="A76" t="s">
        <v>162</v>
      </c>
      <c r="B76" t="s">
        <v>163</v>
      </c>
      <c r="C76" t="s">
        <v>51</v>
      </c>
      <c r="D76" t="s">
        <v>50</v>
      </c>
      <c r="E76" s="2">
        <v>16396.37</v>
      </c>
      <c r="F76" s="2"/>
      <c r="G76" s="2"/>
      <c r="H76" s="8" t="str">
        <f t="shared" si="2"/>
        <v/>
      </c>
      <c r="I76" s="10" t="str">
        <f t="shared" si="3"/>
        <v/>
      </c>
      <c r="L76" s="2"/>
      <c r="M76" s="2"/>
      <c r="N76" s="2"/>
    </row>
    <row r="77" spans="1:14" ht="30" customHeight="1" x14ac:dyDescent="0.35">
      <c r="A77" t="s">
        <v>164</v>
      </c>
      <c r="B77" t="s">
        <v>165</v>
      </c>
      <c r="C77" t="s">
        <v>51</v>
      </c>
      <c r="D77" t="s">
        <v>50</v>
      </c>
      <c r="E77" s="2">
        <v>7111.16</v>
      </c>
      <c r="F77" s="2"/>
      <c r="G77" s="2"/>
      <c r="H77" s="8" t="str">
        <f t="shared" si="2"/>
        <v/>
      </c>
      <c r="I77" s="10" t="str">
        <f t="shared" si="3"/>
        <v/>
      </c>
      <c r="L77" s="2"/>
      <c r="M77" s="2"/>
      <c r="N77" s="2"/>
    </row>
    <row r="78" spans="1:14" ht="30" customHeight="1" x14ac:dyDescent="0.35">
      <c r="A78" t="s">
        <v>166</v>
      </c>
      <c r="B78" t="s">
        <v>167</v>
      </c>
      <c r="C78" t="s">
        <v>51</v>
      </c>
      <c r="D78" t="s">
        <v>50</v>
      </c>
      <c r="E78" s="2">
        <v>680.16</v>
      </c>
      <c r="F78" s="2"/>
      <c r="G78" s="2"/>
      <c r="H78" s="8" t="str">
        <f t="shared" si="2"/>
        <v/>
      </c>
      <c r="I78" s="10" t="str">
        <f t="shared" si="3"/>
        <v/>
      </c>
      <c r="L78" s="2"/>
      <c r="M78" s="2"/>
      <c r="N78" s="2"/>
    </row>
    <row r="79" spans="1:14" ht="30" customHeight="1" x14ac:dyDescent="0.35">
      <c r="A79" t="s">
        <v>168</v>
      </c>
      <c r="B79" t="s">
        <v>169</v>
      </c>
      <c r="C79" t="s">
        <v>51</v>
      </c>
      <c r="D79" t="s">
        <v>50</v>
      </c>
      <c r="E79" s="2">
        <v>2685.9</v>
      </c>
      <c r="F79" s="2"/>
      <c r="G79" s="2"/>
      <c r="H79" s="8" t="str">
        <f t="shared" si="2"/>
        <v/>
      </c>
      <c r="I79" s="10" t="str">
        <f t="shared" si="3"/>
        <v/>
      </c>
      <c r="L79" s="2"/>
      <c r="M79" s="2"/>
      <c r="N79" s="2"/>
    </row>
    <row r="80" spans="1:14" ht="30" customHeight="1" x14ac:dyDescent="0.35">
      <c r="A80" t="s">
        <v>170</v>
      </c>
      <c r="B80" t="s">
        <v>171</v>
      </c>
      <c r="C80" t="s">
        <v>51</v>
      </c>
      <c r="D80" t="s">
        <v>50</v>
      </c>
      <c r="E80" s="2">
        <v>213138.36</v>
      </c>
      <c r="F80" s="2"/>
      <c r="G80" s="2"/>
      <c r="H80" s="8" t="str">
        <f t="shared" si="2"/>
        <v/>
      </c>
      <c r="I80" s="10" t="str">
        <f t="shared" si="3"/>
        <v/>
      </c>
      <c r="L80" s="2"/>
      <c r="M80" s="2"/>
      <c r="N80" s="2"/>
    </row>
    <row r="81" spans="1:14" ht="30" customHeight="1" x14ac:dyDescent="0.35">
      <c r="A81" t="s">
        <v>172</v>
      </c>
      <c r="B81" t="s">
        <v>173</v>
      </c>
      <c r="C81" t="s">
        <v>51</v>
      </c>
      <c r="D81" t="s">
        <v>50</v>
      </c>
      <c r="E81" s="2">
        <v>16310.65</v>
      </c>
      <c r="F81" s="2"/>
      <c r="G81" s="2"/>
      <c r="H81" s="8" t="str">
        <f t="shared" si="2"/>
        <v/>
      </c>
      <c r="I81" s="10" t="str">
        <f t="shared" si="3"/>
        <v/>
      </c>
      <c r="L81" s="2"/>
      <c r="M81" s="2"/>
      <c r="N81" s="2"/>
    </row>
    <row r="82" spans="1:14" ht="30" customHeight="1" x14ac:dyDescent="0.35">
      <c r="A82" t="s">
        <v>174</v>
      </c>
      <c r="B82" t="s">
        <v>175</v>
      </c>
      <c r="C82" t="s">
        <v>19</v>
      </c>
      <c r="D82" t="s">
        <v>18</v>
      </c>
      <c r="E82" s="2">
        <v>577.79999999999995</v>
      </c>
      <c r="F82" s="2"/>
      <c r="G82" s="2"/>
      <c r="H82" s="8" t="str">
        <f t="shared" si="2"/>
        <v/>
      </c>
      <c r="I82" s="10" t="str">
        <f t="shared" si="3"/>
        <v/>
      </c>
      <c r="L82" s="2"/>
      <c r="M82" s="2"/>
      <c r="N82" s="2"/>
    </row>
    <row r="83" spans="1:14" ht="30" customHeight="1" x14ac:dyDescent="0.35">
      <c r="A83" t="s">
        <v>176</v>
      </c>
      <c r="B83" t="s">
        <v>177</v>
      </c>
      <c r="C83" t="s">
        <v>51</v>
      </c>
      <c r="D83" t="s">
        <v>50</v>
      </c>
      <c r="E83" s="2">
        <v>147390.10999999999</v>
      </c>
      <c r="F83" s="2"/>
      <c r="G83" s="2"/>
      <c r="H83" s="8" t="str">
        <f t="shared" si="2"/>
        <v/>
      </c>
      <c r="I83" s="10" t="str">
        <f t="shared" si="3"/>
        <v/>
      </c>
      <c r="L83" s="2"/>
      <c r="M83" s="2"/>
      <c r="N83" s="2"/>
    </row>
    <row r="84" spans="1:14" ht="30" customHeight="1" x14ac:dyDescent="0.35">
      <c r="A84" t="s">
        <v>178</v>
      </c>
      <c r="B84" t="s">
        <v>179</v>
      </c>
      <c r="C84" t="s">
        <v>2263</v>
      </c>
      <c r="D84" t="s">
        <v>1233</v>
      </c>
      <c r="E84" s="2">
        <v>1195149.9099999999</v>
      </c>
      <c r="F84" s="2"/>
      <c r="G84" s="2"/>
      <c r="H84" s="8" t="str">
        <f t="shared" si="2"/>
        <v/>
      </c>
      <c r="I84" s="10" t="str">
        <f t="shared" si="3"/>
        <v/>
      </c>
      <c r="L84" s="2"/>
      <c r="M84" s="2"/>
      <c r="N84" s="2"/>
    </row>
    <row r="85" spans="1:14" ht="30" customHeight="1" x14ac:dyDescent="0.35">
      <c r="A85" t="s">
        <v>180</v>
      </c>
      <c r="B85" t="s">
        <v>181</v>
      </c>
      <c r="C85" t="s">
        <v>51</v>
      </c>
      <c r="D85" t="s">
        <v>50</v>
      </c>
      <c r="E85" s="2">
        <v>176826.61</v>
      </c>
      <c r="F85" s="2"/>
      <c r="G85" s="2"/>
      <c r="H85" s="8" t="str">
        <f t="shared" si="2"/>
        <v/>
      </c>
      <c r="I85" s="10" t="str">
        <f t="shared" si="3"/>
        <v/>
      </c>
      <c r="L85" s="2"/>
      <c r="M85" s="2"/>
      <c r="N85" s="2"/>
    </row>
    <row r="86" spans="1:14" ht="30" customHeight="1" x14ac:dyDescent="0.35">
      <c r="A86" t="s">
        <v>182</v>
      </c>
      <c r="B86" t="s">
        <v>183</v>
      </c>
      <c r="C86" t="s">
        <v>2266</v>
      </c>
      <c r="D86" t="s">
        <v>1560</v>
      </c>
      <c r="E86" s="2">
        <v>5188.88</v>
      </c>
      <c r="F86" s="2">
        <v>347881.15</v>
      </c>
      <c r="G86" s="2"/>
      <c r="H86" s="8">
        <f t="shared" si="2"/>
        <v>347881.15</v>
      </c>
      <c r="I86" s="10">
        <f t="shared" si="3"/>
        <v>1.4915668756412929E-2</v>
      </c>
      <c r="L86" s="2"/>
      <c r="M86" s="2"/>
      <c r="N86" s="2"/>
    </row>
    <row r="87" spans="1:14" ht="30" customHeight="1" x14ac:dyDescent="0.35">
      <c r="A87" t="s">
        <v>186</v>
      </c>
      <c r="B87" t="s">
        <v>187</v>
      </c>
      <c r="C87" t="s">
        <v>19</v>
      </c>
      <c r="D87" t="s">
        <v>18</v>
      </c>
      <c r="E87" s="2">
        <v>10928.17</v>
      </c>
      <c r="F87" s="2">
        <v>50000</v>
      </c>
      <c r="G87" s="2">
        <v>0</v>
      </c>
      <c r="H87" s="8">
        <f t="shared" si="2"/>
        <v>50000</v>
      </c>
      <c r="I87" s="10">
        <f t="shared" si="3"/>
        <v>0.21856339999999999</v>
      </c>
      <c r="L87" s="2"/>
      <c r="M87" s="2"/>
      <c r="N87" s="2"/>
    </row>
    <row r="88" spans="1:14" ht="30" customHeight="1" x14ac:dyDescent="0.35">
      <c r="A88" t="s">
        <v>188</v>
      </c>
      <c r="B88" t="s">
        <v>189</v>
      </c>
      <c r="C88" t="s">
        <v>77</v>
      </c>
      <c r="D88" t="s">
        <v>76</v>
      </c>
      <c r="E88" s="2">
        <v>7480.61</v>
      </c>
      <c r="F88" s="2">
        <v>275786.11</v>
      </c>
      <c r="G88" s="2">
        <v>583.91</v>
      </c>
      <c r="H88" s="8">
        <f t="shared" si="2"/>
        <v>276370.01999999996</v>
      </c>
      <c r="I88" s="10">
        <f t="shared" si="3"/>
        <v>2.7067371489859864E-2</v>
      </c>
      <c r="L88" s="2"/>
      <c r="M88" s="2"/>
      <c r="N88" s="2"/>
    </row>
    <row r="89" spans="1:14" ht="30" customHeight="1" x14ac:dyDescent="0.35">
      <c r="A89" t="s">
        <v>190</v>
      </c>
      <c r="B89" t="s">
        <v>191</v>
      </c>
      <c r="C89" t="s">
        <v>51</v>
      </c>
      <c r="D89" t="s">
        <v>50</v>
      </c>
      <c r="E89" s="2">
        <v>81033.87</v>
      </c>
      <c r="F89" s="2"/>
      <c r="G89" s="2"/>
      <c r="H89" s="8" t="str">
        <f t="shared" si="2"/>
        <v/>
      </c>
      <c r="I89" s="10" t="str">
        <f t="shared" si="3"/>
        <v/>
      </c>
      <c r="L89" s="2"/>
      <c r="M89" s="2"/>
      <c r="N89" s="2"/>
    </row>
    <row r="90" spans="1:14" ht="30" customHeight="1" x14ac:dyDescent="0.35">
      <c r="A90" t="s">
        <v>192</v>
      </c>
      <c r="B90" t="s">
        <v>193</v>
      </c>
      <c r="C90" t="s">
        <v>2262</v>
      </c>
      <c r="D90" t="s">
        <v>1518</v>
      </c>
      <c r="E90" s="2">
        <v>6821213.6600000001</v>
      </c>
      <c r="F90" s="2">
        <v>730395.8</v>
      </c>
      <c r="G90" s="2">
        <v>1000</v>
      </c>
      <c r="H90" s="8">
        <f t="shared" si="2"/>
        <v>731395.8</v>
      </c>
      <c r="I90" s="10">
        <f t="shared" si="3"/>
        <v>9.3262959125551443</v>
      </c>
      <c r="L90" s="2"/>
      <c r="M90" s="2"/>
      <c r="N90" s="2"/>
    </row>
    <row r="91" spans="1:14" ht="30" customHeight="1" x14ac:dyDescent="0.35">
      <c r="A91" t="s">
        <v>194</v>
      </c>
      <c r="B91" t="s">
        <v>195</v>
      </c>
      <c r="C91" t="s">
        <v>19</v>
      </c>
      <c r="D91" t="s">
        <v>18</v>
      </c>
      <c r="E91" s="2">
        <v>856217.23</v>
      </c>
      <c r="F91" s="2"/>
      <c r="G91" s="2"/>
      <c r="H91" s="8" t="str">
        <f t="shared" si="2"/>
        <v/>
      </c>
      <c r="I91" s="10" t="str">
        <f t="shared" si="3"/>
        <v/>
      </c>
      <c r="L91" s="2"/>
      <c r="M91" s="2"/>
      <c r="N91" s="2"/>
    </row>
    <row r="92" spans="1:14" ht="30" customHeight="1" x14ac:dyDescent="0.35">
      <c r="A92" t="s">
        <v>196</v>
      </c>
      <c r="B92" t="s">
        <v>197</v>
      </c>
      <c r="C92" t="s">
        <v>51</v>
      </c>
      <c r="D92" t="s">
        <v>50</v>
      </c>
      <c r="E92" s="2">
        <v>22545.46</v>
      </c>
      <c r="F92" s="2"/>
      <c r="G92" s="2"/>
      <c r="H92" s="8" t="str">
        <f t="shared" si="2"/>
        <v/>
      </c>
      <c r="I92" s="10" t="str">
        <f t="shared" si="3"/>
        <v/>
      </c>
      <c r="L92" s="2"/>
      <c r="M92" s="2"/>
      <c r="N92" s="2"/>
    </row>
    <row r="93" spans="1:14" ht="30" customHeight="1" x14ac:dyDescent="0.35">
      <c r="A93" t="s">
        <v>198</v>
      </c>
      <c r="B93" t="s">
        <v>199</v>
      </c>
      <c r="C93" t="s">
        <v>2259</v>
      </c>
      <c r="D93" t="s">
        <v>713</v>
      </c>
      <c r="E93" s="2">
        <v>45158.95</v>
      </c>
      <c r="F93" s="2"/>
      <c r="G93" s="2"/>
      <c r="H93" s="8" t="str">
        <f t="shared" si="2"/>
        <v/>
      </c>
      <c r="I93" s="10" t="str">
        <f t="shared" si="3"/>
        <v/>
      </c>
      <c r="L93" s="2"/>
      <c r="M93" s="2"/>
      <c r="N93" s="2"/>
    </row>
    <row r="94" spans="1:14" ht="30" customHeight="1" x14ac:dyDescent="0.35">
      <c r="A94" t="s">
        <v>200</v>
      </c>
      <c r="B94" t="s">
        <v>201</v>
      </c>
      <c r="C94" t="s">
        <v>51</v>
      </c>
      <c r="D94" t="s">
        <v>50</v>
      </c>
      <c r="E94" s="2">
        <v>38939.050000000003</v>
      </c>
      <c r="F94" s="2"/>
      <c r="G94" s="2"/>
      <c r="H94" s="8" t="str">
        <f t="shared" si="2"/>
        <v/>
      </c>
      <c r="I94" s="10" t="str">
        <f t="shared" si="3"/>
        <v/>
      </c>
      <c r="L94" s="2"/>
      <c r="M94" s="2"/>
      <c r="N94" s="2"/>
    </row>
    <row r="95" spans="1:14" ht="30" customHeight="1" x14ac:dyDescent="0.35">
      <c r="A95" t="s">
        <v>2267</v>
      </c>
      <c r="B95" t="s">
        <v>2268</v>
      </c>
      <c r="C95" t="s">
        <v>2263</v>
      </c>
      <c r="D95" t="s">
        <v>1233</v>
      </c>
      <c r="E95" s="2">
        <v>244.9</v>
      </c>
      <c r="F95" s="2"/>
      <c r="G95" s="2"/>
      <c r="H95" s="8" t="str">
        <f t="shared" si="2"/>
        <v/>
      </c>
      <c r="I95" s="10" t="str">
        <f t="shared" si="3"/>
        <v/>
      </c>
      <c r="L95" s="2"/>
      <c r="M95" s="2"/>
      <c r="N95" s="2"/>
    </row>
    <row r="96" spans="1:14" ht="30" customHeight="1" x14ac:dyDescent="0.35">
      <c r="A96" t="s">
        <v>202</v>
      </c>
      <c r="B96" t="s">
        <v>203</v>
      </c>
      <c r="C96" t="s">
        <v>19</v>
      </c>
      <c r="D96" t="s">
        <v>18</v>
      </c>
      <c r="E96" s="2">
        <v>87199.83</v>
      </c>
      <c r="F96" s="2"/>
      <c r="G96" s="2"/>
      <c r="H96" s="8" t="str">
        <f t="shared" si="2"/>
        <v/>
      </c>
      <c r="I96" s="10" t="str">
        <f t="shared" si="3"/>
        <v/>
      </c>
      <c r="L96" s="2"/>
      <c r="M96" s="2"/>
      <c r="N96" s="2"/>
    </row>
    <row r="97" spans="1:14" ht="30" customHeight="1" x14ac:dyDescent="0.35">
      <c r="A97" t="s">
        <v>204</v>
      </c>
      <c r="B97" t="s">
        <v>205</v>
      </c>
      <c r="C97" t="s">
        <v>19</v>
      </c>
      <c r="D97" t="s">
        <v>18</v>
      </c>
      <c r="E97" s="2">
        <v>40722.81</v>
      </c>
      <c r="F97" s="2"/>
      <c r="G97" s="2"/>
      <c r="H97" s="8" t="str">
        <f t="shared" si="2"/>
        <v/>
      </c>
      <c r="I97" s="10" t="str">
        <f t="shared" si="3"/>
        <v/>
      </c>
      <c r="L97" s="2"/>
      <c r="M97" s="2"/>
      <c r="N97" s="2"/>
    </row>
    <row r="98" spans="1:14" ht="30" customHeight="1" x14ac:dyDescent="0.35">
      <c r="A98" t="s">
        <v>208</v>
      </c>
      <c r="B98" t="s">
        <v>209</v>
      </c>
      <c r="C98" t="s">
        <v>15</v>
      </c>
      <c r="D98" t="s">
        <v>14</v>
      </c>
      <c r="E98" s="2">
        <v>2821497.36</v>
      </c>
      <c r="F98" s="2">
        <v>7691757.5599999996</v>
      </c>
      <c r="G98" s="2">
        <v>0</v>
      </c>
      <c r="H98" s="8">
        <f t="shared" si="2"/>
        <v>7691757.5599999996</v>
      </c>
      <c r="I98" s="10">
        <f t="shared" si="3"/>
        <v>0.36682089080301172</v>
      </c>
      <c r="L98" s="2"/>
      <c r="M98" s="2"/>
      <c r="N98" s="2"/>
    </row>
    <row r="99" spans="1:14" ht="30" customHeight="1" x14ac:dyDescent="0.35">
      <c r="A99" t="s">
        <v>210</v>
      </c>
      <c r="B99" t="s">
        <v>211</v>
      </c>
      <c r="C99" t="s">
        <v>51</v>
      </c>
      <c r="D99" t="s">
        <v>50</v>
      </c>
      <c r="E99" s="2">
        <v>483.18</v>
      </c>
      <c r="F99" s="2">
        <v>12709.1</v>
      </c>
      <c r="G99" s="2"/>
      <c r="H99" s="8">
        <f t="shared" si="2"/>
        <v>12709.1</v>
      </c>
      <c r="I99" s="10">
        <f t="shared" si="3"/>
        <v>3.8018427740752689E-2</v>
      </c>
      <c r="L99" s="2"/>
      <c r="M99" s="2"/>
      <c r="N99" s="2"/>
    </row>
    <row r="100" spans="1:14" ht="30" customHeight="1" x14ac:dyDescent="0.35">
      <c r="A100" t="s">
        <v>214</v>
      </c>
      <c r="B100" t="s">
        <v>215</v>
      </c>
      <c r="C100" t="s">
        <v>51</v>
      </c>
      <c r="D100" t="s">
        <v>50</v>
      </c>
      <c r="E100" s="2">
        <v>22030.49</v>
      </c>
      <c r="F100" s="2"/>
      <c r="G100" s="2"/>
      <c r="H100" s="8" t="str">
        <f t="shared" si="2"/>
        <v/>
      </c>
      <c r="I100" s="10" t="str">
        <f t="shared" si="3"/>
        <v/>
      </c>
      <c r="L100" s="2"/>
      <c r="M100" s="2"/>
      <c r="N100" s="2"/>
    </row>
    <row r="101" spans="1:14" ht="30" customHeight="1" x14ac:dyDescent="0.35">
      <c r="A101" t="s">
        <v>216</v>
      </c>
      <c r="B101" t="s">
        <v>217</v>
      </c>
      <c r="C101" t="s">
        <v>2225</v>
      </c>
      <c r="D101" t="s">
        <v>308</v>
      </c>
      <c r="E101" s="2">
        <v>29848.95</v>
      </c>
      <c r="F101" s="2"/>
      <c r="G101" s="2"/>
      <c r="H101" s="8" t="str">
        <f t="shared" si="2"/>
        <v/>
      </c>
      <c r="I101" s="10" t="str">
        <f t="shared" si="3"/>
        <v/>
      </c>
      <c r="L101" s="2"/>
      <c r="M101" s="2"/>
      <c r="N101" s="2"/>
    </row>
    <row r="102" spans="1:14" ht="30" customHeight="1" x14ac:dyDescent="0.35">
      <c r="A102" t="s">
        <v>218</v>
      </c>
      <c r="B102" t="s">
        <v>219</v>
      </c>
      <c r="C102" t="s">
        <v>51</v>
      </c>
      <c r="D102" t="s">
        <v>50</v>
      </c>
      <c r="E102" s="2">
        <v>15803.62</v>
      </c>
      <c r="F102" s="2"/>
      <c r="G102" s="2"/>
      <c r="H102" s="8" t="str">
        <f t="shared" si="2"/>
        <v/>
      </c>
      <c r="I102" s="10" t="str">
        <f t="shared" si="3"/>
        <v/>
      </c>
      <c r="L102" s="2"/>
      <c r="M102" s="2"/>
      <c r="N102" s="2"/>
    </row>
    <row r="103" spans="1:14" ht="30" customHeight="1" x14ac:dyDescent="0.35">
      <c r="A103" t="s">
        <v>220</v>
      </c>
      <c r="B103" t="s">
        <v>221</v>
      </c>
      <c r="C103" t="s">
        <v>51</v>
      </c>
      <c r="D103" t="s">
        <v>50</v>
      </c>
      <c r="E103" s="2">
        <v>52996.93</v>
      </c>
      <c r="F103" s="2"/>
      <c r="G103" s="2"/>
      <c r="H103" s="8" t="str">
        <f t="shared" si="2"/>
        <v/>
      </c>
      <c r="I103" s="10" t="str">
        <f t="shared" si="3"/>
        <v/>
      </c>
      <c r="L103" s="2"/>
      <c r="M103" s="2"/>
      <c r="N103" s="2"/>
    </row>
    <row r="104" spans="1:14" ht="30" customHeight="1" x14ac:dyDescent="0.35">
      <c r="A104" t="s">
        <v>2269</v>
      </c>
      <c r="B104" t="s">
        <v>2270</v>
      </c>
      <c r="C104" t="s">
        <v>19</v>
      </c>
      <c r="D104" t="s">
        <v>18</v>
      </c>
      <c r="E104" s="2">
        <v>513.19000000000005</v>
      </c>
      <c r="F104" s="2"/>
      <c r="G104" s="2"/>
      <c r="H104" s="8" t="str">
        <f t="shared" si="2"/>
        <v/>
      </c>
      <c r="I104" s="10" t="str">
        <f t="shared" si="3"/>
        <v/>
      </c>
      <c r="L104" s="2"/>
      <c r="M104" s="2"/>
      <c r="N104" s="2"/>
    </row>
    <row r="105" spans="1:14" ht="30" customHeight="1" x14ac:dyDescent="0.35">
      <c r="A105" t="s">
        <v>222</v>
      </c>
      <c r="B105" t="s">
        <v>223</v>
      </c>
      <c r="C105" t="s">
        <v>2225</v>
      </c>
      <c r="D105" t="s">
        <v>308</v>
      </c>
      <c r="E105" s="2">
        <v>3219.7</v>
      </c>
      <c r="F105" s="2"/>
      <c r="G105" s="2"/>
      <c r="H105" s="8" t="str">
        <f t="shared" si="2"/>
        <v/>
      </c>
      <c r="I105" s="10" t="str">
        <f t="shared" si="3"/>
        <v/>
      </c>
      <c r="L105" s="2"/>
      <c r="M105" s="2"/>
      <c r="N105" s="2"/>
    </row>
    <row r="106" spans="1:14" ht="30" customHeight="1" x14ac:dyDescent="0.35">
      <c r="A106" t="s">
        <v>224</v>
      </c>
      <c r="B106" t="s">
        <v>225</v>
      </c>
      <c r="C106" t="s">
        <v>2225</v>
      </c>
      <c r="D106" t="s">
        <v>308</v>
      </c>
      <c r="E106" s="2">
        <v>74805.759999999995</v>
      </c>
      <c r="F106" s="2"/>
      <c r="G106" s="2"/>
      <c r="H106" s="8" t="str">
        <f t="shared" si="2"/>
        <v/>
      </c>
      <c r="I106" s="10" t="str">
        <f t="shared" si="3"/>
        <v/>
      </c>
      <c r="L106" s="2"/>
      <c r="M106" s="2"/>
      <c r="N106" s="2"/>
    </row>
    <row r="107" spans="1:14" ht="30" customHeight="1" x14ac:dyDescent="0.35">
      <c r="A107" t="s">
        <v>226</v>
      </c>
      <c r="B107" t="s">
        <v>227</v>
      </c>
      <c r="C107" t="s">
        <v>51</v>
      </c>
      <c r="D107" t="s">
        <v>50</v>
      </c>
      <c r="E107" s="2">
        <v>30862.55</v>
      </c>
      <c r="F107" s="2"/>
      <c r="G107" s="2"/>
      <c r="H107" s="8" t="str">
        <f t="shared" si="2"/>
        <v/>
      </c>
      <c r="I107" s="10" t="str">
        <f t="shared" si="3"/>
        <v/>
      </c>
      <c r="L107" s="2"/>
      <c r="M107" s="2"/>
      <c r="N107" s="2"/>
    </row>
    <row r="108" spans="1:14" ht="30" customHeight="1" x14ac:dyDescent="0.35">
      <c r="A108" t="s">
        <v>228</v>
      </c>
      <c r="B108" t="s">
        <v>229</v>
      </c>
      <c r="C108" t="s">
        <v>57</v>
      </c>
      <c r="D108" t="s">
        <v>56</v>
      </c>
      <c r="E108" s="2">
        <v>4573014</v>
      </c>
      <c r="F108" s="2">
        <v>14282</v>
      </c>
      <c r="G108" s="2">
        <v>35718</v>
      </c>
      <c r="H108" s="8">
        <f t="shared" si="2"/>
        <v>50000</v>
      </c>
      <c r="I108" s="10">
        <f t="shared" si="3"/>
        <v>91.460279999999997</v>
      </c>
      <c r="L108" s="2"/>
      <c r="M108" s="2"/>
      <c r="N108" s="2"/>
    </row>
    <row r="109" spans="1:14" ht="30" customHeight="1" x14ac:dyDescent="0.35">
      <c r="A109" t="s">
        <v>230</v>
      </c>
      <c r="B109" t="s">
        <v>231</v>
      </c>
      <c r="C109" t="s">
        <v>29</v>
      </c>
      <c r="D109" t="s">
        <v>28</v>
      </c>
      <c r="E109" s="2">
        <v>98401.52</v>
      </c>
      <c r="F109" s="2"/>
      <c r="G109" s="2"/>
      <c r="H109" s="8" t="str">
        <f t="shared" si="2"/>
        <v/>
      </c>
      <c r="I109" s="10" t="str">
        <f t="shared" si="3"/>
        <v/>
      </c>
      <c r="L109" s="2"/>
      <c r="M109" s="2"/>
      <c r="N109" s="2"/>
    </row>
    <row r="110" spans="1:14" ht="30" customHeight="1" x14ac:dyDescent="0.35">
      <c r="A110" t="s">
        <v>232</v>
      </c>
      <c r="B110" t="s">
        <v>233</v>
      </c>
      <c r="C110" t="s">
        <v>77</v>
      </c>
      <c r="D110" t="s">
        <v>76</v>
      </c>
      <c r="E110" s="2">
        <v>492154.5</v>
      </c>
      <c r="F110" s="2"/>
      <c r="G110" s="2"/>
      <c r="H110" s="8" t="str">
        <f t="shared" si="2"/>
        <v/>
      </c>
      <c r="I110" s="10" t="str">
        <f t="shared" si="3"/>
        <v/>
      </c>
      <c r="L110" s="2"/>
      <c r="M110" s="2"/>
      <c r="N110" s="2"/>
    </row>
    <row r="111" spans="1:14" ht="30" customHeight="1" x14ac:dyDescent="0.35">
      <c r="A111" t="s">
        <v>234</v>
      </c>
      <c r="B111" t="s">
        <v>235</v>
      </c>
      <c r="C111" t="s">
        <v>2259</v>
      </c>
      <c r="D111" t="s">
        <v>713</v>
      </c>
      <c r="E111" s="2">
        <v>554505.18999999994</v>
      </c>
      <c r="F111" s="2"/>
      <c r="G111" s="2"/>
      <c r="H111" s="8" t="str">
        <f t="shared" si="2"/>
        <v/>
      </c>
      <c r="I111" s="10" t="str">
        <f t="shared" si="3"/>
        <v/>
      </c>
      <c r="L111" s="2"/>
      <c r="M111" s="2"/>
      <c r="N111" s="2"/>
    </row>
    <row r="112" spans="1:14" ht="30" customHeight="1" x14ac:dyDescent="0.35">
      <c r="A112" t="s">
        <v>236</v>
      </c>
      <c r="B112" t="s">
        <v>237</v>
      </c>
      <c r="C112" t="s">
        <v>77</v>
      </c>
      <c r="D112" t="s">
        <v>76</v>
      </c>
      <c r="E112" s="2">
        <v>43902.38</v>
      </c>
      <c r="F112" s="2"/>
      <c r="G112" s="2"/>
      <c r="H112" s="8" t="str">
        <f t="shared" si="2"/>
        <v/>
      </c>
      <c r="I112" s="10" t="str">
        <f t="shared" si="3"/>
        <v/>
      </c>
      <c r="L112" s="2"/>
      <c r="M112" s="2"/>
      <c r="N112" s="2"/>
    </row>
    <row r="113" spans="1:14" ht="30" customHeight="1" x14ac:dyDescent="0.35">
      <c r="A113" t="s">
        <v>238</v>
      </c>
      <c r="B113" t="s">
        <v>239</v>
      </c>
      <c r="C113" t="s">
        <v>19</v>
      </c>
      <c r="D113" t="s">
        <v>18</v>
      </c>
      <c r="E113" s="2">
        <v>914.89</v>
      </c>
      <c r="F113" s="2"/>
      <c r="G113" s="2"/>
      <c r="H113" s="8" t="str">
        <f t="shared" si="2"/>
        <v/>
      </c>
      <c r="I113" s="10" t="str">
        <f t="shared" si="3"/>
        <v/>
      </c>
      <c r="L113" s="2"/>
      <c r="M113" s="2"/>
      <c r="N113" s="2"/>
    </row>
    <row r="114" spans="1:14" ht="30" customHeight="1" x14ac:dyDescent="0.35">
      <c r="A114" t="s">
        <v>240</v>
      </c>
      <c r="B114" t="s">
        <v>241</v>
      </c>
      <c r="C114" t="s">
        <v>77</v>
      </c>
      <c r="D114" t="s">
        <v>76</v>
      </c>
      <c r="E114" s="2">
        <v>2830.28</v>
      </c>
      <c r="F114" s="2"/>
      <c r="G114" s="2"/>
      <c r="H114" s="8" t="str">
        <f t="shared" si="2"/>
        <v/>
      </c>
      <c r="I114" s="10" t="str">
        <f t="shared" si="3"/>
        <v/>
      </c>
      <c r="L114" s="2"/>
      <c r="M114" s="2"/>
      <c r="N114" s="2"/>
    </row>
    <row r="115" spans="1:14" ht="30" customHeight="1" x14ac:dyDescent="0.35">
      <c r="A115" t="s">
        <v>242</v>
      </c>
      <c r="B115" t="s">
        <v>243</v>
      </c>
      <c r="C115" t="s">
        <v>19</v>
      </c>
      <c r="D115" t="s">
        <v>18</v>
      </c>
      <c r="E115" s="2">
        <v>193633.11</v>
      </c>
      <c r="F115" s="2"/>
      <c r="G115" s="2"/>
      <c r="H115" s="8" t="str">
        <f t="shared" si="2"/>
        <v/>
      </c>
      <c r="I115" s="10" t="str">
        <f t="shared" si="3"/>
        <v/>
      </c>
      <c r="L115" s="2"/>
      <c r="M115" s="2"/>
      <c r="N115" s="2"/>
    </row>
    <row r="116" spans="1:14" ht="30" customHeight="1" x14ac:dyDescent="0.35">
      <c r="A116" t="s">
        <v>244</v>
      </c>
      <c r="B116" t="s">
        <v>245</v>
      </c>
      <c r="C116" t="s">
        <v>2259</v>
      </c>
      <c r="D116" t="s">
        <v>713</v>
      </c>
      <c r="E116" s="2">
        <v>764.1</v>
      </c>
      <c r="F116" s="2"/>
      <c r="G116" s="2"/>
      <c r="H116" s="8" t="str">
        <f t="shared" si="2"/>
        <v/>
      </c>
      <c r="I116" s="10" t="str">
        <f t="shared" si="3"/>
        <v/>
      </c>
      <c r="L116" s="2"/>
      <c r="M116" s="2"/>
      <c r="N116" s="2"/>
    </row>
    <row r="117" spans="1:14" ht="30" customHeight="1" x14ac:dyDescent="0.35">
      <c r="A117" t="s">
        <v>2271</v>
      </c>
      <c r="B117" t="s">
        <v>2272</v>
      </c>
      <c r="C117" t="s">
        <v>2238</v>
      </c>
      <c r="D117" t="s">
        <v>2239</v>
      </c>
      <c r="E117" s="2">
        <v>112381</v>
      </c>
      <c r="F117" s="2"/>
      <c r="G117" s="2"/>
      <c r="H117" s="8" t="str">
        <f t="shared" si="2"/>
        <v/>
      </c>
      <c r="I117" s="10" t="str">
        <f t="shared" si="3"/>
        <v/>
      </c>
      <c r="L117" s="2"/>
      <c r="M117" s="2"/>
      <c r="N117" s="2"/>
    </row>
    <row r="118" spans="1:14" ht="30" customHeight="1" x14ac:dyDescent="0.35">
      <c r="A118" t="s">
        <v>246</v>
      </c>
      <c r="B118" t="s">
        <v>247</v>
      </c>
      <c r="C118" t="s">
        <v>29</v>
      </c>
      <c r="D118" t="s">
        <v>28</v>
      </c>
      <c r="E118" s="2">
        <v>154042.14000000001</v>
      </c>
      <c r="F118" s="2"/>
      <c r="G118" s="2"/>
      <c r="H118" s="8" t="str">
        <f t="shared" si="2"/>
        <v/>
      </c>
      <c r="I118" s="10" t="str">
        <f t="shared" si="3"/>
        <v/>
      </c>
      <c r="L118" s="2"/>
      <c r="M118" s="2"/>
      <c r="N118" s="2"/>
    </row>
    <row r="119" spans="1:14" ht="30" customHeight="1" x14ac:dyDescent="0.35">
      <c r="A119" t="s">
        <v>248</v>
      </c>
      <c r="B119" t="s">
        <v>249</v>
      </c>
      <c r="C119" t="s">
        <v>33</v>
      </c>
      <c r="D119" t="s">
        <v>32</v>
      </c>
      <c r="E119" s="2">
        <v>7</v>
      </c>
      <c r="F119" s="2"/>
      <c r="G119" s="2"/>
      <c r="H119" s="8" t="str">
        <f t="shared" si="2"/>
        <v/>
      </c>
      <c r="I119" s="10" t="str">
        <f t="shared" si="3"/>
        <v/>
      </c>
      <c r="L119" s="2"/>
      <c r="M119" s="2"/>
      <c r="N119" s="2"/>
    </row>
    <row r="120" spans="1:14" ht="30" customHeight="1" x14ac:dyDescent="0.35">
      <c r="A120" t="s">
        <v>250</v>
      </c>
      <c r="B120" t="s">
        <v>251</v>
      </c>
      <c r="C120" t="s">
        <v>2273</v>
      </c>
      <c r="D120" t="s">
        <v>1552</v>
      </c>
      <c r="E120" s="2">
        <v>1099496.53</v>
      </c>
      <c r="F120" s="2">
        <v>707339.89</v>
      </c>
      <c r="G120" s="2"/>
      <c r="H120" s="8">
        <f t="shared" si="2"/>
        <v>707339.89</v>
      </c>
      <c r="I120" s="10">
        <f t="shared" si="3"/>
        <v>1.5544104687776057</v>
      </c>
      <c r="L120" s="2"/>
      <c r="M120" s="2"/>
      <c r="N120" s="2"/>
    </row>
    <row r="121" spans="1:14" ht="30" customHeight="1" x14ac:dyDescent="0.35">
      <c r="A121" t="s">
        <v>254</v>
      </c>
      <c r="B121" t="s">
        <v>255</v>
      </c>
      <c r="C121" t="s">
        <v>101</v>
      </c>
      <c r="D121" t="s">
        <v>100</v>
      </c>
      <c r="E121" s="2">
        <v>1525.18</v>
      </c>
      <c r="F121" s="2">
        <v>791622.69</v>
      </c>
      <c r="G121" s="2">
        <v>587377.31000000006</v>
      </c>
      <c r="H121" s="8">
        <f t="shared" si="2"/>
        <v>1379000</v>
      </c>
      <c r="I121" s="10">
        <f t="shared" si="3"/>
        <v>1.1060043509789703E-3</v>
      </c>
      <c r="L121" s="2"/>
      <c r="M121" s="2"/>
      <c r="N121" s="2"/>
    </row>
    <row r="122" spans="1:14" ht="30" customHeight="1" x14ac:dyDescent="0.35">
      <c r="A122" t="s">
        <v>256</v>
      </c>
      <c r="B122" t="s">
        <v>257</v>
      </c>
      <c r="C122" t="s">
        <v>2266</v>
      </c>
      <c r="D122" t="s">
        <v>1560</v>
      </c>
      <c r="E122" s="2">
        <v>9930.94</v>
      </c>
      <c r="F122" s="2">
        <v>535931.06000000006</v>
      </c>
      <c r="G122" s="2">
        <v>200000</v>
      </c>
      <c r="H122" s="8">
        <f t="shared" si="2"/>
        <v>735931.06</v>
      </c>
      <c r="I122" s="10">
        <f t="shared" si="3"/>
        <v>1.3494388998882586E-2</v>
      </c>
      <c r="L122" s="2"/>
      <c r="M122" s="2"/>
      <c r="N122" s="2"/>
    </row>
    <row r="123" spans="1:14" ht="30" customHeight="1" x14ac:dyDescent="0.35">
      <c r="A123" t="s">
        <v>260</v>
      </c>
      <c r="B123" t="s">
        <v>261</v>
      </c>
      <c r="C123" t="s">
        <v>51</v>
      </c>
      <c r="D123" t="s">
        <v>50</v>
      </c>
      <c r="E123" s="2">
        <v>1599405.68</v>
      </c>
      <c r="F123" s="2"/>
      <c r="G123" s="2"/>
      <c r="H123" s="8" t="str">
        <f t="shared" si="2"/>
        <v/>
      </c>
      <c r="I123" s="10" t="str">
        <f t="shared" si="3"/>
        <v/>
      </c>
      <c r="L123" s="2"/>
      <c r="M123" s="2"/>
      <c r="N123" s="2"/>
    </row>
    <row r="124" spans="1:14" ht="30" customHeight="1" x14ac:dyDescent="0.35">
      <c r="A124" t="s">
        <v>262</v>
      </c>
      <c r="B124" t="s">
        <v>263</v>
      </c>
      <c r="C124" t="s">
        <v>2263</v>
      </c>
      <c r="D124" t="s">
        <v>1233</v>
      </c>
      <c r="E124" s="2">
        <v>378847.65</v>
      </c>
      <c r="F124" s="2"/>
      <c r="G124" s="2"/>
      <c r="H124" s="8" t="str">
        <f t="shared" si="2"/>
        <v/>
      </c>
      <c r="I124" s="10" t="str">
        <f t="shared" si="3"/>
        <v/>
      </c>
      <c r="L124" s="2"/>
      <c r="M124" s="2"/>
      <c r="N124" s="2"/>
    </row>
    <row r="125" spans="1:14" ht="30" customHeight="1" x14ac:dyDescent="0.35">
      <c r="A125" t="s">
        <v>264</v>
      </c>
      <c r="B125" t="s">
        <v>265</v>
      </c>
      <c r="C125" t="s">
        <v>57</v>
      </c>
      <c r="D125" t="s">
        <v>56</v>
      </c>
      <c r="E125" s="2">
        <v>40</v>
      </c>
      <c r="F125" s="2"/>
      <c r="G125" s="2"/>
      <c r="H125" s="8" t="str">
        <f t="shared" si="2"/>
        <v/>
      </c>
      <c r="I125" s="10" t="str">
        <f t="shared" si="3"/>
        <v/>
      </c>
      <c r="L125" s="2"/>
      <c r="M125" s="2"/>
      <c r="N125" s="2"/>
    </row>
    <row r="126" spans="1:14" ht="30" customHeight="1" x14ac:dyDescent="0.35">
      <c r="A126" t="s">
        <v>266</v>
      </c>
      <c r="B126" t="s">
        <v>267</v>
      </c>
      <c r="C126" t="s">
        <v>77</v>
      </c>
      <c r="D126" t="s">
        <v>76</v>
      </c>
      <c r="E126" s="2">
        <v>78307.759999999995</v>
      </c>
      <c r="F126" s="2"/>
      <c r="G126" s="2"/>
      <c r="H126" s="8" t="str">
        <f t="shared" ref="H126:H188" si="4">IF(ISBLANK(F126), "",(F126+G126))</f>
        <v/>
      </c>
      <c r="I126" s="10" t="str">
        <f t="shared" ref="I126:I188" si="5">IF(ISBLANK(F126), "", E126/H126)</f>
        <v/>
      </c>
      <c r="L126" s="2"/>
      <c r="M126" s="2"/>
      <c r="N126" s="2"/>
    </row>
    <row r="127" spans="1:14" ht="30" customHeight="1" x14ac:dyDescent="0.35">
      <c r="A127" t="s">
        <v>268</v>
      </c>
      <c r="B127" t="s">
        <v>269</v>
      </c>
      <c r="C127" t="s">
        <v>77</v>
      </c>
      <c r="D127" t="s">
        <v>76</v>
      </c>
      <c r="E127" s="2">
        <v>5639.8</v>
      </c>
      <c r="F127" s="2">
        <v>18084.95</v>
      </c>
      <c r="G127" s="2">
        <v>1000</v>
      </c>
      <c r="H127" s="8">
        <f t="shared" si="4"/>
        <v>19084.95</v>
      </c>
      <c r="I127" s="10">
        <f t="shared" si="5"/>
        <v>0.29551033667890142</v>
      </c>
      <c r="L127" s="2"/>
      <c r="M127" s="2"/>
      <c r="N127" s="2"/>
    </row>
    <row r="128" spans="1:14" ht="30" customHeight="1" x14ac:dyDescent="0.35">
      <c r="A128" t="s">
        <v>270</v>
      </c>
      <c r="B128" t="s">
        <v>271</v>
      </c>
      <c r="C128" t="s">
        <v>51</v>
      </c>
      <c r="D128" t="s">
        <v>50</v>
      </c>
      <c r="E128" s="2">
        <v>51712.84</v>
      </c>
      <c r="F128" s="2"/>
      <c r="G128" s="2"/>
      <c r="H128" s="8" t="str">
        <f t="shared" si="4"/>
        <v/>
      </c>
      <c r="I128" s="10" t="str">
        <f t="shared" si="5"/>
        <v/>
      </c>
      <c r="L128" s="2"/>
      <c r="M128" s="2"/>
      <c r="N128" s="2"/>
    </row>
    <row r="129" spans="1:14" ht="30" customHeight="1" x14ac:dyDescent="0.35">
      <c r="A129" t="s">
        <v>272</v>
      </c>
      <c r="B129" t="s">
        <v>273</v>
      </c>
      <c r="C129" t="s">
        <v>19</v>
      </c>
      <c r="D129" t="s">
        <v>18</v>
      </c>
      <c r="E129" s="2">
        <v>476285.86</v>
      </c>
      <c r="F129" s="2"/>
      <c r="G129" s="2"/>
      <c r="H129" s="8" t="str">
        <f t="shared" si="4"/>
        <v/>
      </c>
      <c r="I129" s="10" t="str">
        <f t="shared" si="5"/>
        <v/>
      </c>
      <c r="L129" s="2"/>
      <c r="M129" s="2"/>
      <c r="N129" s="2"/>
    </row>
    <row r="130" spans="1:14" ht="30" customHeight="1" x14ac:dyDescent="0.35">
      <c r="A130" t="s">
        <v>274</v>
      </c>
      <c r="B130" t="s">
        <v>275</v>
      </c>
      <c r="C130" t="s">
        <v>51</v>
      </c>
      <c r="D130" t="s">
        <v>50</v>
      </c>
      <c r="E130" s="2">
        <v>74780.03</v>
      </c>
      <c r="F130" s="2">
        <v>0</v>
      </c>
      <c r="G130" s="2">
        <v>1000</v>
      </c>
      <c r="H130" s="8">
        <f t="shared" si="4"/>
        <v>1000</v>
      </c>
      <c r="I130" s="10">
        <f t="shared" si="5"/>
        <v>74.780029999999996</v>
      </c>
      <c r="L130" s="2"/>
      <c r="M130" s="2"/>
      <c r="N130" s="2"/>
    </row>
    <row r="131" spans="1:14" ht="30" customHeight="1" x14ac:dyDescent="0.35">
      <c r="A131" t="s">
        <v>276</v>
      </c>
      <c r="B131" t="s">
        <v>277</v>
      </c>
      <c r="C131" t="s">
        <v>51</v>
      </c>
      <c r="D131" t="s">
        <v>50</v>
      </c>
      <c r="E131" s="2">
        <v>417.68</v>
      </c>
      <c r="F131" s="2">
        <v>0</v>
      </c>
      <c r="G131" s="2">
        <v>1000</v>
      </c>
      <c r="H131" s="8">
        <f t="shared" si="4"/>
        <v>1000</v>
      </c>
      <c r="I131" s="10">
        <f t="shared" si="5"/>
        <v>0.41768</v>
      </c>
      <c r="L131" s="2"/>
      <c r="M131" s="2"/>
      <c r="N131" s="2"/>
    </row>
    <row r="132" spans="1:14" ht="30" customHeight="1" x14ac:dyDescent="0.35">
      <c r="A132" t="s">
        <v>278</v>
      </c>
      <c r="B132" t="s">
        <v>279</v>
      </c>
      <c r="C132" t="s">
        <v>51</v>
      </c>
      <c r="D132" t="s">
        <v>50</v>
      </c>
      <c r="E132" s="2">
        <v>230048.86</v>
      </c>
      <c r="F132" s="2">
        <v>448.02</v>
      </c>
      <c r="G132" s="2">
        <v>551.98</v>
      </c>
      <c r="H132" s="8">
        <f t="shared" si="4"/>
        <v>1000</v>
      </c>
      <c r="I132" s="10">
        <f t="shared" si="5"/>
        <v>230.04885999999999</v>
      </c>
      <c r="L132" s="2"/>
      <c r="M132" s="2"/>
      <c r="N132" s="2"/>
    </row>
    <row r="133" spans="1:14" ht="30" customHeight="1" x14ac:dyDescent="0.35">
      <c r="A133" t="s">
        <v>280</v>
      </c>
      <c r="B133" t="s">
        <v>281</v>
      </c>
      <c r="C133" t="s">
        <v>19</v>
      </c>
      <c r="D133" t="s">
        <v>18</v>
      </c>
      <c r="E133" s="2">
        <v>90670.12</v>
      </c>
      <c r="F133" s="2"/>
      <c r="G133" s="2"/>
      <c r="H133" s="8" t="str">
        <f t="shared" si="4"/>
        <v/>
      </c>
      <c r="I133" s="10" t="str">
        <f t="shared" si="5"/>
        <v/>
      </c>
      <c r="L133" s="2"/>
      <c r="M133" s="2"/>
      <c r="N133" s="2"/>
    </row>
    <row r="134" spans="1:14" ht="30" customHeight="1" x14ac:dyDescent="0.35">
      <c r="A134" t="s">
        <v>282</v>
      </c>
      <c r="B134" t="s">
        <v>283</v>
      </c>
      <c r="C134" t="s">
        <v>19</v>
      </c>
      <c r="D134" t="s">
        <v>18</v>
      </c>
      <c r="E134" s="2">
        <v>18941.77</v>
      </c>
      <c r="F134" s="2"/>
      <c r="G134" s="2"/>
      <c r="H134" s="8" t="str">
        <f t="shared" si="4"/>
        <v/>
      </c>
      <c r="I134" s="10" t="str">
        <f t="shared" si="5"/>
        <v/>
      </c>
      <c r="L134" s="2"/>
      <c r="M134" s="2"/>
      <c r="N134" s="2"/>
    </row>
    <row r="135" spans="1:14" ht="30" customHeight="1" x14ac:dyDescent="0.35">
      <c r="A135" t="s">
        <v>284</v>
      </c>
      <c r="B135" t="s">
        <v>285</v>
      </c>
      <c r="C135" t="s">
        <v>77</v>
      </c>
      <c r="D135" t="s">
        <v>76</v>
      </c>
      <c r="E135" s="2">
        <v>9383.7800000000007</v>
      </c>
      <c r="F135" s="2">
        <v>0</v>
      </c>
      <c r="G135" s="2">
        <v>1000</v>
      </c>
      <c r="H135" s="8">
        <f t="shared" si="4"/>
        <v>1000</v>
      </c>
      <c r="I135" s="10">
        <f t="shared" si="5"/>
        <v>9.3837799999999998</v>
      </c>
      <c r="L135" s="2"/>
      <c r="M135" s="2"/>
      <c r="N135" s="2"/>
    </row>
    <row r="136" spans="1:14" ht="30" customHeight="1" x14ac:dyDescent="0.35">
      <c r="A136" t="s">
        <v>286</v>
      </c>
      <c r="B136" t="s">
        <v>287</v>
      </c>
      <c r="C136" t="s">
        <v>19</v>
      </c>
      <c r="D136" t="s">
        <v>18</v>
      </c>
      <c r="E136" s="2">
        <v>1798.64</v>
      </c>
      <c r="F136" s="2"/>
      <c r="G136" s="2"/>
      <c r="H136" s="8" t="str">
        <f t="shared" si="4"/>
        <v/>
      </c>
      <c r="I136" s="10" t="str">
        <f t="shared" si="5"/>
        <v/>
      </c>
      <c r="L136" s="2"/>
      <c r="M136" s="2"/>
      <c r="N136" s="2"/>
    </row>
    <row r="137" spans="1:14" ht="30" customHeight="1" x14ac:dyDescent="0.35">
      <c r="A137" t="s">
        <v>288</v>
      </c>
      <c r="B137" t="s">
        <v>289</v>
      </c>
      <c r="C137" t="s">
        <v>2259</v>
      </c>
      <c r="D137" t="s">
        <v>713</v>
      </c>
      <c r="E137" s="2">
        <v>6829.56</v>
      </c>
      <c r="F137" s="2"/>
      <c r="G137" s="2"/>
      <c r="H137" s="8" t="str">
        <f t="shared" si="4"/>
        <v/>
      </c>
      <c r="I137" s="10" t="str">
        <f t="shared" si="5"/>
        <v/>
      </c>
      <c r="L137" s="2"/>
      <c r="M137" s="2"/>
      <c r="N137" s="2"/>
    </row>
    <row r="138" spans="1:14" ht="30" customHeight="1" x14ac:dyDescent="0.35">
      <c r="A138" t="s">
        <v>290</v>
      </c>
      <c r="B138" t="s">
        <v>291</v>
      </c>
      <c r="C138" t="s">
        <v>2259</v>
      </c>
      <c r="D138" t="s">
        <v>713</v>
      </c>
      <c r="E138" s="2">
        <v>19839.59</v>
      </c>
      <c r="F138" s="2">
        <v>44404.81</v>
      </c>
      <c r="G138" s="2">
        <v>56095.19</v>
      </c>
      <c r="H138" s="8">
        <f t="shared" si="4"/>
        <v>100500</v>
      </c>
      <c r="I138" s="10">
        <f t="shared" si="5"/>
        <v>0.19740885572139302</v>
      </c>
      <c r="L138" s="2"/>
      <c r="M138" s="2"/>
      <c r="N138" s="2"/>
    </row>
    <row r="139" spans="1:14" ht="30" customHeight="1" x14ac:dyDescent="0.35">
      <c r="A139" t="s">
        <v>292</v>
      </c>
      <c r="B139" t="s">
        <v>293</v>
      </c>
      <c r="C139" t="s">
        <v>51</v>
      </c>
      <c r="D139" t="s">
        <v>50</v>
      </c>
      <c r="E139" s="2">
        <v>306804.53999999998</v>
      </c>
      <c r="F139" s="2"/>
      <c r="G139" s="2"/>
      <c r="H139" s="8" t="str">
        <f t="shared" si="4"/>
        <v/>
      </c>
      <c r="I139" s="10" t="str">
        <f t="shared" si="5"/>
        <v/>
      </c>
      <c r="L139" s="2"/>
      <c r="M139" s="2"/>
      <c r="N139" s="2"/>
    </row>
    <row r="140" spans="1:14" ht="30" customHeight="1" x14ac:dyDescent="0.35">
      <c r="A140" t="s">
        <v>294</v>
      </c>
      <c r="B140" t="s">
        <v>295</v>
      </c>
      <c r="C140" t="s">
        <v>19</v>
      </c>
      <c r="D140" t="s">
        <v>18</v>
      </c>
      <c r="E140" s="2">
        <v>9363</v>
      </c>
      <c r="F140" s="2"/>
      <c r="G140" s="2"/>
      <c r="H140" s="8" t="str">
        <f t="shared" si="4"/>
        <v/>
      </c>
      <c r="I140" s="10" t="str">
        <f t="shared" si="5"/>
        <v/>
      </c>
      <c r="L140" s="2"/>
      <c r="M140" s="2"/>
      <c r="N140" s="2"/>
    </row>
    <row r="141" spans="1:14" ht="30" customHeight="1" x14ac:dyDescent="0.35">
      <c r="A141" t="s">
        <v>296</v>
      </c>
      <c r="B141" t="s">
        <v>297</v>
      </c>
      <c r="C141" t="s">
        <v>51</v>
      </c>
      <c r="D141" t="s">
        <v>50</v>
      </c>
      <c r="E141" s="2">
        <v>62249.99</v>
      </c>
      <c r="F141" s="2"/>
      <c r="G141" s="2"/>
      <c r="H141" s="8" t="str">
        <f t="shared" si="4"/>
        <v/>
      </c>
      <c r="I141" s="10" t="str">
        <f t="shared" si="5"/>
        <v/>
      </c>
      <c r="L141" s="2"/>
      <c r="M141" s="2"/>
      <c r="N141" s="2"/>
    </row>
    <row r="142" spans="1:14" ht="30" customHeight="1" x14ac:dyDescent="0.35">
      <c r="A142" t="s">
        <v>298</v>
      </c>
      <c r="B142" t="s">
        <v>299</v>
      </c>
      <c r="C142" t="s">
        <v>19</v>
      </c>
      <c r="D142" t="s">
        <v>18</v>
      </c>
      <c r="E142" s="2">
        <v>20247.36</v>
      </c>
      <c r="F142" s="2"/>
      <c r="G142" s="2"/>
      <c r="H142" s="8" t="str">
        <f t="shared" si="4"/>
        <v/>
      </c>
      <c r="I142" s="10" t="str">
        <f t="shared" si="5"/>
        <v/>
      </c>
      <c r="L142" s="2"/>
      <c r="M142" s="2"/>
      <c r="N142" s="2"/>
    </row>
    <row r="143" spans="1:14" ht="30" customHeight="1" x14ac:dyDescent="0.35">
      <c r="A143" t="s">
        <v>300</v>
      </c>
      <c r="B143" t="s">
        <v>301</v>
      </c>
      <c r="C143" t="s">
        <v>2224</v>
      </c>
      <c r="D143" t="s">
        <v>1673</v>
      </c>
      <c r="E143" s="2">
        <v>4318.1499999999996</v>
      </c>
      <c r="F143" s="2">
        <v>635574.31000000006</v>
      </c>
      <c r="G143" s="2">
        <v>40045.300000000003</v>
      </c>
      <c r="H143" s="8">
        <f t="shared" si="4"/>
        <v>675619.6100000001</v>
      </c>
      <c r="I143" s="10">
        <f t="shared" si="5"/>
        <v>6.3913923398404597E-3</v>
      </c>
      <c r="L143" s="2"/>
      <c r="M143" s="2"/>
      <c r="N143" s="2"/>
    </row>
    <row r="144" spans="1:14" ht="30" customHeight="1" x14ac:dyDescent="0.35">
      <c r="A144" t="s">
        <v>302</v>
      </c>
      <c r="B144" t="s">
        <v>303</v>
      </c>
      <c r="C144" t="s">
        <v>77</v>
      </c>
      <c r="D144" t="s">
        <v>76</v>
      </c>
      <c r="E144" s="2">
        <v>101120.57</v>
      </c>
      <c r="F144" s="2"/>
      <c r="G144" s="2"/>
      <c r="H144" s="8" t="str">
        <f t="shared" si="4"/>
        <v/>
      </c>
      <c r="I144" s="10" t="str">
        <f t="shared" si="5"/>
        <v/>
      </c>
      <c r="L144" s="2"/>
      <c r="M144" s="2"/>
      <c r="N144" s="2"/>
    </row>
    <row r="145" spans="1:14" ht="30" customHeight="1" x14ac:dyDescent="0.35">
      <c r="A145" t="s">
        <v>304</v>
      </c>
      <c r="B145" t="s">
        <v>305</v>
      </c>
      <c r="C145" t="s">
        <v>51</v>
      </c>
      <c r="D145" t="s">
        <v>50</v>
      </c>
      <c r="E145" s="2">
        <v>159017.82</v>
      </c>
      <c r="F145" s="2"/>
      <c r="G145" s="2"/>
      <c r="H145" s="8" t="str">
        <f t="shared" si="4"/>
        <v/>
      </c>
      <c r="I145" s="10" t="str">
        <f t="shared" si="5"/>
        <v/>
      </c>
      <c r="L145" s="2"/>
      <c r="M145" s="2"/>
      <c r="N145" s="2"/>
    </row>
    <row r="146" spans="1:14" ht="30" customHeight="1" x14ac:dyDescent="0.35">
      <c r="A146" t="s">
        <v>306</v>
      </c>
      <c r="B146" t="s">
        <v>307</v>
      </c>
      <c r="C146" t="s">
        <v>2263</v>
      </c>
      <c r="D146" t="s">
        <v>1233</v>
      </c>
      <c r="E146" s="2">
        <v>236368.71</v>
      </c>
      <c r="F146" s="2"/>
      <c r="G146" s="2"/>
      <c r="H146" s="8" t="str">
        <f t="shared" si="4"/>
        <v/>
      </c>
      <c r="I146" s="10" t="str">
        <f t="shared" si="5"/>
        <v/>
      </c>
      <c r="L146" s="2"/>
      <c r="M146" s="2"/>
      <c r="N146" s="2"/>
    </row>
    <row r="147" spans="1:14" ht="30" customHeight="1" x14ac:dyDescent="0.35">
      <c r="A147" t="s">
        <v>308</v>
      </c>
      <c r="B147" t="s">
        <v>309</v>
      </c>
      <c r="C147" t="s">
        <v>19</v>
      </c>
      <c r="D147" t="s">
        <v>18</v>
      </c>
      <c r="E147" s="2">
        <v>273448.61</v>
      </c>
      <c r="F147" s="2"/>
      <c r="G147" s="2"/>
      <c r="H147" s="8" t="str">
        <f t="shared" si="4"/>
        <v/>
      </c>
      <c r="I147" s="10" t="str">
        <f t="shared" si="5"/>
        <v/>
      </c>
      <c r="L147" s="2"/>
      <c r="M147" s="2"/>
      <c r="N147" s="2"/>
    </row>
    <row r="148" spans="1:14" ht="30" customHeight="1" x14ac:dyDescent="0.35">
      <c r="A148" t="s">
        <v>310</v>
      </c>
      <c r="B148" t="s">
        <v>311</v>
      </c>
      <c r="C148" t="s">
        <v>313</v>
      </c>
      <c r="D148" t="s">
        <v>312</v>
      </c>
      <c r="E148" s="2">
        <v>58721.94</v>
      </c>
      <c r="F148" s="2"/>
      <c r="G148" s="2"/>
      <c r="H148" s="8" t="str">
        <f t="shared" si="4"/>
        <v/>
      </c>
      <c r="I148" s="10" t="str">
        <f t="shared" si="5"/>
        <v/>
      </c>
      <c r="L148" s="2"/>
      <c r="M148" s="2"/>
      <c r="N148" s="2"/>
    </row>
    <row r="149" spans="1:14" ht="30" customHeight="1" x14ac:dyDescent="0.35">
      <c r="A149" t="s">
        <v>314</v>
      </c>
      <c r="B149" t="s">
        <v>315</v>
      </c>
      <c r="C149" t="s">
        <v>2225</v>
      </c>
      <c r="D149" t="s">
        <v>308</v>
      </c>
      <c r="E149" s="2">
        <v>47281.69</v>
      </c>
      <c r="F149" s="2"/>
      <c r="G149" s="2"/>
      <c r="H149" s="8" t="str">
        <f t="shared" si="4"/>
        <v/>
      </c>
      <c r="I149" s="10" t="str">
        <f t="shared" si="5"/>
        <v/>
      </c>
      <c r="L149" s="2"/>
      <c r="M149" s="2"/>
      <c r="N149" s="2"/>
    </row>
    <row r="150" spans="1:14" ht="30" customHeight="1" x14ac:dyDescent="0.35">
      <c r="A150" t="s">
        <v>316</v>
      </c>
      <c r="B150" t="s">
        <v>317</v>
      </c>
      <c r="C150" t="s">
        <v>2225</v>
      </c>
      <c r="D150" t="s">
        <v>308</v>
      </c>
      <c r="E150" s="2">
        <v>39561.4</v>
      </c>
      <c r="F150" s="2"/>
      <c r="G150" s="2"/>
      <c r="H150" s="8" t="str">
        <f t="shared" si="4"/>
        <v/>
      </c>
      <c r="I150" s="10" t="str">
        <f t="shared" si="5"/>
        <v/>
      </c>
      <c r="L150" s="2"/>
      <c r="M150" s="2"/>
      <c r="N150" s="2"/>
    </row>
    <row r="151" spans="1:14" ht="30" customHeight="1" x14ac:dyDescent="0.35">
      <c r="A151" t="s">
        <v>318</v>
      </c>
      <c r="B151" t="s">
        <v>319</v>
      </c>
      <c r="C151" t="s">
        <v>77</v>
      </c>
      <c r="D151" t="s">
        <v>76</v>
      </c>
      <c r="E151" s="2">
        <v>340868.71</v>
      </c>
      <c r="F151" s="2"/>
      <c r="G151" s="2"/>
      <c r="H151" s="8" t="str">
        <f t="shared" si="4"/>
        <v/>
      </c>
      <c r="I151" s="10" t="str">
        <f t="shared" si="5"/>
        <v/>
      </c>
      <c r="L151" s="2"/>
      <c r="M151" s="2"/>
      <c r="N151" s="2"/>
    </row>
    <row r="152" spans="1:14" ht="30" customHeight="1" x14ac:dyDescent="0.35">
      <c r="A152" t="s">
        <v>320</v>
      </c>
      <c r="B152" t="s">
        <v>321</v>
      </c>
      <c r="C152" t="s">
        <v>2259</v>
      </c>
      <c r="D152" t="s">
        <v>713</v>
      </c>
      <c r="E152" s="2">
        <v>160063.07999999999</v>
      </c>
      <c r="F152" s="2"/>
      <c r="G152" s="2"/>
      <c r="H152" s="8" t="str">
        <f t="shared" si="4"/>
        <v/>
      </c>
      <c r="I152" s="10" t="str">
        <f t="shared" si="5"/>
        <v/>
      </c>
      <c r="L152" s="2"/>
      <c r="M152" s="2"/>
      <c r="N152" s="2"/>
    </row>
    <row r="153" spans="1:14" ht="30" customHeight="1" x14ac:dyDescent="0.35">
      <c r="A153" t="s">
        <v>322</v>
      </c>
      <c r="B153" t="s">
        <v>323</v>
      </c>
      <c r="C153" t="s">
        <v>19</v>
      </c>
      <c r="D153" t="s">
        <v>18</v>
      </c>
      <c r="E153" s="2">
        <v>16715.52</v>
      </c>
      <c r="F153" s="2"/>
      <c r="G153" s="2"/>
      <c r="H153" s="8" t="str">
        <f t="shared" si="4"/>
        <v/>
      </c>
      <c r="I153" s="10" t="str">
        <f t="shared" si="5"/>
        <v/>
      </c>
      <c r="L153" s="2"/>
      <c r="M153" s="2"/>
      <c r="N153" s="2"/>
    </row>
    <row r="154" spans="1:14" ht="30" customHeight="1" x14ac:dyDescent="0.35">
      <c r="A154" t="s">
        <v>324</v>
      </c>
      <c r="B154" t="s">
        <v>325</v>
      </c>
      <c r="C154" t="s">
        <v>77</v>
      </c>
      <c r="D154" t="s">
        <v>76</v>
      </c>
      <c r="E154" s="2">
        <v>90628.08</v>
      </c>
      <c r="F154" s="2"/>
      <c r="G154" s="2"/>
      <c r="H154" s="8" t="str">
        <f t="shared" si="4"/>
        <v/>
      </c>
      <c r="I154" s="10" t="str">
        <f t="shared" si="5"/>
        <v/>
      </c>
      <c r="L154" s="2"/>
      <c r="M154" s="2"/>
      <c r="N154" s="2"/>
    </row>
    <row r="155" spans="1:14" ht="30" customHeight="1" x14ac:dyDescent="0.35">
      <c r="A155" t="s">
        <v>326</v>
      </c>
      <c r="B155" t="s">
        <v>327</v>
      </c>
      <c r="C155" t="s">
        <v>2224</v>
      </c>
      <c r="D155" t="s">
        <v>1673</v>
      </c>
      <c r="E155" s="2">
        <v>2957686.51</v>
      </c>
      <c r="F155" s="2"/>
      <c r="G155" s="2"/>
      <c r="H155" s="8" t="str">
        <f t="shared" si="4"/>
        <v/>
      </c>
      <c r="I155" s="10" t="str">
        <f t="shared" si="5"/>
        <v/>
      </c>
      <c r="L155" s="2"/>
      <c r="M155" s="2"/>
      <c r="N155" s="2"/>
    </row>
    <row r="156" spans="1:14" ht="30" customHeight="1" x14ac:dyDescent="0.35">
      <c r="A156" t="s">
        <v>328</v>
      </c>
      <c r="B156" t="s">
        <v>329</v>
      </c>
      <c r="C156" t="s">
        <v>29</v>
      </c>
      <c r="D156" t="s">
        <v>28</v>
      </c>
      <c r="E156" s="2">
        <v>237111.14</v>
      </c>
      <c r="F156" s="2"/>
      <c r="G156" s="2"/>
      <c r="H156" s="8" t="str">
        <f t="shared" si="4"/>
        <v/>
      </c>
      <c r="I156" s="10" t="str">
        <f t="shared" si="5"/>
        <v/>
      </c>
      <c r="L156" s="2"/>
      <c r="M156" s="2"/>
      <c r="N156" s="2"/>
    </row>
    <row r="157" spans="1:14" ht="30" customHeight="1" x14ac:dyDescent="0.35">
      <c r="A157" t="s">
        <v>2274</v>
      </c>
      <c r="B157" t="s">
        <v>2275</v>
      </c>
      <c r="C157" t="s">
        <v>51</v>
      </c>
      <c r="D157" t="s">
        <v>50</v>
      </c>
      <c r="E157" s="2">
        <v>158760.60999999999</v>
      </c>
      <c r="F157" s="2"/>
      <c r="G157" s="2"/>
      <c r="H157" s="8" t="str">
        <f t="shared" si="4"/>
        <v/>
      </c>
      <c r="I157" s="10" t="str">
        <f t="shared" si="5"/>
        <v/>
      </c>
      <c r="L157" s="2"/>
      <c r="M157" s="2"/>
      <c r="N157" s="2"/>
    </row>
    <row r="158" spans="1:14" ht="30" customHeight="1" x14ac:dyDescent="0.35">
      <c r="A158" t="s">
        <v>330</v>
      </c>
      <c r="B158" t="s">
        <v>331</v>
      </c>
      <c r="C158" t="s">
        <v>29</v>
      </c>
      <c r="D158" t="s">
        <v>28</v>
      </c>
      <c r="E158" s="2">
        <v>206834</v>
      </c>
      <c r="F158" s="2"/>
      <c r="G158" s="2"/>
      <c r="H158" s="8" t="str">
        <f t="shared" si="4"/>
        <v/>
      </c>
      <c r="I158" s="10" t="str">
        <f t="shared" si="5"/>
        <v/>
      </c>
      <c r="L158" s="2"/>
      <c r="M158" s="2"/>
      <c r="N158" s="2"/>
    </row>
    <row r="159" spans="1:14" ht="30" customHeight="1" x14ac:dyDescent="0.35">
      <c r="A159" t="s">
        <v>332</v>
      </c>
      <c r="B159" t="s">
        <v>333</v>
      </c>
      <c r="C159" t="s">
        <v>29</v>
      </c>
      <c r="D159" t="s">
        <v>28</v>
      </c>
      <c r="E159" s="2">
        <v>52786.1</v>
      </c>
      <c r="F159" s="2"/>
      <c r="G159" s="2"/>
      <c r="H159" s="8" t="str">
        <f t="shared" si="4"/>
        <v/>
      </c>
      <c r="I159" s="10" t="str">
        <f t="shared" si="5"/>
        <v/>
      </c>
      <c r="L159" s="2"/>
      <c r="M159" s="2"/>
      <c r="N159" s="2"/>
    </row>
    <row r="160" spans="1:14" ht="30" customHeight="1" x14ac:dyDescent="0.35">
      <c r="A160" t="s">
        <v>334</v>
      </c>
      <c r="B160" t="s">
        <v>335</v>
      </c>
      <c r="C160" t="s">
        <v>33</v>
      </c>
      <c r="D160" t="s">
        <v>32</v>
      </c>
      <c r="E160" s="2">
        <v>107651.46</v>
      </c>
      <c r="F160" s="2"/>
      <c r="G160" s="2"/>
      <c r="H160" s="8" t="str">
        <f t="shared" si="4"/>
        <v/>
      </c>
      <c r="I160" s="10" t="str">
        <f t="shared" si="5"/>
        <v/>
      </c>
      <c r="L160" s="2"/>
      <c r="M160" s="2"/>
      <c r="N160" s="2"/>
    </row>
    <row r="161" spans="1:14" ht="30" customHeight="1" x14ac:dyDescent="0.35">
      <c r="A161" t="s">
        <v>2276</v>
      </c>
      <c r="B161" t="s">
        <v>2277</v>
      </c>
      <c r="C161" t="s">
        <v>385</v>
      </c>
      <c r="D161" t="s">
        <v>384</v>
      </c>
      <c r="E161" s="2">
        <v>5373.91</v>
      </c>
      <c r="F161" s="2"/>
      <c r="G161" s="2"/>
      <c r="H161" s="8" t="str">
        <f t="shared" si="4"/>
        <v/>
      </c>
      <c r="I161" s="10" t="str">
        <f t="shared" si="5"/>
        <v/>
      </c>
      <c r="L161" s="2"/>
      <c r="M161" s="2"/>
      <c r="N161" s="2"/>
    </row>
    <row r="162" spans="1:14" ht="30" customHeight="1" x14ac:dyDescent="0.35">
      <c r="A162" t="s">
        <v>336</v>
      </c>
      <c r="B162" t="s">
        <v>337</v>
      </c>
      <c r="C162" t="s">
        <v>29</v>
      </c>
      <c r="D162" t="s">
        <v>28</v>
      </c>
      <c r="E162" s="2">
        <v>192210.99</v>
      </c>
      <c r="F162" s="2"/>
      <c r="G162" s="2"/>
      <c r="H162" s="8" t="str">
        <f t="shared" si="4"/>
        <v/>
      </c>
      <c r="I162" s="10" t="str">
        <f t="shared" si="5"/>
        <v/>
      </c>
      <c r="L162" s="2"/>
      <c r="M162" s="2"/>
      <c r="N162" s="2"/>
    </row>
    <row r="163" spans="1:14" ht="30" customHeight="1" x14ac:dyDescent="0.35">
      <c r="A163" t="s">
        <v>338</v>
      </c>
      <c r="B163" t="s">
        <v>339</v>
      </c>
      <c r="C163" t="s">
        <v>2238</v>
      </c>
      <c r="D163" t="s">
        <v>2239</v>
      </c>
      <c r="E163" s="2">
        <v>103964.85</v>
      </c>
      <c r="F163" s="2"/>
      <c r="G163" s="2"/>
      <c r="H163" s="8" t="str">
        <f t="shared" si="4"/>
        <v/>
      </c>
      <c r="I163" s="10" t="str">
        <f t="shared" si="5"/>
        <v/>
      </c>
      <c r="L163" s="2"/>
      <c r="M163" s="2"/>
      <c r="N163" s="2"/>
    </row>
    <row r="164" spans="1:14" ht="30" customHeight="1" x14ac:dyDescent="0.35">
      <c r="A164" t="s">
        <v>340</v>
      </c>
      <c r="B164" t="s">
        <v>341</v>
      </c>
      <c r="C164" t="s">
        <v>51</v>
      </c>
      <c r="D164" t="s">
        <v>50</v>
      </c>
      <c r="E164" s="2">
        <v>139131.73000000001</v>
      </c>
      <c r="F164" s="2"/>
      <c r="G164" s="2"/>
      <c r="H164" s="8" t="str">
        <f t="shared" si="4"/>
        <v/>
      </c>
      <c r="I164" s="10" t="str">
        <f t="shared" si="5"/>
        <v/>
      </c>
      <c r="L164" s="2"/>
      <c r="M164" s="2"/>
      <c r="N164" s="2"/>
    </row>
    <row r="165" spans="1:14" ht="30" customHeight="1" x14ac:dyDescent="0.35">
      <c r="A165" t="s">
        <v>342</v>
      </c>
      <c r="B165" t="s">
        <v>343</v>
      </c>
      <c r="C165" t="s">
        <v>51</v>
      </c>
      <c r="D165" t="s">
        <v>50</v>
      </c>
      <c r="E165" s="2">
        <v>79093.84</v>
      </c>
      <c r="F165" s="2"/>
      <c r="G165" s="2"/>
      <c r="H165" s="8" t="str">
        <f t="shared" si="4"/>
        <v/>
      </c>
      <c r="I165" s="10" t="str">
        <f t="shared" si="5"/>
        <v/>
      </c>
      <c r="L165" s="2"/>
      <c r="M165" s="2"/>
      <c r="N165" s="2"/>
    </row>
    <row r="166" spans="1:14" ht="30" customHeight="1" x14ac:dyDescent="0.35">
      <c r="A166" t="s">
        <v>344</v>
      </c>
      <c r="B166" t="s">
        <v>345</v>
      </c>
      <c r="C166" t="s">
        <v>51</v>
      </c>
      <c r="D166" t="s">
        <v>50</v>
      </c>
      <c r="E166" s="2">
        <v>51729.06</v>
      </c>
      <c r="F166" s="2"/>
      <c r="G166" s="2"/>
      <c r="H166" s="8" t="str">
        <f t="shared" si="4"/>
        <v/>
      </c>
      <c r="I166" s="10" t="str">
        <f t="shared" si="5"/>
        <v/>
      </c>
      <c r="L166" s="2"/>
      <c r="M166" s="2"/>
      <c r="N166" s="2"/>
    </row>
    <row r="167" spans="1:14" ht="30" customHeight="1" x14ac:dyDescent="0.35">
      <c r="A167" t="s">
        <v>2278</v>
      </c>
      <c r="B167" t="s">
        <v>2279</v>
      </c>
      <c r="C167" t="s">
        <v>385</v>
      </c>
      <c r="D167" t="s">
        <v>384</v>
      </c>
      <c r="E167" s="2">
        <v>44890</v>
      </c>
      <c r="F167" s="2"/>
      <c r="G167" s="2"/>
      <c r="H167" s="8" t="str">
        <f t="shared" si="4"/>
        <v/>
      </c>
      <c r="I167" s="10" t="str">
        <f t="shared" si="5"/>
        <v/>
      </c>
      <c r="L167" s="2"/>
      <c r="M167" s="2"/>
      <c r="N167" s="2"/>
    </row>
    <row r="168" spans="1:14" ht="30" customHeight="1" x14ac:dyDescent="0.35">
      <c r="A168" t="s">
        <v>346</v>
      </c>
      <c r="B168" t="s">
        <v>347</v>
      </c>
      <c r="C168" t="s">
        <v>2238</v>
      </c>
      <c r="D168" t="s">
        <v>2239</v>
      </c>
      <c r="E168" s="2">
        <v>46676.03</v>
      </c>
      <c r="F168" s="2"/>
      <c r="G168" s="2"/>
      <c r="H168" s="8" t="str">
        <f t="shared" si="4"/>
        <v/>
      </c>
      <c r="I168" s="10" t="str">
        <f t="shared" si="5"/>
        <v/>
      </c>
      <c r="L168" s="2"/>
      <c r="M168" s="2"/>
      <c r="N168" s="2"/>
    </row>
    <row r="169" spans="1:14" ht="30" customHeight="1" x14ac:dyDescent="0.35">
      <c r="A169" t="s">
        <v>348</v>
      </c>
      <c r="B169" t="s">
        <v>349</v>
      </c>
      <c r="C169" t="s">
        <v>2225</v>
      </c>
      <c r="D169" t="s">
        <v>308</v>
      </c>
      <c r="E169" s="2">
        <v>519061.61</v>
      </c>
      <c r="F169" s="2"/>
      <c r="G169" s="2"/>
      <c r="H169" s="8" t="str">
        <f t="shared" si="4"/>
        <v/>
      </c>
      <c r="I169" s="10" t="str">
        <f t="shared" si="5"/>
        <v/>
      </c>
      <c r="L169" s="2"/>
      <c r="M169" s="2"/>
      <c r="N169" s="2"/>
    </row>
    <row r="170" spans="1:14" ht="30" customHeight="1" x14ac:dyDescent="0.35">
      <c r="A170" t="s">
        <v>350</v>
      </c>
      <c r="B170" t="s">
        <v>351</v>
      </c>
      <c r="C170" t="s">
        <v>51</v>
      </c>
      <c r="D170" t="s">
        <v>50</v>
      </c>
      <c r="E170" s="2">
        <v>36883.870000000003</v>
      </c>
      <c r="F170" s="2"/>
      <c r="G170" s="2"/>
      <c r="H170" s="8" t="str">
        <f t="shared" si="4"/>
        <v/>
      </c>
      <c r="I170" s="10" t="str">
        <f t="shared" si="5"/>
        <v/>
      </c>
      <c r="L170" s="2"/>
      <c r="M170" s="2"/>
      <c r="N170" s="2"/>
    </row>
    <row r="171" spans="1:14" ht="30" customHeight="1" x14ac:dyDescent="0.35">
      <c r="A171" t="s">
        <v>352</v>
      </c>
      <c r="B171" t="s">
        <v>353</v>
      </c>
      <c r="C171" t="s">
        <v>77</v>
      </c>
      <c r="D171" t="s">
        <v>76</v>
      </c>
      <c r="E171" s="2">
        <v>29411.279999999999</v>
      </c>
      <c r="F171" s="2"/>
      <c r="G171" s="2"/>
      <c r="H171" s="8" t="str">
        <f t="shared" si="4"/>
        <v/>
      </c>
      <c r="I171" s="10" t="str">
        <f t="shared" si="5"/>
        <v/>
      </c>
      <c r="L171" s="2"/>
      <c r="M171" s="2"/>
      <c r="N171" s="2"/>
    </row>
    <row r="172" spans="1:14" ht="30" customHeight="1" x14ac:dyDescent="0.35">
      <c r="A172" t="s">
        <v>354</v>
      </c>
      <c r="B172" t="s">
        <v>355</v>
      </c>
      <c r="C172" t="s">
        <v>33</v>
      </c>
      <c r="D172" t="s">
        <v>32</v>
      </c>
      <c r="E172" s="2">
        <v>3554.32</v>
      </c>
      <c r="F172" s="2"/>
      <c r="G172" s="2"/>
      <c r="H172" s="8" t="str">
        <f t="shared" si="4"/>
        <v/>
      </c>
      <c r="I172" s="10" t="str">
        <f t="shared" si="5"/>
        <v/>
      </c>
      <c r="L172" s="2"/>
      <c r="M172" s="2"/>
      <c r="N172" s="2"/>
    </row>
    <row r="173" spans="1:14" ht="30" customHeight="1" x14ac:dyDescent="0.35">
      <c r="A173" t="s">
        <v>356</v>
      </c>
      <c r="B173" t="s">
        <v>357</v>
      </c>
      <c r="C173" t="s">
        <v>2266</v>
      </c>
      <c r="D173" t="s">
        <v>1560</v>
      </c>
      <c r="E173" s="2">
        <v>366.36</v>
      </c>
      <c r="F173" s="2">
        <v>585128.1</v>
      </c>
      <c r="G173" s="2"/>
      <c r="H173" s="8">
        <f t="shared" si="4"/>
        <v>585128.1</v>
      </c>
      <c r="I173" s="10">
        <f t="shared" si="5"/>
        <v>6.2611930618269743E-4</v>
      </c>
      <c r="L173" s="2"/>
      <c r="M173" s="2"/>
      <c r="N173" s="2"/>
    </row>
    <row r="174" spans="1:14" ht="30" customHeight="1" x14ac:dyDescent="0.35">
      <c r="A174" t="s">
        <v>2280</v>
      </c>
      <c r="B174" t="s">
        <v>2281</v>
      </c>
      <c r="C174" t="s">
        <v>385</v>
      </c>
      <c r="D174" t="s">
        <v>384</v>
      </c>
      <c r="E174" s="2">
        <v>12869.1</v>
      </c>
      <c r="F174" s="2"/>
      <c r="G174" s="2"/>
      <c r="H174" s="8" t="str">
        <f t="shared" si="4"/>
        <v/>
      </c>
      <c r="I174" s="10" t="str">
        <f t="shared" si="5"/>
        <v/>
      </c>
      <c r="L174" s="2"/>
      <c r="M174" s="2"/>
      <c r="N174" s="2"/>
    </row>
    <row r="175" spans="1:14" ht="30" customHeight="1" x14ac:dyDescent="0.35">
      <c r="A175" t="s">
        <v>2282</v>
      </c>
      <c r="B175" t="s">
        <v>2283</v>
      </c>
      <c r="C175" t="s">
        <v>385</v>
      </c>
      <c r="D175" t="s">
        <v>384</v>
      </c>
      <c r="E175" s="2">
        <v>3181.62</v>
      </c>
      <c r="F175" s="2"/>
      <c r="G175" s="2"/>
      <c r="H175" s="8" t="str">
        <f t="shared" si="4"/>
        <v/>
      </c>
      <c r="I175" s="10" t="str">
        <f t="shared" si="5"/>
        <v/>
      </c>
      <c r="L175" s="2"/>
      <c r="M175" s="2"/>
      <c r="N175" s="2"/>
    </row>
    <row r="176" spans="1:14" ht="30" customHeight="1" x14ac:dyDescent="0.35">
      <c r="A176" t="s">
        <v>358</v>
      </c>
      <c r="B176" t="s">
        <v>359</v>
      </c>
      <c r="C176" t="s">
        <v>77</v>
      </c>
      <c r="D176" t="s">
        <v>76</v>
      </c>
      <c r="E176" s="2">
        <v>189115.66</v>
      </c>
      <c r="F176" s="2">
        <v>30422.240000000002</v>
      </c>
      <c r="G176" s="2">
        <v>400000</v>
      </c>
      <c r="H176" s="8">
        <f t="shared" si="4"/>
        <v>430422.24</v>
      </c>
      <c r="I176" s="10">
        <f t="shared" si="5"/>
        <v>0.43937241718736469</v>
      </c>
      <c r="L176" s="2"/>
      <c r="M176" s="2"/>
      <c r="N176" s="2"/>
    </row>
    <row r="177" spans="1:14" ht="30" customHeight="1" x14ac:dyDescent="0.35">
      <c r="A177" t="s">
        <v>360</v>
      </c>
      <c r="B177" t="s">
        <v>361</v>
      </c>
      <c r="C177" t="s">
        <v>2238</v>
      </c>
      <c r="D177" t="s">
        <v>2239</v>
      </c>
      <c r="E177" s="2">
        <v>30185.57</v>
      </c>
      <c r="F177" s="2"/>
      <c r="G177" s="2"/>
      <c r="H177" s="8" t="str">
        <f t="shared" si="4"/>
        <v/>
      </c>
      <c r="I177" s="10" t="str">
        <f t="shared" si="5"/>
        <v/>
      </c>
      <c r="L177" s="2"/>
      <c r="M177" s="2"/>
      <c r="N177" s="2"/>
    </row>
    <row r="178" spans="1:14" ht="30" customHeight="1" x14ac:dyDescent="0.35">
      <c r="A178" t="s">
        <v>362</v>
      </c>
      <c r="B178" t="s">
        <v>363</v>
      </c>
      <c r="C178" t="s">
        <v>2238</v>
      </c>
      <c r="D178" t="s">
        <v>2239</v>
      </c>
      <c r="E178" s="2">
        <v>11151.44</v>
      </c>
      <c r="F178" s="2"/>
      <c r="G178" s="2"/>
      <c r="H178" s="8" t="str">
        <f t="shared" si="4"/>
        <v/>
      </c>
      <c r="I178" s="10" t="str">
        <f t="shared" si="5"/>
        <v/>
      </c>
      <c r="L178" s="2"/>
      <c r="M178" s="2"/>
      <c r="N178" s="2"/>
    </row>
    <row r="179" spans="1:14" ht="30" customHeight="1" x14ac:dyDescent="0.35">
      <c r="A179" t="s">
        <v>364</v>
      </c>
      <c r="B179" t="s">
        <v>365</v>
      </c>
      <c r="C179" t="s">
        <v>29</v>
      </c>
      <c r="D179" t="s">
        <v>28</v>
      </c>
      <c r="E179" s="2">
        <v>5170.99</v>
      </c>
      <c r="F179" s="2"/>
      <c r="G179" s="2"/>
      <c r="H179" s="8" t="str">
        <f t="shared" si="4"/>
        <v/>
      </c>
      <c r="I179" s="10" t="str">
        <f t="shared" si="5"/>
        <v/>
      </c>
      <c r="L179" s="2"/>
      <c r="M179" s="2"/>
      <c r="N179" s="2"/>
    </row>
    <row r="180" spans="1:14" ht="30" customHeight="1" x14ac:dyDescent="0.35">
      <c r="A180" t="s">
        <v>366</v>
      </c>
      <c r="B180" t="s">
        <v>367</v>
      </c>
      <c r="C180" t="s">
        <v>51</v>
      </c>
      <c r="D180" t="s">
        <v>50</v>
      </c>
      <c r="E180" s="2">
        <v>83</v>
      </c>
      <c r="F180" s="2"/>
      <c r="G180" s="2"/>
      <c r="H180" s="8" t="str">
        <f t="shared" si="4"/>
        <v/>
      </c>
      <c r="I180" s="10" t="str">
        <f t="shared" si="5"/>
        <v/>
      </c>
      <c r="L180" s="2"/>
      <c r="M180" s="2"/>
      <c r="N180" s="2"/>
    </row>
    <row r="181" spans="1:14" ht="30" customHeight="1" x14ac:dyDescent="0.35">
      <c r="A181" t="s">
        <v>368</v>
      </c>
      <c r="B181" t="s">
        <v>369</v>
      </c>
      <c r="C181" t="s">
        <v>2238</v>
      </c>
      <c r="D181" t="s">
        <v>2239</v>
      </c>
      <c r="E181" s="2">
        <v>355379.72</v>
      </c>
      <c r="F181" s="2"/>
      <c r="G181" s="2"/>
      <c r="H181" s="8" t="str">
        <f t="shared" si="4"/>
        <v/>
      </c>
      <c r="I181" s="10" t="str">
        <f t="shared" si="5"/>
        <v/>
      </c>
      <c r="L181" s="2"/>
      <c r="M181" s="2"/>
      <c r="N181" s="2"/>
    </row>
    <row r="182" spans="1:14" ht="30" customHeight="1" x14ac:dyDescent="0.35">
      <c r="A182" t="s">
        <v>370</v>
      </c>
      <c r="B182" t="s">
        <v>371</v>
      </c>
      <c r="C182" t="s">
        <v>33</v>
      </c>
      <c r="D182" t="s">
        <v>32</v>
      </c>
      <c r="E182" s="2">
        <v>14655.09</v>
      </c>
      <c r="F182" s="2">
        <v>890.28</v>
      </c>
      <c r="G182" s="2">
        <v>46109.72</v>
      </c>
      <c r="H182" s="8">
        <f t="shared" si="4"/>
        <v>47000</v>
      </c>
      <c r="I182" s="10">
        <f t="shared" si="5"/>
        <v>0.3118104255319149</v>
      </c>
      <c r="L182" s="2"/>
      <c r="M182" s="2"/>
      <c r="N182" s="2"/>
    </row>
    <row r="183" spans="1:14" ht="30" customHeight="1" x14ac:dyDescent="0.35">
      <c r="A183" t="s">
        <v>2284</v>
      </c>
      <c r="B183" t="s">
        <v>2285</v>
      </c>
      <c r="C183" t="s">
        <v>385</v>
      </c>
      <c r="D183" t="s">
        <v>384</v>
      </c>
      <c r="E183" s="2">
        <v>1216.95</v>
      </c>
      <c r="F183" s="2"/>
      <c r="G183" s="2"/>
      <c r="H183" s="8" t="str">
        <f t="shared" si="4"/>
        <v/>
      </c>
      <c r="I183" s="10" t="str">
        <f t="shared" si="5"/>
        <v/>
      </c>
      <c r="L183" s="2"/>
      <c r="M183" s="2"/>
      <c r="N183" s="2"/>
    </row>
    <row r="184" spans="1:14" ht="30" customHeight="1" x14ac:dyDescent="0.35">
      <c r="A184" t="s">
        <v>2286</v>
      </c>
      <c r="B184" t="s">
        <v>2287</v>
      </c>
      <c r="C184" t="s">
        <v>385</v>
      </c>
      <c r="D184" t="s">
        <v>384</v>
      </c>
      <c r="E184" s="2">
        <v>3244.51</v>
      </c>
      <c r="F184" s="2"/>
      <c r="G184" s="2"/>
      <c r="H184" s="8" t="str">
        <f t="shared" si="4"/>
        <v/>
      </c>
      <c r="I184" s="10" t="str">
        <f t="shared" si="5"/>
        <v/>
      </c>
      <c r="L184" s="2"/>
      <c r="M184" s="2"/>
      <c r="N184" s="2"/>
    </row>
    <row r="185" spans="1:14" ht="30" customHeight="1" x14ac:dyDescent="0.35">
      <c r="A185" t="s">
        <v>2288</v>
      </c>
      <c r="B185" t="s">
        <v>2289</v>
      </c>
      <c r="C185" t="s">
        <v>385</v>
      </c>
      <c r="D185" t="s">
        <v>384</v>
      </c>
      <c r="E185" s="2">
        <v>11613.46</v>
      </c>
      <c r="F185" s="2"/>
      <c r="G185" s="2"/>
      <c r="H185" s="8" t="str">
        <f t="shared" si="4"/>
        <v/>
      </c>
      <c r="I185" s="10" t="str">
        <f t="shared" si="5"/>
        <v/>
      </c>
      <c r="L185" s="2"/>
      <c r="M185" s="2"/>
      <c r="N185" s="2"/>
    </row>
    <row r="186" spans="1:14" ht="30" customHeight="1" x14ac:dyDescent="0.35">
      <c r="A186" t="s">
        <v>2290</v>
      </c>
      <c r="B186" t="s">
        <v>2291</v>
      </c>
      <c r="C186" t="s">
        <v>385</v>
      </c>
      <c r="D186" t="s">
        <v>384</v>
      </c>
      <c r="E186" s="2">
        <v>4500.93</v>
      </c>
      <c r="F186" s="2"/>
      <c r="G186" s="2"/>
      <c r="H186" s="8" t="str">
        <f t="shared" si="4"/>
        <v/>
      </c>
      <c r="I186" s="10" t="str">
        <f t="shared" si="5"/>
        <v/>
      </c>
      <c r="L186" s="2"/>
      <c r="M186" s="2"/>
      <c r="N186" s="2"/>
    </row>
    <row r="187" spans="1:14" ht="30" customHeight="1" x14ac:dyDescent="0.35">
      <c r="A187" t="s">
        <v>372</v>
      </c>
      <c r="B187" t="s">
        <v>373</v>
      </c>
      <c r="C187" t="s">
        <v>15</v>
      </c>
      <c r="D187" t="s">
        <v>14</v>
      </c>
      <c r="E187" s="2">
        <v>80290.7</v>
      </c>
      <c r="F187" s="2">
        <v>964294.09</v>
      </c>
      <c r="G187" s="2">
        <v>226710.87</v>
      </c>
      <c r="H187" s="8">
        <f t="shared" si="4"/>
        <v>1191004.96</v>
      </c>
      <c r="I187" s="10">
        <f t="shared" si="5"/>
        <v>6.7414244857552902E-2</v>
      </c>
      <c r="L187" s="2"/>
      <c r="M187" s="2"/>
      <c r="N187" s="2"/>
    </row>
    <row r="188" spans="1:14" ht="30" customHeight="1" x14ac:dyDescent="0.35">
      <c r="A188" t="s">
        <v>2292</v>
      </c>
      <c r="B188" t="s">
        <v>2293</v>
      </c>
      <c r="C188" t="s">
        <v>29</v>
      </c>
      <c r="D188" t="s">
        <v>28</v>
      </c>
      <c r="E188" s="2">
        <v>3900</v>
      </c>
      <c r="F188" s="2"/>
      <c r="G188" s="2"/>
      <c r="H188" s="8" t="str">
        <f t="shared" si="4"/>
        <v/>
      </c>
      <c r="I188" s="10" t="str">
        <f t="shared" si="5"/>
        <v/>
      </c>
      <c r="L188" s="2"/>
      <c r="M188" s="2"/>
      <c r="N188" s="2"/>
    </row>
    <row r="189" spans="1:14" ht="30" customHeight="1" x14ac:dyDescent="0.35">
      <c r="A189" t="s">
        <v>374</v>
      </c>
      <c r="B189" t="s">
        <v>375</v>
      </c>
      <c r="C189" t="s">
        <v>2263</v>
      </c>
      <c r="D189" t="s">
        <v>1233</v>
      </c>
      <c r="E189" s="2">
        <v>97446.3</v>
      </c>
      <c r="F189" s="2"/>
      <c r="G189" s="2"/>
      <c r="H189" s="8" t="str">
        <f t="shared" ref="H189:H249" si="6">IF(ISBLANK(F189), "",(F189+G189))</f>
        <v/>
      </c>
      <c r="I189" s="10" t="str">
        <f t="shared" ref="I189:I249" si="7">IF(ISBLANK(F189), "", E189/H189)</f>
        <v/>
      </c>
      <c r="L189" s="2"/>
      <c r="M189" s="2"/>
      <c r="N189" s="2"/>
    </row>
    <row r="190" spans="1:14" ht="30" customHeight="1" x14ac:dyDescent="0.35">
      <c r="A190" t="s">
        <v>376</v>
      </c>
      <c r="B190" t="s">
        <v>377</v>
      </c>
      <c r="C190" t="s">
        <v>2225</v>
      </c>
      <c r="D190" t="s">
        <v>308</v>
      </c>
      <c r="E190" s="2">
        <v>65881.679999999993</v>
      </c>
      <c r="F190" s="2"/>
      <c r="G190" s="2"/>
      <c r="H190" s="8" t="str">
        <f t="shared" si="6"/>
        <v/>
      </c>
      <c r="I190" s="10" t="str">
        <f t="shared" si="7"/>
        <v/>
      </c>
      <c r="L190" s="2"/>
      <c r="M190" s="2"/>
      <c r="N190" s="2"/>
    </row>
    <row r="191" spans="1:14" ht="30" customHeight="1" x14ac:dyDescent="0.35">
      <c r="A191" t="s">
        <v>378</v>
      </c>
      <c r="B191" t="s">
        <v>379</v>
      </c>
      <c r="C191" t="s">
        <v>2263</v>
      </c>
      <c r="D191" t="s">
        <v>1233</v>
      </c>
      <c r="E191" s="2">
        <v>18327.189999999999</v>
      </c>
      <c r="F191" s="2"/>
      <c r="G191" s="2"/>
      <c r="H191" s="8" t="str">
        <f t="shared" si="6"/>
        <v/>
      </c>
      <c r="I191" s="10" t="str">
        <f t="shared" si="7"/>
        <v/>
      </c>
      <c r="L191" s="2"/>
      <c r="M191" s="2"/>
      <c r="N191" s="2"/>
    </row>
    <row r="192" spans="1:14" ht="30" customHeight="1" x14ac:dyDescent="0.35">
      <c r="A192" t="s">
        <v>380</v>
      </c>
      <c r="B192" t="s">
        <v>381</v>
      </c>
      <c r="C192" t="s">
        <v>2225</v>
      </c>
      <c r="D192" t="s">
        <v>308</v>
      </c>
      <c r="E192" s="2">
        <v>96793.46</v>
      </c>
      <c r="F192" s="2">
        <v>43000</v>
      </c>
      <c r="G192" s="2">
        <v>207000</v>
      </c>
      <c r="H192" s="8">
        <f t="shared" si="6"/>
        <v>250000</v>
      </c>
      <c r="I192" s="10">
        <f t="shared" si="7"/>
        <v>0.38717384000000005</v>
      </c>
      <c r="L192" s="2"/>
      <c r="M192" s="2"/>
      <c r="N192" s="2"/>
    </row>
    <row r="193" spans="1:14" ht="30" customHeight="1" x14ac:dyDescent="0.35">
      <c r="A193" t="s">
        <v>382</v>
      </c>
      <c r="B193" t="s">
        <v>383</v>
      </c>
      <c r="C193" t="s">
        <v>385</v>
      </c>
      <c r="D193" t="s">
        <v>384</v>
      </c>
      <c r="E193" s="2">
        <v>2096.4</v>
      </c>
      <c r="F193" s="2"/>
      <c r="G193" s="2"/>
      <c r="H193" s="8" t="str">
        <f t="shared" si="6"/>
        <v/>
      </c>
      <c r="I193" s="10" t="str">
        <f t="shared" si="7"/>
        <v/>
      </c>
      <c r="L193" s="2"/>
      <c r="M193" s="2"/>
      <c r="N193" s="2"/>
    </row>
    <row r="194" spans="1:14" ht="30" customHeight="1" x14ac:dyDescent="0.35">
      <c r="A194" t="s">
        <v>2294</v>
      </c>
      <c r="B194" t="s">
        <v>2295</v>
      </c>
      <c r="C194" t="s">
        <v>385</v>
      </c>
      <c r="D194" t="s">
        <v>384</v>
      </c>
      <c r="E194" s="2">
        <v>8325.67</v>
      </c>
      <c r="F194" s="2"/>
      <c r="G194" s="2"/>
      <c r="H194" s="8" t="str">
        <f t="shared" si="6"/>
        <v/>
      </c>
      <c r="I194" s="10" t="str">
        <f t="shared" si="7"/>
        <v/>
      </c>
      <c r="L194" s="2"/>
      <c r="M194" s="2"/>
      <c r="N194" s="2"/>
    </row>
    <row r="195" spans="1:14" ht="30" customHeight="1" x14ac:dyDescent="0.35">
      <c r="A195" t="s">
        <v>386</v>
      </c>
      <c r="B195" t="s">
        <v>387</v>
      </c>
      <c r="C195" t="s">
        <v>33</v>
      </c>
      <c r="D195" t="s">
        <v>32</v>
      </c>
      <c r="E195" s="2">
        <v>28190.29</v>
      </c>
      <c r="F195" s="2"/>
      <c r="G195" s="2"/>
      <c r="H195" s="8" t="str">
        <f t="shared" si="6"/>
        <v/>
      </c>
      <c r="I195" s="10" t="str">
        <f t="shared" si="7"/>
        <v/>
      </c>
      <c r="L195" s="2"/>
      <c r="M195" s="2"/>
      <c r="N195" s="2"/>
    </row>
    <row r="196" spans="1:14" ht="30" customHeight="1" x14ac:dyDescent="0.35">
      <c r="A196" t="s">
        <v>388</v>
      </c>
      <c r="B196" t="s">
        <v>389</v>
      </c>
      <c r="C196" t="s">
        <v>19</v>
      </c>
      <c r="D196" t="s">
        <v>18</v>
      </c>
      <c r="E196" s="2">
        <v>18540.22</v>
      </c>
      <c r="F196" s="2"/>
      <c r="G196" s="2"/>
      <c r="H196" s="8" t="str">
        <f t="shared" si="6"/>
        <v/>
      </c>
      <c r="I196" s="10" t="str">
        <f t="shared" si="7"/>
        <v/>
      </c>
      <c r="L196" s="2"/>
      <c r="M196" s="2"/>
      <c r="N196" s="2"/>
    </row>
    <row r="197" spans="1:14" ht="30" customHeight="1" x14ac:dyDescent="0.35">
      <c r="A197" t="s">
        <v>390</v>
      </c>
      <c r="B197" t="s">
        <v>391</v>
      </c>
      <c r="C197" t="s">
        <v>2259</v>
      </c>
      <c r="D197" t="s">
        <v>713</v>
      </c>
      <c r="E197" s="2">
        <v>49198.32</v>
      </c>
      <c r="F197" s="2"/>
      <c r="G197" s="2"/>
      <c r="H197" s="8" t="str">
        <f t="shared" si="6"/>
        <v/>
      </c>
      <c r="I197" s="10" t="str">
        <f t="shared" si="7"/>
        <v/>
      </c>
      <c r="L197" s="2"/>
      <c r="M197" s="2"/>
      <c r="N197" s="2"/>
    </row>
    <row r="198" spans="1:14" ht="30" customHeight="1" x14ac:dyDescent="0.35">
      <c r="A198" t="s">
        <v>392</v>
      </c>
      <c r="B198" t="s">
        <v>393</v>
      </c>
      <c r="C198" t="s">
        <v>15</v>
      </c>
      <c r="D198" t="s">
        <v>14</v>
      </c>
      <c r="E198" s="2">
        <v>79983.820000000007</v>
      </c>
      <c r="F198" s="2">
        <v>0</v>
      </c>
      <c r="G198" s="2">
        <v>500000</v>
      </c>
      <c r="H198" s="8">
        <f t="shared" si="6"/>
        <v>500000</v>
      </c>
      <c r="I198" s="10">
        <f t="shared" si="7"/>
        <v>0.15996764000000002</v>
      </c>
      <c r="L198" s="2"/>
      <c r="M198" s="2"/>
      <c r="N198" s="2"/>
    </row>
    <row r="199" spans="1:14" ht="30" customHeight="1" x14ac:dyDescent="0.35">
      <c r="A199" t="s">
        <v>394</v>
      </c>
      <c r="B199" t="s">
        <v>395</v>
      </c>
      <c r="C199" t="s">
        <v>57</v>
      </c>
      <c r="D199" t="s">
        <v>56</v>
      </c>
      <c r="E199" s="2">
        <v>16178.74</v>
      </c>
      <c r="F199" s="2"/>
      <c r="G199" s="2"/>
      <c r="H199" s="8" t="str">
        <f t="shared" si="6"/>
        <v/>
      </c>
      <c r="I199" s="10" t="str">
        <f t="shared" si="7"/>
        <v/>
      </c>
      <c r="L199" s="2"/>
      <c r="M199" s="2"/>
      <c r="N199" s="2"/>
    </row>
    <row r="200" spans="1:14" ht="30" customHeight="1" x14ac:dyDescent="0.35">
      <c r="A200" t="s">
        <v>396</v>
      </c>
      <c r="B200" t="s">
        <v>397</v>
      </c>
      <c r="C200" t="s">
        <v>77</v>
      </c>
      <c r="D200" t="s">
        <v>76</v>
      </c>
      <c r="E200" s="2">
        <v>103206.2</v>
      </c>
      <c r="F200" s="2"/>
      <c r="G200" s="2"/>
      <c r="H200" s="8" t="str">
        <f t="shared" si="6"/>
        <v/>
      </c>
      <c r="I200" s="10" t="str">
        <f t="shared" si="7"/>
        <v/>
      </c>
      <c r="L200" s="2"/>
      <c r="M200" s="2"/>
      <c r="N200" s="2"/>
    </row>
    <row r="201" spans="1:14" ht="30" customHeight="1" x14ac:dyDescent="0.35">
      <c r="A201" t="s">
        <v>398</v>
      </c>
      <c r="B201" t="s">
        <v>399</v>
      </c>
      <c r="C201" t="s">
        <v>19</v>
      </c>
      <c r="D201" t="s">
        <v>18</v>
      </c>
      <c r="E201" s="2">
        <v>147540.56</v>
      </c>
      <c r="F201" s="2"/>
      <c r="G201" s="2"/>
      <c r="H201" s="8" t="str">
        <f t="shared" si="6"/>
        <v/>
      </c>
      <c r="I201" s="10" t="str">
        <f t="shared" si="7"/>
        <v/>
      </c>
      <c r="L201" s="2"/>
      <c r="M201" s="2"/>
      <c r="N201" s="2"/>
    </row>
    <row r="202" spans="1:14" ht="30" customHeight="1" x14ac:dyDescent="0.35">
      <c r="A202" t="s">
        <v>400</v>
      </c>
      <c r="B202" t="s">
        <v>401</v>
      </c>
      <c r="C202" t="s">
        <v>101</v>
      </c>
      <c r="D202" t="s">
        <v>100</v>
      </c>
      <c r="E202" s="2"/>
      <c r="F202" s="2">
        <v>720251.68</v>
      </c>
      <c r="G202" s="2">
        <v>3029748.32</v>
      </c>
      <c r="H202" s="8">
        <f t="shared" si="6"/>
        <v>3750000</v>
      </c>
      <c r="I202" s="10">
        <f t="shared" si="7"/>
        <v>0</v>
      </c>
      <c r="L202" s="2"/>
      <c r="M202" s="2"/>
      <c r="N202" s="2"/>
    </row>
    <row r="203" spans="1:14" ht="30" customHeight="1" x14ac:dyDescent="0.35">
      <c r="A203" t="s">
        <v>402</v>
      </c>
      <c r="B203" t="s">
        <v>403</v>
      </c>
      <c r="C203" t="s">
        <v>1679</v>
      </c>
      <c r="D203" t="s">
        <v>1621</v>
      </c>
      <c r="E203" s="2">
        <v>0</v>
      </c>
      <c r="F203" s="2"/>
      <c r="G203" s="2"/>
      <c r="H203" s="8" t="str">
        <f t="shared" si="6"/>
        <v/>
      </c>
      <c r="I203" s="10" t="str">
        <f t="shared" si="7"/>
        <v/>
      </c>
      <c r="L203" s="2"/>
      <c r="M203" s="2"/>
      <c r="N203" s="2"/>
    </row>
    <row r="204" spans="1:14" ht="30" customHeight="1" x14ac:dyDescent="0.35">
      <c r="A204" t="s">
        <v>406</v>
      </c>
      <c r="B204" t="s">
        <v>407</v>
      </c>
      <c r="C204" t="s">
        <v>29</v>
      </c>
      <c r="D204" t="s">
        <v>28</v>
      </c>
      <c r="E204" s="2">
        <v>401.01</v>
      </c>
      <c r="F204" s="2">
        <v>0</v>
      </c>
      <c r="G204" s="2">
        <v>250000</v>
      </c>
      <c r="H204" s="8">
        <f t="shared" si="6"/>
        <v>250000</v>
      </c>
      <c r="I204" s="10">
        <f t="shared" si="7"/>
        <v>1.6040399999999999E-3</v>
      </c>
      <c r="L204" s="2"/>
      <c r="M204" s="2"/>
      <c r="N204" s="2"/>
    </row>
    <row r="205" spans="1:14" ht="30" customHeight="1" x14ac:dyDescent="0.35">
      <c r="A205" t="s">
        <v>408</v>
      </c>
      <c r="B205" t="s">
        <v>409</v>
      </c>
      <c r="C205" t="s">
        <v>51</v>
      </c>
      <c r="D205" t="s">
        <v>50</v>
      </c>
      <c r="E205" s="2">
        <v>215.85</v>
      </c>
      <c r="F205" s="2"/>
      <c r="G205" s="2"/>
      <c r="H205" s="8" t="str">
        <f t="shared" si="6"/>
        <v/>
      </c>
      <c r="I205" s="10" t="str">
        <f t="shared" si="7"/>
        <v/>
      </c>
      <c r="L205" s="2"/>
      <c r="M205" s="2"/>
      <c r="N205" s="2"/>
    </row>
    <row r="206" spans="1:14" ht="30" customHeight="1" x14ac:dyDescent="0.35">
      <c r="A206" t="s">
        <v>410</v>
      </c>
      <c r="B206" t="s">
        <v>411</v>
      </c>
      <c r="C206" t="s">
        <v>51</v>
      </c>
      <c r="D206" t="s">
        <v>50</v>
      </c>
      <c r="E206" s="2">
        <v>103466.47</v>
      </c>
      <c r="F206" s="2"/>
      <c r="G206" s="2"/>
      <c r="H206" s="8" t="str">
        <f t="shared" si="6"/>
        <v/>
      </c>
      <c r="I206" s="10" t="str">
        <f t="shared" si="7"/>
        <v/>
      </c>
      <c r="L206" s="2"/>
      <c r="M206" s="2"/>
      <c r="N206" s="2"/>
    </row>
    <row r="207" spans="1:14" ht="30" customHeight="1" x14ac:dyDescent="0.35">
      <c r="A207" t="s">
        <v>412</v>
      </c>
      <c r="B207" t="s">
        <v>413</v>
      </c>
      <c r="C207" t="s">
        <v>2225</v>
      </c>
      <c r="D207" t="s">
        <v>308</v>
      </c>
      <c r="E207" s="2">
        <v>23561.05</v>
      </c>
      <c r="F207" s="2"/>
      <c r="G207" s="2"/>
      <c r="H207" s="8" t="str">
        <f t="shared" si="6"/>
        <v/>
      </c>
      <c r="I207" s="10" t="str">
        <f t="shared" si="7"/>
        <v/>
      </c>
      <c r="L207" s="2"/>
      <c r="M207" s="2"/>
      <c r="N207" s="2"/>
    </row>
    <row r="208" spans="1:14" ht="30" customHeight="1" x14ac:dyDescent="0.35">
      <c r="A208" t="s">
        <v>2222</v>
      </c>
      <c r="B208" t="s">
        <v>2223</v>
      </c>
      <c r="C208" t="s">
        <v>2259</v>
      </c>
      <c r="D208" t="s">
        <v>713</v>
      </c>
      <c r="E208" s="2">
        <v>4656.59</v>
      </c>
      <c r="F208" s="2"/>
      <c r="G208" s="2"/>
      <c r="H208" s="8" t="str">
        <f t="shared" si="6"/>
        <v/>
      </c>
      <c r="I208" s="10" t="str">
        <f t="shared" si="7"/>
        <v/>
      </c>
      <c r="L208" s="2"/>
      <c r="M208" s="2"/>
      <c r="N208" s="2"/>
    </row>
    <row r="209" spans="1:14" ht="30" customHeight="1" x14ac:dyDescent="0.35">
      <c r="A209" t="s">
        <v>414</v>
      </c>
      <c r="B209" t="s">
        <v>415</v>
      </c>
      <c r="C209" t="s">
        <v>19</v>
      </c>
      <c r="D209" t="s">
        <v>18</v>
      </c>
      <c r="E209" s="2">
        <v>9125.17</v>
      </c>
      <c r="F209" s="2"/>
      <c r="G209" s="2"/>
      <c r="H209" s="8" t="str">
        <f t="shared" si="6"/>
        <v/>
      </c>
      <c r="I209" s="10" t="str">
        <f t="shared" si="7"/>
        <v/>
      </c>
      <c r="L209" s="2"/>
      <c r="M209" s="2"/>
      <c r="N209" s="2"/>
    </row>
    <row r="210" spans="1:14" ht="30" customHeight="1" x14ac:dyDescent="0.35">
      <c r="A210" t="s">
        <v>416</v>
      </c>
      <c r="B210" t="s">
        <v>417</v>
      </c>
      <c r="C210" t="s">
        <v>51</v>
      </c>
      <c r="D210" t="s">
        <v>50</v>
      </c>
      <c r="E210" s="2">
        <v>54790.37</v>
      </c>
      <c r="F210" s="2">
        <v>0</v>
      </c>
      <c r="G210" s="2">
        <v>500</v>
      </c>
      <c r="H210" s="8">
        <f t="shared" si="6"/>
        <v>500</v>
      </c>
      <c r="I210" s="10">
        <f t="shared" si="7"/>
        <v>109.58074000000001</v>
      </c>
      <c r="L210" s="2"/>
      <c r="M210" s="2"/>
      <c r="N210" s="2"/>
    </row>
    <row r="211" spans="1:14" ht="30" customHeight="1" x14ac:dyDescent="0.35">
      <c r="A211" t="s">
        <v>418</v>
      </c>
      <c r="B211" t="s">
        <v>419</v>
      </c>
      <c r="C211" t="s">
        <v>19</v>
      </c>
      <c r="D211" t="s">
        <v>18</v>
      </c>
      <c r="E211" s="2">
        <v>214.83</v>
      </c>
      <c r="F211" s="2"/>
      <c r="G211" s="2"/>
      <c r="H211" s="8" t="str">
        <f t="shared" si="6"/>
        <v/>
      </c>
      <c r="I211" s="10" t="str">
        <f t="shared" si="7"/>
        <v/>
      </c>
      <c r="L211" s="2"/>
      <c r="M211" s="2"/>
      <c r="N211" s="2"/>
    </row>
    <row r="212" spans="1:14" ht="30" customHeight="1" x14ac:dyDescent="0.35">
      <c r="A212" t="s">
        <v>2296</v>
      </c>
      <c r="B212" t="s">
        <v>2297</v>
      </c>
      <c r="C212" t="s">
        <v>2225</v>
      </c>
      <c r="D212" t="s">
        <v>308</v>
      </c>
      <c r="E212" s="2">
        <v>527.47</v>
      </c>
      <c r="F212" s="2"/>
      <c r="G212" s="2"/>
      <c r="H212" s="8" t="str">
        <f t="shared" si="6"/>
        <v/>
      </c>
      <c r="I212" s="10" t="str">
        <f t="shared" si="7"/>
        <v/>
      </c>
      <c r="L212" s="2"/>
      <c r="M212" s="2"/>
      <c r="N212" s="2"/>
    </row>
    <row r="213" spans="1:14" ht="30" customHeight="1" x14ac:dyDescent="0.35">
      <c r="A213" t="s">
        <v>420</v>
      </c>
      <c r="B213" t="s">
        <v>421</v>
      </c>
      <c r="C213" t="s">
        <v>2259</v>
      </c>
      <c r="D213" t="s">
        <v>713</v>
      </c>
      <c r="E213" s="2">
        <v>1671.83</v>
      </c>
      <c r="F213" s="2"/>
      <c r="G213" s="2"/>
      <c r="H213" s="8" t="str">
        <f t="shared" si="6"/>
        <v/>
      </c>
      <c r="I213" s="10" t="str">
        <f t="shared" si="7"/>
        <v/>
      </c>
      <c r="L213" s="2"/>
      <c r="M213" s="2"/>
      <c r="N213" s="2"/>
    </row>
    <row r="214" spans="1:14" ht="30" customHeight="1" x14ac:dyDescent="0.35">
      <c r="A214" t="s">
        <v>422</v>
      </c>
      <c r="B214" t="s">
        <v>423</v>
      </c>
      <c r="C214" t="s">
        <v>101</v>
      </c>
      <c r="D214" t="s">
        <v>100</v>
      </c>
      <c r="E214" s="2">
        <v>479601</v>
      </c>
      <c r="F214" s="2">
        <v>470000</v>
      </c>
      <c r="G214" s="2">
        <v>0</v>
      </c>
      <c r="H214" s="8">
        <f t="shared" si="6"/>
        <v>470000</v>
      </c>
      <c r="I214" s="10">
        <f t="shared" si="7"/>
        <v>1.0204276595744681</v>
      </c>
      <c r="L214" s="2"/>
      <c r="M214" s="2"/>
      <c r="N214" s="2"/>
    </row>
    <row r="215" spans="1:14" ht="30" customHeight="1" x14ac:dyDescent="0.35">
      <c r="A215" t="s">
        <v>424</v>
      </c>
      <c r="B215" t="s">
        <v>425</v>
      </c>
      <c r="C215" t="s">
        <v>51</v>
      </c>
      <c r="D215" t="s">
        <v>50</v>
      </c>
      <c r="E215" s="2">
        <v>22584.44</v>
      </c>
      <c r="F215" s="2">
        <v>40531.46</v>
      </c>
      <c r="G215" s="2">
        <v>84468.54</v>
      </c>
      <c r="H215" s="8">
        <f t="shared" si="6"/>
        <v>125000</v>
      </c>
      <c r="I215" s="10">
        <f t="shared" si="7"/>
        <v>0.18067551999999998</v>
      </c>
      <c r="L215" s="2"/>
      <c r="M215" s="2"/>
      <c r="N215" s="2"/>
    </row>
    <row r="216" spans="1:14" ht="30" customHeight="1" x14ac:dyDescent="0.35">
      <c r="A216" t="s">
        <v>426</v>
      </c>
      <c r="B216" t="s">
        <v>427</v>
      </c>
      <c r="C216" t="s">
        <v>19</v>
      </c>
      <c r="D216" t="s">
        <v>18</v>
      </c>
      <c r="E216" s="2">
        <v>24294.51</v>
      </c>
      <c r="F216" s="2">
        <v>6530.34</v>
      </c>
      <c r="G216" s="2"/>
      <c r="H216" s="8">
        <f t="shared" si="6"/>
        <v>6530.34</v>
      </c>
      <c r="I216" s="10">
        <f t="shared" si="7"/>
        <v>3.7202519317524048</v>
      </c>
      <c r="L216" s="2"/>
      <c r="M216" s="2"/>
      <c r="N216" s="2"/>
    </row>
    <row r="217" spans="1:14" ht="30" customHeight="1" x14ac:dyDescent="0.35">
      <c r="A217" t="s">
        <v>428</v>
      </c>
      <c r="B217" t="s">
        <v>429</v>
      </c>
      <c r="C217" t="s">
        <v>2259</v>
      </c>
      <c r="D217" t="s">
        <v>713</v>
      </c>
      <c r="E217" s="2">
        <v>17760.740000000002</v>
      </c>
      <c r="F217" s="2">
        <v>0</v>
      </c>
      <c r="G217" s="2">
        <v>5000</v>
      </c>
      <c r="H217" s="8">
        <f t="shared" si="6"/>
        <v>5000</v>
      </c>
      <c r="I217" s="10">
        <f t="shared" si="7"/>
        <v>3.5521480000000003</v>
      </c>
      <c r="L217" s="2"/>
      <c r="M217" s="2"/>
      <c r="N217" s="2"/>
    </row>
    <row r="218" spans="1:14" ht="30" customHeight="1" x14ac:dyDescent="0.35">
      <c r="A218" t="s">
        <v>430</v>
      </c>
      <c r="B218" t="s">
        <v>431</v>
      </c>
      <c r="C218" t="s">
        <v>51</v>
      </c>
      <c r="D218" t="s">
        <v>50</v>
      </c>
      <c r="E218" s="2">
        <v>157161.53</v>
      </c>
      <c r="F218" s="2"/>
      <c r="G218" s="2"/>
      <c r="H218" s="8" t="str">
        <f t="shared" si="6"/>
        <v/>
      </c>
      <c r="I218" s="10" t="str">
        <f t="shared" si="7"/>
        <v/>
      </c>
      <c r="L218" s="2"/>
      <c r="M218" s="2"/>
      <c r="N218" s="2"/>
    </row>
    <row r="219" spans="1:14" ht="30" customHeight="1" x14ac:dyDescent="0.35">
      <c r="A219" t="s">
        <v>2298</v>
      </c>
      <c r="B219" t="s">
        <v>2299</v>
      </c>
      <c r="C219" t="s">
        <v>19</v>
      </c>
      <c r="D219" t="s">
        <v>18</v>
      </c>
      <c r="E219" s="2">
        <v>2383.14</v>
      </c>
      <c r="F219" s="2"/>
      <c r="G219" s="2"/>
      <c r="H219" s="8" t="str">
        <f t="shared" si="6"/>
        <v/>
      </c>
      <c r="I219" s="10" t="str">
        <f t="shared" si="7"/>
        <v/>
      </c>
      <c r="L219" s="2"/>
      <c r="M219" s="2"/>
      <c r="N219" s="2"/>
    </row>
    <row r="220" spans="1:14" ht="30" customHeight="1" x14ac:dyDescent="0.35">
      <c r="A220" t="s">
        <v>432</v>
      </c>
      <c r="B220" t="s">
        <v>433</v>
      </c>
      <c r="C220" t="s">
        <v>51</v>
      </c>
      <c r="D220" t="s">
        <v>50</v>
      </c>
      <c r="E220" s="2">
        <v>278856.84999999998</v>
      </c>
      <c r="F220" s="2">
        <v>0</v>
      </c>
      <c r="G220" s="2">
        <v>1000</v>
      </c>
      <c r="H220" s="8">
        <f t="shared" si="6"/>
        <v>1000</v>
      </c>
      <c r="I220" s="10">
        <f t="shared" si="7"/>
        <v>278.85684999999995</v>
      </c>
      <c r="L220" s="2"/>
      <c r="M220" s="2"/>
      <c r="N220" s="2"/>
    </row>
    <row r="221" spans="1:14" ht="30" customHeight="1" x14ac:dyDescent="0.35">
      <c r="A221" t="s">
        <v>434</v>
      </c>
      <c r="B221" t="s">
        <v>435</v>
      </c>
      <c r="C221" t="s">
        <v>2259</v>
      </c>
      <c r="D221" t="s">
        <v>713</v>
      </c>
      <c r="E221" s="2">
        <v>1808.88</v>
      </c>
      <c r="F221" s="2"/>
      <c r="G221" s="2"/>
      <c r="H221" s="8" t="str">
        <f t="shared" si="6"/>
        <v/>
      </c>
      <c r="I221" s="10" t="str">
        <f t="shared" si="7"/>
        <v/>
      </c>
      <c r="L221" s="2"/>
      <c r="M221" s="2"/>
      <c r="N221" s="2"/>
    </row>
    <row r="222" spans="1:14" ht="30" customHeight="1" x14ac:dyDescent="0.35">
      <c r="A222" t="s">
        <v>436</v>
      </c>
      <c r="B222" t="s">
        <v>437</v>
      </c>
      <c r="C222" t="s">
        <v>2225</v>
      </c>
      <c r="D222" t="s">
        <v>308</v>
      </c>
      <c r="E222" s="2">
        <v>185667.57</v>
      </c>
      <c r="F222" s="2"/>
      <c r="G222" s="2"/>
      <c r="H222" s="8" t="str">
        <f t="shared" si="6"/>
        <v/>
      </c>
      <c r="I222" s="10" t="str">
        <f t="shared" si="7"/>
        <v/>
      </c>
      <c r="L222" s="2"/>
      <c r="M222" s="2"/>
      <c r="N222" s="2"/>
    </row>
    <row r="223" spans="1:14" ht="30" customHeight="1" x14ac:dyDescent="0.35">
      <c r="A223" t="s">
        <v>438</v>
      </c>
      <c r="B223" t="s">
        <v>439</v>
      </c>
      <c r="C223" t="s">
        <v>15</v>
      </c>
      <c r="D223" t="s">
        <v>14</v>
      </c>
      <c r="E223" s="2">
        <v>990</v>
      </c>
      <c r="F223" s="2"/>
      <c r="G223" s="2"/>
      <c r="H223" s="8" t="str">
        <f t="shared" si="6"/>
        <v/>
      </c>
      <c r="I223" s="10" t="str">
        <f t="shared" si="7"/>
        <v/>
      </c>
      <c r="L223" s="2"/>
      <c r="M223" s="2"/>
      <c r="N223" s="2"/>
    </row>
    <row r="224" spans="1:14" ht="30" customHeight="1" x14ac:dyDescent="0.35">
      <c r="A224" t="s">
        <v>440</v>
      </c>
      <c r="B224" t="s">
        <v>441</v>
      </c>
      <c r="C224" t="s">
        <v>2262</v>
      </c>
      <c r="D224" t="s">
        <v>1518</v>
      </c>
      <c r="E224" s="2">
        <v>95079.22</v>
      </c>
      <c r="F224" s="2">
        <v>401000</v>
      </c>
      <c r="G224" s="2">
        <v>175000</v>
      </c>
      <c r="H224" s="8">
        <f t="shared" si="6"/>
        <v>576000</v>
      </c>
      <c r="I224" s="10">
        <f t="shared" si="7"/>
        <v>0.16506809027777777</v>
      </c>
      <c r="L224" s="2"/>
      <c r="M224" s="2"/>
      <c r="N224" s="2"/>
    </row>
    <row r="225" spans="1:14" ht="30" customHeight="1" x14ac:dyDescent="0.35">
      <c r="A225" t="s">
        <v>442</v>
      </c>
      <c r="B225" t="s">
        <v>443</v>
      </c>
      <c r="C225" t="s">
        <v>101</v>
      </c>
      <c r="D225" t="s">
        <v>100</v>
      </c>
      <c r="E225" s="2">
        <v>21301.13</v>
      </c>
      <c r="F225" s="2">
        <v>797916.49</v>
      </c>
      <c r="G225" s="2">
        <v>50000</v>
      </c>
      <c r="H225" s="8">
        <f t="shared" si="6"/>
        <v>847916.49</v>
      </c>
      <c r="I225" s="10">
        <f t="shared" si="7"/>
        <v>2.5121731032734133E-2</v>
      </c>
      <c r="L225" s="2"/>
      <c r="M225" s="2"/>
      <c r="N225" s="2"/>
    </row>
    <row r="226" spans="1:14" ht="30" customHeight="1" x14ac:dyDescent="0.35">
      <c r="A226" t="s">
        <v>444</v>
      </c>
      <c r="B226" t="s">
        <v>445</v>
      </c>
      <c r="C226" t="s">
        <v>29</v>
      </c>
      <c r="D226" t="s">
        <v>28</v>
      </c>
      <c r="E226" s="2">
        <v>1013.03</v>
      </c>
      <c r="F226" s="2">
        <v>247795.26</v>
      </c>
      <c r="G226" s="2">
        <v>2204.7399999999998</v>
      </c>
      <c r="H226" s="8">
        <f t="shared" si="6"/>
        <v>250000</v>
      </c>
      <c r="I226" s="10">
        <f t="shared" si="7"/>
        <v>4.0521200000000002E-3</v>
      </c>
      <c r="L226" s="2"/>
      <c r="M226" s="2"/>
      <c r="N226" s="2"/>
    </row>
    <row r="227" spans="1:14" ht="30" customHeight="1" x14ac:dyDescent="0.35">
      <c r="A227" t="s">
        <v>446</v>
      </c>
      <c r="B227" t="s">
        <v>447</v>
      </c>
      <c r="C227" t="s">
        <v>15</v>
      </c>
      <c r="D227" t="s">
        <v>14</v>
      </c>
      <c r="E227" s="2">
        <v>239.82</v>
      </c>
      <c r="F227" s="2">
        <v>7378520.2699999996</v>
      </c>
      <c r="G227" s="2"/>
      <c r="H227" s="8">
        <f t="shared" si="6"/>
        <v>7378520.2699999996</v>
      </c>
      <c r="I227" s="10">
        <f t="shared" si="7"/>
        <v>3.2502451877116009E-5</v>
      </c>
      <c r="L227" s="2"/>
      <c r="M227" s="2"/>
      <c r="N227" s="2"/>
    </row>
    <row r="228" spans="1:14" ht="30" customHeight="1" x14ac:dyDescent="0.35">
      <c r="A228" t="s">
        <v>448</v>
      </c>
      <c r="B228" t="s">
        <v>449</v>
      </c>
      <c r="C228" t="s">
        <v>2238</v>
      </c>
      <c r="D228" t="s">
        <v>2239</v>
      </c>
      <c r="E228" s="2"/>
      <c r="F228" s="2">
        <v>174713.59</v>
      </c>
      <c r="G228" s="2"/>
      <c r="H228" s="8">
        <f t="shared" si="6"/>
        <v>174713.59</v>
      </c>
      <c r="I228" s="10">
        <f t="shared" si="7"/>
        <v>0</v>
      </c>
      <c r="L228" s="2"/>
      <c r="M228" s="2"/>
      <c r="N228" s="2"/>
    </row>
    <row r="229" spans="1:14" ht="30" customHeight="1" x14ac:dyDescent="0.35">
      <c r="A229" t="s">
        <v>450</v>
      </c>
      <c r="B229" t="s">
        <v>451</v>
      </c>
      <c r="C229" t="s">
        <v>29</v>
      </c>
      <c r="D229" t="s">
        <v>28</v>
      </c>
      <c r="E229" s="2">
        <v>1267.43</v>
      </c>
      <c r="F229" s="2">
        <v>25675.040000000001</v>
      </c>
      <c r="G229" s="2">
        <v>224324.96</v>
      </c>
      <c r="H229" s="8">
        <f t="shared" si="6"/>
        <v>250000</v>
      </c>
      <c r="I229" s="10">
        <f t="shared" si="7"/>
        <v>5.0697200000000006E-3</v>
      </c>
      <c r="L229" s="2"/>
      <c r="M229" s="2"/>
      <c r="N229" s="2"/>
    </row>
    <row r="230" spans="1:14" ht="30" customHeight="1" x14ac:dyDescent="0.35">
      <c r="A230" t="s">
        <v>2300</v>
      </c>
      <c r="B230" t="s">
        <v>2301</v>
      </c>
      <c r="C230" t="s">
        <v>2266</v>
      </c>
      <c r="D230" t="s">
        <v>1560</v>
      </c>
      <c r="E230" s="2"/>
      <c r="F230" s="2">
        <v>12.96</v>
      </c>
      <c r="G230" s="2">
        <v>499987.04</v>
      </c>
      <c r="H230" s="8">
        <f t="shared" si="6"/>
        <v>500000</v>
      </c>
      <c r="I230" s="10">
        <f t="shared" si="7"/>
        <v>0</v>
      </c>
      <c r="L230" s="2"/>
      <c r="M230" s="2"/>
      <c r="N230" s="2"/>
    </row>
    <row r="231" spans="1:14" ht="30" customHeight="1" x14ac:dyDescent="0.35">
      <c r="A231" t="s">
        <v>452</v>
      </c>
      <c r="B231" t="s">
        <v>453</v>
      </c>
      <c r="C231" t="s">
        <v>2273</v>
      </c>
      <c r="D231" t="s">
        <v>1552</v>
      </c>
      <c r="E231" s="2">
        <v>474252.62</v>
      </c>
      <c r="F231" s="2">
        <v>2368793.4300000002</v>
      </c>
      <c r="G231" s="2"/>
      <c r="H231" s="8">
        <f t="shared" si="6"/>
        <v>2368793.4300000002</v>
      </c>
      <c r="I231" s="10">
        <f t="shared" si="7"/>
        <v>0.20020851712679733</v>
      </c>
      <c r="L231" s="2"/>
      <c r="M231" s="2"/>
      <c r="N231" s="2"/>
    </row>
    <row r="232" spans="1:14" ht="30" customHeight="1" x14ac:dyDescent="0.35">
      <c r="A232" t="s">
        <v>454</v>
      </c>
      <c r="B232" t="s">
        <v>455</v>
      </c>
      <c r="C232" t="s">
        <v>33</v>
      </c>
      <c r="D232" t="s">
        <v>32</v>
      </c>
      <c r="E232" s="2">
        <v>52582.34</v>
      </c>
      <c r="F232" s="2">
        <v>340029.08</v>
      </c>
      <c r="G232" s="2"/>
      <c r="H232" s="8">
        <f t="shared" si="6"/>
        <v>340029.08</v>
      </c>
      <c r="I232" s="10">
        <f t="shared" si="7"/>
        <v>0.15464071484709482</v>
      </c>
      <c r="L232" s="2"/>
      <c r="M232" s="2"/>
      <c r="N232" s="2"/>
    </row>
    <row r="233" spans="1:14" ht="30" customHeight="1" x14ac:dyDescent="0.35">
      <c r="A233" t="s">
        <v>458</v>
      </c>
      <c r="B233" t="s">
        <v>459</v>
      </c>
      <c r="C233" t="s">
        <v>461</v>
      </c>
      <c r="D233" t="s">
        <v>460</v>
      </c>
      <c r="E233" s="2">
        <v>0</v>
      </c>
      <c r="F233" s="2"/>
      <c r="G233" s="2"/>
      <c r="H233" s="8" t="str">
        <f t="shared" si="6"/>
        <v/>
      </c>
      <c r="I233" s="10" t="str">
        <f t="shared" si="7"/>
        <v/>
      </c>
      <c r="L233" s="2"/>
      <c r="M233" s="2"/>
      <c r="N233" s="2"/>
    </row>
    <row r="234" spans="1:14" ht="30" customHeight="1" x14ac:dyDescent="0.35">
      <c r="A234" t="s">
        <v>462</v>
      </c>
      <c r="B234" t="s">
        <v>463</v>
      </c>
      <c r="C234" t="s">
        <v>465</v>
      </c>
      <c r="D234" t="s">
        <v>464</v>
      </c>
      <c r="E234" s="2">
        <v>476889.1</v>
      </c>
      <c r="F234" s="2">
        <v>5304404.43</v>
      </c>
      <c r="G234" s="2"/>
      <c r="H234" s="8">
        <f t="shared" si="6"/>
        <v>5304404.43</v>
      </c>
      <c r="I234" s="10">
        <f t="shared" si="7"/>
        <v>8.9904362741058938E-2</v>
      </c>
      <c r="L234" s="2"/>
      <c r="M234" s="2"/>
      <c r="N234" s="2"/>
    </row>
    <row r="235" spans="1:14" ht="30" customHeight="1" x14ac:dyDescent="0.35">
      <c r="A235" t="s">
        <v>466</v>
      </c>
      <c r="B235" t="s">
        <v>467</v>
      </c>
      <c r="C235" t="s">
        <v>19</v>
      </c>
      <c r="D235" t="s">
        <v>18</v>
      </c>
      <c r="E235" s="2">
        <v>6930.87</v>
      </c>
      <c r="F235" s="2">
        <v>255911</v>
      </c>
      <c r="G235" s="2">
        <v>160000</v>
      </c>
      <c r="H235" s="8">
        <f t="shared" si="6"/>
        <v>415911</v>
      </c>
      <c r="I235" s="10">
        <f t="shared" si="7"/>
        <v>1.6664310393329343E-2</v>
      </c>
      <c r="L235" s="2"/>
      <c r="M235" s="2"/>
      <c r="N235" s="2"/>
    </row>
    <row r="236" spans="1:14" ht="30" customHeight="1" x14ac:dyDescent="0.35">
      <c r="A236" t="s">
        <v>468</v>
      </c>
      <c r="B236" t="s">
        <v>469</v>
      </c>
      <c r="C236" t="s">
        <v>471</v>
      </c>
      <c r="D236" t="s">
        <v>470</v>
      </c>
      <c r="E236" s="2">
        <v>0</v>
      </c>
      <c r="F236" s="2"/>
      <c r="G236" s="2"/>
      <c r="H236" s="8" t="str">
        <f t="shared" si="6"/>
        <v/>
      </c>
      <c r="I236" s="10" t="str">
        <f t="shared" si="7"/>
        <v/>
      </c>
      <c r="L236" s="2"/>
      <c r="M236" s="2"/>
      <c r="N236" s="2"/>
    </row>
    <row r="237" spans="1:14" ht="30" customHeight="1" x14ac:dyDescent="0.35">
      <c r="A237" t="s">
        <v>472</v>
      </c>
      <c r="B237" t="s">
        <v>473</v>
      </c>
      <c r="C237" t="s">
        <v>101</v>
      </c>
      <c r="D237" t="s">
        <v>100</v>
      </c>
      <c r="E237" s="2"/>
      <c r="F237" s="2">
        <v>403572.29</v>
      </c>
      <c r="G237" s="2"/>
      <c r="H237" s="8">
        <f t="shared" si="6"/>
        <v>403572.29</v>
      </c>
      <c r="I237" s="10">
        <f t="shared" si="7"/>
        <v>0</v>
      </c>
      <c r="L237" s="2"/>
      <c r="M237" s="2"/>
      <c r="N237" s="2"/>
    </row>
    <row r="238" spans="1:14" ht="30" customHeight="1" x14ac:dyDescent="0.35">
      <c r="A238" t="s">
        <v>474</v>
      </c>
      <c r="B238" t="s">
        <v>475</v>
      </c>
      <c r="C238" t="s">
        <v>471</v>
      </c>
      <c r="D238" t="s">
        <v>470</v>
      </c>
      <c r="E238" s="2">
        <v>0</v>
      </c>
      <c r="F238" s="2"/>
      <c r="G238" s="2"/>
      <c r="H238" s="8" t="str">
        <f t="shared" si="6"/>
        <v/>
      </c>
      <c r="I238" s="10" t="str">
        <f t="shared" si="7"/>
        <v/>
      </c>
      <c r="L238" s="2"/>
      <c r="M238" s="2"/>
      <c r="N238" s="2"/>
    </row>
    <row r="239" spans="1:14" ht="30" customHeight="1" x14ac:dyDescent="0.35">
      <c r="A239" t="s">
        <v>2302</v>
      </c>
      <c r="B239" t="s">
        <v>2303</v>
      </c>
      <c r="C239" t="s">
        <v>471</v>
      </c>
      <c r="D239" t="s">
        <v>470</v>
      </c>
      <c r="E239" s="2">
        <v>0</v>
      </c>
      <c r="F239" s="2"/>
      <c r="G239" s="2"/>
      <c r="H239" s="8" t="str">
        <f t="shared" si="6"/>
        <v/>
      </c>
      <c r="I239" s="10" t="str">
        <f t="shared" si="7"/>
        <v/>
      </c>
      <c r="L239" s="2"/>
      <c r="M239" s="2"/>
      <c r="N239" s="2"/>
    </row>
    <row r="240" spans="1:14" ht="30" customHeight="1" x14ac:dyDescent="0.35">
      <c r="A240" t="s">
        <v>476</v>
      </c>
      <c r="B240" t="s">
        <v>477</v>
      </c>
      <c r="C240" t="s">
        <v>461</v>
      </c>
      <c r="D240" t="s">
        <v>460</v>
      </c>
      <c r="E240" s="2">
        <v>0</v>
      </c>
      <c r="F240" s="2"/>
      <c r="G240" s="2"/>
      <c r="H240" s="8" t="str">
        <f t="shared" si="6"/>
        <v/>
      </c>
      <c r="I240" s="10" t="str">
        <f t="shared" si="7"/>
        <v/>
      </c>
      <c r="L240" s="2"/>
      <c r="M240" s="2"/>
      <c r="N240" s="2"/>
    </row>
    <row r="241" spans="1:14" ht="30" customHeight="1" x14ac:dyDescent="0.35">
      <c r="A241" t="s">
        <v>478</v>
      </c>
      <c r="B241" t="s">
        <v>479</v>
      </c>
      <c r="C241" t="s">
        <v>461</v>
      </c>
      <c r="D241" t="s">
        <v>460</v>
      </c>
      <c r="E241" s="2">
        <v>40</v>
      </c>
      <c r="F241" s="2"/>
      <c r="G241" s="2"/>
      <c r="H241" s="8" t="str">
        <f t="shared" si="6"/>
        <v/>
      </c>
      <c r="I241" s="10" t="str">
        <f t="shared" si="7"/>
        <v/>
      </c>
      <c r="L241" s="2"/>
      <c r="M241" s="2"/>
      <c r="N241" s="2"/>
    </row>
    <row r="242" spans="1:14" ht="30" customHeight="1" x14ac:dyDescent="0.35">
      <c r="A242" t="s">
        <v>2304</v>
      </c>
      <c r="B242" t="s">
        <v>2305</v>
      </c>
      <c r="C242" t="s">
        <v>2258</v>
      </c>
      <c r="D242" t="s">
        <v>1760</v>
      </c>
      <c r="E242" s="2">
        <v>216715.24</v>
      </c>
      <c r="F242" s="2"/>
      <c r="G242" s="2"/>
      <c r="H242" s="8" t="str">
        <f t="shared" si="6"/>
        <v/>
      </c>
      <c r="I242" s="10" t="str">
        <f t="shared" si="7"/>
        <v/>
      </c>
      <c r="L242" s="2"/>
      <c r="M242" s="2"/>
      <c r="N242" s="2"/>
    </row>
    <row r="243" spans="1:14" ht="30" customHeight="1" x14ac:dyDescent="0.35">
      <c r="A243" t="s">
        <v>480</v>
      </c>
      <c r="B243" t="s">
        <v>481</v>
      </c>
      <c r="C243" t="s">
        <v>101</v>
      </c>
      <c r="D243" t="s">
        <v>100</v>
      </c>
      <c r="E243" s="2">
        <v>15066.78</v>
      </c>
      <c r="F243" s="2">
        <v>612452.17000000004</v>
      </c>
      <c r="G243" s="2"/>
      <c r="H243" s="8">
        <f t="shared" si="6"/>
        <v>612452.17000000004</v>
      </c>
      <c r="I243" s="10">
        <f t="shared" si="7"/>
        <v>2.4600745556995905E-2</v>
      </c>
      <c r="L243" s="2"/>
      <c r="M243" s="2"/>
      <c r="N243" s="2"/>
    </row>
    <row r="244" spans="1:14" ht="30" customHeight="1" x14ac:dyDescent="0.35">
      <c r="A244" t="s">
        <v>2306</v>
      </c>
      <c r="B244" t="s">
        <v>2307</v>
      </c>
      <c r="C244" t="s">
        <v>15</v>
      </c>
      <c r="D244" t="s">
        <v>14</v>
      </c>
      <c r="E244" s="2"/>
      <c r="F244" s="2">
        <v>442500</v>
      </c>
      <c r="G244" s="2"/>
      <c r="H244" s="8">
        <f t="shared" si="6"/>
        <v>442500</v>
      </c>
      <c r="I244" s="10">
        <f t="shared" si="7"/>
        <v>0</v>
      </c>
      <c r="L244" s="2"/>
      <c r="M244" s="2"/>
      <c r="N244" s="2"/>
    </row>
    <row r="245" spans="1:14" ht="30" customHeight="1" x14ac:dyDescent="0.35">
      <c r="A245" t="s">
        <v>482</v>
      </c>
      <c r="B245" t="s">
        <v>483</v>
      </c>
      <c r="C245" t="s">
        <v>101</v>
      </c>
      <c r="D245" t="s">
        <v>100</v>
      </c>
      <c r="E245" s="2">
        <v>470452</v>
      </c>
      <c r="F245" s="2">
        <v>0</v>
      </c>
      <c r="G245" s="2">
        <v>200000</v>
      </c>
      <c r="H245" s="8">
        <f t="shared" si="6"/>
        <v>200000</v>
      </c>
      <c r="I245" s="10">
        <f t="shared" si="7"/>
        <v>2.3522599999999998</v>
      </c>
      <c r="L245" s="2"/>
      <c r="M245" s="2"/>
      <c r="N245" s="2"/>
    </row>
    <row r="246" spans="1:14" ht="30" customHeight="1" x14ac:dyDescent="0.35">
      <c r="A246" t="s">
        <v>2308</v>
      </c>
      <c r="B246" t="s">
        <v>2309</v>
      </c>
      <c r="C246" t="s">
        <v>101</v>
      </c>
      <c r="D246" t="s">
        <v>100</v>
      </c>
      <c r="E246" s="2">
        <v>232.15</v>
      </c>
      <c r="F246" s="2">
        <v>297370.59999999998</v>
      </c>
      <c r="G246" s="2"/>
      <c r="H246" s="8">
        <f t="shared" si="6"/>
        <v>297370.59999999998</v>
      </c>
      <c r="I246" s="10">
        <f t="shared" si="7"/>
        <v>7.80675695579859E-4</v>
      </c>
      <c r="L246" s="2"/>
      <c r="M246" s="2"/>
      <c r="N246" s="2"/>
    </row>
    <row r="247" spans="1:14" ht="30" customHeight="1" x14ac:dyDescent="0.35">
      <c r="A247" t="s">
        <v>484</v>
      </c>
      <c r="B247" t="s">
        <v>485</v>
      </c>
      <c r="C247" t="s">
        <v>487</v>
      </c>
      <c r="D247" t="s">
        <v>486</v>
      </c>
      <c r="E247" s="2">
        <v>1574601</v>
      </c>
      <c r="F247" s="2">
        <v>867288</v>
      </c>
      <c r="G247" s="2">
        <v>750000</v>
      </c>
      <c r="H247" s="8">
        <f t="shared" si="6"/>
        <v>1617288</v>
      </c>
      <c r="I247" s="10">
        <f t="shared" si="7"/>
        <v>0.97360581417780878</v>
      </c>
      <c r="L247" s="2"/>
      <c r="M247" s="2"/>
      <c r="N247" s="2"/>
    </row>
    <row r="248" spans="1:14" ht="30" customHeight="1" x14ac:dyDescent="0.35">
      <c r="A248" t="s">
        <v>2310</v>
      </c>
      <c r="B248" t="s">
        <v>2311</v>
      </c>
      <c r="C248" t="s">
        <v>2238</v>
      </c>
      <c r="D248" t="s">
        <v>2239</v>
      </c>
      <c r="E248" s="2">
        <v>23028.51</v>
      </c>
      <c r="F248" s="2"/>
      <c r="G248" s="2"/>
      <c r="H248" s="8" t="str">
        <f t="shared" si="6"/>
        <v/>
      </c>
      <c r="I248" s="10" t="str">
        <f t="shared" si="7"/>
        <v/>
      </c>
      <c r="L248" s="2"/>
      <c r="M248" s="2"/>
      <c r="N248" s="2"/>
    </row>
    <row r="249" spans="1:14" ht="30" customHeight="1" x14ac:dyDescent="0.35">
      <c r="A249" t="s">
        <v>2312</v>
      </c>
      <c r="B249" t="s">
        <v>2313</v>
      </c>
      <c r="C249" t="s">
        <v>2238</v>
      </c>
      <c r="D249" t="s">
        <v>2239</v>
      </c>
      <c r="E249" s="2">
        <v>15067.43</v>
      </c>
      <c r="F249" s="2"/>
      <c r="G249" s="2"/>
      <c r="H249" s="8" t="str">
        <f t="shared" si="6"/>
        <v/>
      </c>
      <c r="I249" s="10" t="str">
        <f t="shared" si="7"/>
        <v/>
      </c>
      <c r="L249" s="2"/>
      <c r="M249" s="2"/>
      <c r="N249" s="2"/>
    </row>
    <row r="250" spans="1:14" ht="30" customHeight="1" x14ac:dyDescent="0.35">
      <c r="A250" t="s">
        <v>488</v>
      </c>
      <c r="B250" t="s">
        <v>489</v>
      </c>
      <c r="C250" t="s">
        <v>2225</v>
      </c>
      <c r="D250" t="s">
        <v>308</v>
      </c>
      <c r="E250" s="2">
        <v>118625.96</v>
      </c>
      <c r="F250" s="2">
        <v>53561.51</v>
      </c>
      <c r="G250" s="2">
        <v>5438.49</v>
      </c>
      <c r="H250" s="8">
        <f t="shared" ref="H250:H307" si="8">IF(ISBLANK(F250), "",(F250+G250))</f>
        <v>59000</v>
      </c>
      <c r="I250" s="10">
        <f t="shared" ref="I250:I307" si="9">IF(ISBLANK(F250), "", E250/H250)</f>
        <v>2.010609491525424</v>
      </c>
      <c r="L250" s="2"/>
      <c r="M250" s="2"/>
      <c r="N250" s="2"/>
    </row>
    <row r="251" spans="1:14" ht="30" customHeight="1" x14ac:dyDescent="0.35">
      <c r="A251" t="s">
        <v>490</v>
      </c>
      <c r="B251" t="s">
        <v>491</v>
      </c>
      <c r="C251" t="s">
        <v>2225</v>
      </c>
      <c r="D251" t="s">
        <v>308</v>
      </c>
      <c r="E251" s="2">
        <v>749935.9</v>
      </c>
      <c r="F251" s="2"/>
      <c r="G251" s="2"/>
      <c r="H251" s="8" t="str">
        <f t="shared" si="8"/>
        <v/>
      </c>
      <c r="I251" s="10" t="str">
        <f t="shared" si="9"/>
        <v/>
      </c>
      <c r="L251" s="2"/>
      <c r="M251" s="2"/>
      <c r="N251" s="2"/>
    </row>
    <row r="252" spans="1:14" ht="30" customHeight="1" x14ac:dyDescent="0.35">
      <c r="A252" t="s">
        <v>492</v>
      </c>
      <c r="B252" t="s">
        <v>493</v>
      </c>
      <c r="C252" t="s">
        <v>2225</v>
      </c>
      <c r="D252" t="s">
        <v>308</v>
      </c>
      <c r="E252" s="2">
        <v>25194.05</v>
      </c>
      <c r="F252" s="2"/>
      <c r="G252" s="2"/>
      <c r="H252" s="8" t="str">
        <f t="shared" si="8"/>
        <v/>
      </c>
      <c r="I252" s="10" t="str">
        <f t="shared" si="9"/>
        <v/>
      </c>
      <c r="L252" s="2"/>
      <c r="M252" s="2"/>
      <c r="N252" s="2"/>
    </row>
    <row r="253" spans="1:14" ht="30" customHeight="1" x14ac:dyDescent="0.35">
      <c r="A253" t="s">
        <v>494</v>
      </c>
      <c r="B253" t="s">
        <v>495</v>
      </c>
      <c r="C253" t="s">
        <v>2225</v>
      </c>
      <c r="D253" t="s">
        <v>308</v>
      </c>
      <c r="E253" s="2">
        <v>9416</v>
      </c>
      <c r="F253" s="2"/>
      <c r="G253" s="2"/>
      <c r="H253" s="8" t="str">
        <f t="shared" si="8"/>
        <v/>
      </c>
      <c r="I253" s="10" t="str">
        <f t="shared" si="9"/>
        <v/>
      </c>
      <c r="L253" s="2"/>
      <c r="M253" s="2"/>
      <c r="N253" s="2"/>
    </row>
    <row r="254" spans="1:14" ht="30" customHeight="1" x14ac:dyDescent="0.35">
      <c r="A254" t="s">
        <v>496</v>
      </c>
      <c r="B254" t="s">
        <v>497</v>
      </c>
      <c r="C254" t="s">
        <v>465</v>
      </c>
      <c r="D254" t="s">
        <v>464</v>
      </c>
      <c r="E254" s="2">
        <v>8970.5</v>
      </c>
      <c r="F254" s="2">
        <v>772000</v>
      </c>
      <c r="G254" s="2">
        <v>3392000</v>
      </c>
      <c r="H254" s="8">
        <f t="shared" si="8"/>
        <v>4164000</v>
      </c>
      <c r="I254" s="10">
        <f t="shared" si="9"/>
        <v>2.1542987512007685E-3</v>
      </c>
      <c r="L254" s="2"/>
      <c r="M254" s="2"/>
      <c r="N254" s="2"/>
    </row>
    <row r="255" spans="1:14" ht="30" customHeight="1" x14ac:dyDescent="0.35">
      <c r="A255" t="s">
        <v>498</v>
      </c>
      <c r="B255" t="s">
        <v>499</v>
      </c>
      <c r="C255" t="s">
        <v>19</v>
      </c>
      <c r="D255" t="s">
        <v>18</v>
      </c>
      <c r="E255" s="2">
        <v>9336.0300000000007</v>
      </c>
      <c r="F255" s="2">
        <v>0</v>
      </c>
      <c r="G255" s="2">
        <v>250000</v>
      </c>
      <c r="H255" s="8">
        <f t="shared" si="8"/>
        <v>250000</v>
      </c>
      <c r="I255" s="10">
        <f t="shared" si="9"/>
        <v>3.7344120000000001E-2</v>
      </c>
      <c r="L255" s="2"/>
      <c r="M255" s="2"/>
      <c r="N255" s="2"/>
    </row>
    <row r="256" spans="1:14" ht="30" customHeight="1" x14ac:dyDescent="0.35">
      <c r="A256" t="s">
        <v>500</v>
      </c>
      <c r="B256" t="s">
        <v>501</v>
      </c>
      <c r="C256" t="s">
        <v>57</v>
      </c>
      <c r="D256" t="s">
        <v>56</v>
      </c>
      <c r="E256" s="2">
        <v>55130.42</v>
      </c>
      <c r="F256" s="2">
        <v>273727.64</v>
      </c>
      <c r="G256" s="2">
        <v>19781.490000000002</v>
      </c>
      <c r="H256" s="8">
        <f t="shared" si="8"/>
        <v>293509.13</v>
      </c>
      <c r="I256" s="10">
        <f t="shared" si="9"/>
        <v>0.187832044611355</v>
      </c>
      <c r="L256" s="2"/>
      <c r="M256" s="2"/>
      <c r="N256" s="2"/>
    </row>
    <row r="257" spans="1:14" ht="30" customHeight="1" x14ac:dyDescent="0.35">
      <c r="A257" t="s">
        <v>502</v>
      </c>
      <c r="B257" t="s">
        <v>503</v>
      </c>
      <c r="C257" t="s">
        <v>253</v>
      </c>
      <c r="D257" t="s">
        <v>252</v>
      </c>
      <c r="E257" s="2">
        <v>1417.99</v>
      </c>
      <c r="F257" s="2">
        <v>175155.22</v>
      </c>
      <c r="G257" s="2">
        <v>106844.57</v>
      </c>
      <c r="H257" s="8">
        <f t="shared" si="8"/>
        <v>281999.79000000004</v>
      </c>
      <c r="I257" s="10">
        <f t="shared" si="9"/>
        <v>5.0283370778396669E-3</v>
      </c>
      <c r="L257" s="2"/>
      <c r="M257" s="2"/>
      <c r="N257" s="2"/>
    </row>
    <row r="258" spans="1:14" ht="30" customHeight="1" x14ac:dyDescent="0.35">
      <c r="A258" t="s">
        <v>504</v>
      </c>
      <c r="B258" t="s">
        <v>505</v>
      </c>
      <c r="C258" t="s">
        <v>2273</v>
      </c>
      <c r="D258" t="s">
        <v>1552</v>
      </c>
      <c r="E258" s="2">
        <v>235</v>
      </c>
      <c r="F258" s="2"/>
      <c r="G258" s="2"/>
      <c r="H258" s="8" t="str">
        <f t="shared" si="8"/>
        <v/>
      </c>
      <c r="I258" s="10" t="str">
        <f t="shared" si="9"/>
        <v/>
      </c>
      <c r="L258" s="2"/>
      <c r="M258" s="2"/>
      <c r="N258" s="2"/>
    </row>
    <row r="259" spans="1:14" ht="30" customHeight="1" x14ac:dyDescent="0.35">
      <c r="A259" t="s">
        <v>506</v>
      </c>
      <c r="B259" t="s">
        <v>507</v>
      </c>
      <c r="C259" t="s">
        <v>487</v>
      </c>
      <c r="D259" t="s">
        <v>486</v>
      </c>
      <c r="E259" s="2">
        <v>378240.96</v>
      </c>
      <c r="F259" s="2">
        <v>795169.26</v>
      </c>
      <c r="G259" s="2">
        <v>499970.95</v>
      </c>
      <c r="H259" s="8">
        <f t="shared" si="8"/>
        <v>1295140.21</v>
      </c>
      <c r="I259" s="10">
        <f t="shared" si="9"/>
        <v>0.29204634145364078</v>
      </c>
      <c r="L259" s="2"/>
      <c r="M259" s="2"/>
      <c r="N259" s="2"/>
    </row>
    <row r="260" spans="1:14" ht="30" customHeight="1" x14ac:dyDescent="0.35">
      <c r="A260" t="s">
        <v>508</v>
      </c>
      <c r="B260" t="s">
        <v>509</v>
      </c>
      <c r="C260" t="s">
        <v>457</v>
      </c>
      <c r="D260" t="s">
        <v>456</v>
      </c>
      <c r="E260" s="2">
        <v>110798</v>
      </c>
      <c r="F260" s="2">
        <v>0</v>
      </c>
      <c r="G260" s="2">
        <v>400000</v>
      </c>
      <c r="H260" s="8">
        <f t="shared" si="8"/>
        <v>400000</v>
      </c>
      <c r="I260" s="10">
        <f t="shared" si="9"/>
        <v>0.27699499999999999</v>
      </c>
      <c r="L260" s="2"/>
      <c r="M260" s="2"/>
      <c r="N260" s="2"/>
    </row>
    <row r="261" spans="1:14" ht="30" customHeight="1" x14ac:dyDescent="0.35">
      <c r="A261" t="s">
        <v>510</v>
      </c>
      <c r="B261" t="s">
        <v>511</v>
      </c>
      <c r="C261" t="s">
        <v>41</v>
      </c>
      <c r="D261" t="s">
        <v>40</v>
      </c>
      <c r="E261" s="2">
        <v>8500</v>
      </c>
      <c r="F261" s="2">
        <v>393700</v>
      </c>
      <c r="G261" s="2"/>
      <c r="H261" s="8">
        <f t="shared" si="8"/>
        <v>393700</v>
      </c>
      <c r="I261" s="10">
        <f t="shared" si="9"/>
        <v>2.1590043180086359E-2</v>
      </c>
      <c r="L261" s="2"/>
      <c r="M261" s="2"/>
      <c r="N261" s="2"/>
    </row>
    <row r="262" spans="1:14" ht="30" customHeight="1" x14ac:dyDescent="0.35">
      <c r="A262" t="s">
        <v>512</v>
      </c>
      <c r="B262" t="s">
        <v>513</v>
      </c>
      <c r="C262" t="s">
        <v>457</v>
      </c>
      <c r="D262" t="s">
        <v>456</v>
      </c>
      <c r="E262" s="2">
        <v>0</v>
      </c>
      <c r="F262" s="2">
        <v>1620000</v>
      </c>
      <c r="G262" s="2"/>
      <c r="H262" s="8">
        <f t="shared" si="8"/>
        <v>1620000</v>
      </c>
      <c r="I262" s="10">
        <f t="shared" si="9"/>
        <v>0</v>
      </c>
      <c r="L262" s="2"/>
      <c r="M262" s="2"/>
      <c r="N262" s="2"/>
    </row>
    <row r="263" spans="1:14" ht="30" customHeight="1" x14ac:dyDescent="0.35">
      <c r="A263" t="s">
        <v>514</v>
      </c>
      <c r="B263" t="s">
        <v>515</v>
      </c>
      <c r="C263" t="s">
        <v>101</v>
      </c>
      <c r="D263" t="s">
        <v>100</v>
      </c>
      <c r="E263" s="2">
        <v>37687.18</v>
      </c>
      <c r="F263" s="2"/>
      <c r="G263" s="2"/>
      <c r="H263" s="8" t="str">
        <f t="shared" si="8"/>
        <v/>
      </c>
      <c r="I263" s="10" t="str">
        <f t="shared" si="9"/>
        <v/>
      </c>
      <c r="L263" s="2"/>
      <c r="M263" s="2"/>
      <c r="N263" s="2"/>
    </row>
    <row r="264" spans="1:14" ht="30" customHeight="1" x14ac:dyDescent="0.35">
      <c r="A264" t="s">
        <v>516</v>
      </c>
      <c r="B264" t="s">
        <v>517</v>
      </c>
      <c r="C264" t="s">
        <v>2273</v>
      </c>
      <c r="D264" t="s">
        <v>1552</v>
      </c>
      <c r="E264" s="2">
        <v>169402.98</v>
      </c>
      <c r="F264" s="2">
        <v>1957000</v>
      </c>
      <c r="G264" s="2"/>
      <c r="H264" s="8">
        <f t="shared" si="8"/>
        <v>1957000</v>
      </c>
      <c r="I264" s="10">
        <f t="shared" si="9"/>
        <v>8.6562585590189076E-2</v>
      </c>
      <c r="L264" s="2"/>
      <c r="M264" s="2"/>
      <c r="N264" s="2"/>
    </row>
    <row r="265" spans="1:14" ht="30" customHeight="1" x14ac:dyDescent="0.35">
      <c r="A265" t="s">
        <v>518</v>
      </c>
      <c r="B265" t="s">
        <v>519</v>
      </c>
      <c r="C265" t="s">
        <v>2273</v>
      </c>
      <c r="D265" t="s">
        <v>1552</v>
      </c>
      <c r="E265" s="2">
        <v>5000</v>
      </c>
      <c r="F265" s="2">
        <v>500000</v>
      </c>
      <c r="G265" s="2">
        <v>200000</v>
      </c>
      <c r="H265" s="8">
        <f t="shared" si="8"/>
        <v>700000</v>
      </c>
      <c r="I265" s="10">
        <f t="shared" si="9"/>
        <v>7.1428571428571426E-3</v>
      </c>
      <c r="L265" s="2"/>
      <c r="M265" s="2"/>
      <c r="N265" s="2"/>
    </row>
    <row r="266" spans="1:14" ht="30" customHeight="1" x14ac:dyDescent="0.35">
      <c r="A266" t="s">
        <v>520</v>
      </c>
      <c r="B266" t="s">
        <v>521</v>
      </c>
      <c r="C266" t="s">
        <v>15</v>
      </c>
      <c r="D266" t="s">
        <v>14</v>
      </c>
      <c r="E266" s="2"/>
      <c r="F266" s="2">
        <v>4000000</v>
      </c>
      <c r="G266" s="2"/>
      <c r="H266" s="8">
        <f t="shared" si="8"/>
        <v>4000000</v>
      </c>
      <c r="I266" s="10">
        <f t="shared" si="9"/>
        <v>0</v>
      </c>
      <c r="L266" s="2"/>
      <c r="M266" s="2"/>
      <c r="N266" s="2"/>
    </row>
    <row r="267" spans="1:14" ht="30" customHeight="1" x14ac:dyDescent="0.35">
      <c r="A267" t="s">
        <v>522</v>
      </c>
      <c r="B267" t="s">
        <v>523</v>
      </c>
      <c r="C267" t="s">
        <v>19</v>
      </c>
      <c r="D267" t="s">
        <v>18</v>
      </c>
      <c r="E267" s="2">
        <v>86235.45</v>
      </c>
      <c r="F267" s="2"/>
      <c r="G267" s="2"/>
      <c r="H267" s="8" t="str">
        <f t="shared" si="8"/>
        <v/>
      </c>
      <c r="I267" s="10" t="str">
        <f t="shared" si="9"/>
        <v/>
      </c>
      <c r="L267" s="2"/>
      <c r="M267" s="2"/>
      <c r="N267" s="2"/>
    </row>
    <row r="268" spans="1:14" ht="30" customHeight="1" x14ac:dyDescent="0.35">
      <c r="A268" t="s">
        <v>556</v>
      </c>
      <c r="B268" t="s">
        <v>557</v>
      </c>
      <c r="C268" t="s">
        <v>2225</v>
      </c>
      <c r="D268" t="s">
        <v>308</v>
      </c>
      <c r="E268" s="2">
        <v>995</v>
      </c>
      <c r="F268" s="2"/>
      <c r="G268" s="2"/>
      <c r="H268" s="8" t="str">
        <f t="shared" si="8"/>
        <v/>
      </c>
      <c r="I268" s="10" t="str">
        <f t="shared" si="9"/>
        <v/>
      </c>
      <c r="L268" s="2"/>
      <c r="M268" s="2"/>
      <c r="N268" s="2"/>
    </row>
    <row r="269" spans="1:14" ht="30" customHeight="1" x14ac:dyDescent="0.35">
      <c r="A269" t="s">
        <v>560</v>
      </c>
      <c r="B269" t="s">
        <v>561</v>
      </c>
      <c r="C269" t="s">
        <v>2263</v>
      </c>
      <c r="D269" t="s">
        <v>1233</v>
      </c>
      <c r="E269" s="2">
        <v>1902.69</v>
      </c>
      <c r="F269" s="2"/>
      <c r="G269" s="2"/>
      <c r="H269" s="8" t="str">
        <f t="shared" si="8"/>
        <v/>
      </c>
      <c r="I269" s="10" t="str">
        <f t="shared" si="9"/>
        <v/>
      </c>
      <c r="L269" s="2"/>
      <c r="M269" s="2"/>
      <c r="N269" s="2"/>
    </row>
    <row r="270" spans="1:14" ht="30" customHeight="1" x14ac:dyDescent="0.35">
      <c r="A270" t="s">
        <v>566</v>
      </c>
      <c r="B270" t="s">
        <v>567</v>
      </c>
      <c r="C270" t="s">
        <v>29</v>
      </c>
      <c r="D270" t="s">
        <v>28</v>
      </c>
      <c r="E270" s="2">
        <v>356532.24</v>
      </c>
      <c r="F270" s="2"/>
      <c r="G270" s="2"/>
      <c r="H270" s="8" t="str">
        <f t="shared" si="8"/>
        <v/>
      </c>
      <c r="I270" s="10" t="str">
        <f t="shared" si="9"/>
        <v/>
      </c>
      <c r="L270" s="2"/>
      <c r="M270" s="2"/>
      <c r="N270" s="2"/>
    </row>
    <row r="271" spans="1:14" ht="30" customHeight="1" x14ac:dyDescent="0.35">
      <c r="A271" t="s">
        <v>568</v>
      </c>
      <c r="B271" t="s">
        <v>569</v>
      </c>
      <c r="C271" t="s">
        <v>29</v>
      </c>
      <c r="D271" t="s">
        <v>28</v>
      </c>
      <c r="E271" s="2">
        <v>1000.71</v>
      </c>
      <c r="F271" s="2"/>
      <c r="G271" s="2"/>
      <c r="H271" s="8" t="str">
        <f t="shared" si="8"/>
        <v/>
      </c>
      <c r="I271" s="10" t="str">
        <f t="shared" si="9"/>
        <v/>
      </c>
      <c r="L271" s="2"/>
      <c r="M271" s="2"/>
      <c r="N271" s="2"/>
    </row>
    <row r="272" spans="1:14" ht="30" customHeight="1" x14ac:dyDescent="0.35">
      <c r="A272" t="s">
        <v>580</v>
      </c>
      <c r="B272" t="s">
        <v>581</v>
      </c>
      <c r="C272" t="s">
        <v>15</v>
      </c>
      <c r="D272" t="s">
        <v>14</v>
      </c>
      <c r="E272" s="2">
        <v>1.4</v>
      </c>
      <c r="F272" s="2"/>
      <c r="G272" s="2"/>
      <c r="H272" s="8" t="str">
        <f t="shared" si="8"/>
        <v/>
      </c>
      <c r="I272" s="10" t="str">
        <f t="shared" si="9"/>
        <v/>
      </c>
      <c r="L272" s="2"/>
      <c r="M272" s="2"/>
      <c r="N272" s="2"/>
    </row>
    <row r="273" spans="1:14" ht="30" customHeight="1" x14ac:dyDescent="0.35">
      <c r="A273" t="s">
        <v>584</v>
      </c>
      <c r="B273" t="s">
        <v>585</v>
      </c>
      <c r="C273" t="s">
        <v>2273</v>
      </c>
      <c r="D273" t="s">
        <v>1552</v>
      </c>
      <c r="E273" s="2">
        <v>186401.5</v>
      </c>
      <c r="F273" s="2">
        <v>535194.28</v>
      </c>
      <c r="G273" s="2"/>
      <c r="H273" s="8">
        <f t="shared" si="8"/>
        <v>535194.28</v>
      </c>
      <c r="I273" s="10">
        <f t="shared" si="9"/>
        <v>0.34828754148867208</v>
      </c>
      <c r="L273" s="2"/>
      <c r="M273" s="2"/>
      <c r="N273" s="2"/>
    </row>
    <row r="274" spans="1:14" ht="30" customHeight="1" x14ac:dyDescent="0.35">
      <c r="A274" t="s">
        <v>32</v>
      </c>
      <c r="B274" t="s">
        <v>586</v>
      </c>
      <c r="C274" t="s">
        <v>2259</v>
      </c>
      <c r="D274" t="s">
        <v>713</v>
      </c>
      <c r="E274" s="2">
        <v>350238.09</v>
      </c>
      <c r="F274" s="2">
        <v>62148.47</v>
      </c>
      <c r="G274" s="2"/>
      <c r="H274" s="8">
        <f t="shared" si="8"/>
        <v>62148.47</v>
      </c>
      <c r="I274" s="10">
        <f t="shared" si="9"/>
        <v>5.6355062320922791</v>
      </c>
      <c r="L274" s="2"/>
      <c r="M274" s="2"/>
      <c r="N274" s="2"/>
    </row>
    <row r="275" spans="1:14" ht="30" customHeight="1" x14ac:dyDescent="0.35">
      <c r="A275">
        <v>1302</v>
      </c>
      <c r="B275" t="s">
        <v>592</v>
      </c>
      <c r="C275" t="s">
        <v>29</v>
      </c>
      <c r="D275" t="s">
        <v>28</v>
      </c>
      <c r="E275" s="2">
        <v>231587.6</v>
      </c>
      <c r="F275" s="2"/>
      <c r="G275" s="2"/>
      <c r="H275" s="8" t="str">
        <f t="shared" si="8"/>
        <v/>
      </c>
      <c r="I275" s="10" t="str">
        <f t="shared" si="9"/>
        <v/>
      </c>
      <c r="L275" s="2"/>
      <c r="M275" s="2"/>
      <c r="N275" s="2"/>
    </row>
    <row r="276" spans="1:14" ht="30" customHeight="1" x14ac:dyDescent="0.35">
      <c r="A276" t="s">
        <v>597</v>
      </c>
      <c r="B276" t="s">
        <v>598</v>
      </c>
      <c r="C276" t="s">
        <v>1679</v>
      </c>
      <c r="D276" t="s">
        <v>1621</v>
      </c>
      <c r="E276" s="2">
        <v>366650.35</v>
      </c>
      <c r="F276" s="2"/>
      <c r="G276" s="2"/>
      <c r="H276" s="8" t="str">
        <f t="shared" si="8"/>
        <v/>
      </c>
      <c r="I276" s="10" t="str">
        <f t="shared" si="9"/>
        <v/>
      </c>
      <c r="L276" s="2"/>
      <c r="M276" s="2"/>
      <c r="N276" s="2"/>
    </row>
    <row r="277" spans="1:14" ht="30" customHeight="1" x14ac:dyDescent="0.35">
      <c r="A277" t="s">
        <v>603</v>
      </c>
      <c r="B277" t="s">
        <v>604</v>
      </c>
      <c r="C277" t="s">
        <v>51</v>
      </c>
      <c r="D277" t="s">
        <v>50</v>
      </c>
      <c r="E277" s="2">
        <v>14493.31</v>
      </c>
      <c r="F277" s="2">
        <v>1144.8900000000001</v>
      </c>
      <c r="G277" s="2"/>
      <c r="H277" s="8">
        <f t="shared" si="8"/>
        <v>1144.8900000000001</v>
      </c>
      <c r="I277" s="10">
        <f t="shared" si="9"/>
        <v>12.659128824603236</v>
      </c>
      <c r="L277" s="2"/>
      <c r="M277" s="2"/>
      <c r="N277" s="2"/>
    </row>
    <row r="278" spans="1:14" ht="30" customHeight="1" x14ac:dyDescent="0.35">
      <c r="A278" t="s">
        <v>629</v>
      </c>
      <c r="B278" t="s">
        <v>630</v>
      </c>
      <c r="C278" t="s">
        <v>2263</v>
      </c>
      <c r="D278" t="s">
        <v>1233</v>
      </c>
      <c r="E278" s="2">
        <v>96342.9</v>
      </c>
      <c r="F278" s="2"/>
      <c r="G278" s="2"/>
      <c r="H278" s="8" t="str">
        <f t="shared" si="8"/>
        <v/>
      </c>
      <c r="I278" s="10" t="str">
        <f t="shared" si="9"/>
        <v/>
      </c>
      <c r="L278" s="2"/>
      <c r="M278" s="2"/>
      <c r="N278" s="2"/>
    </row>
    <row r="279" spans="1:14" ht="30" customHeight="1" x14ac:dyDescent="0.35">
      <c r="A279" t="s">
        <v>631</v>
      </c>
      <c r="B279" t="s">
        <v>632</v>
      </c>
      <c r="C279" t="s">
        <v>465</v>
      </c>
      <c r="D279" t="s">
        <v>464</v>
      </c>
      <c r="E279" s="2">
        <v>457838.57</v>
      </c>
      <c r="F279" s="2">
        <v>2585987.2799999998</v>
      </c>
      <c r="G279" s="2">
        <v>1139000</v>
      </c>
      <c r="H279" s="8">
        <f t="shared" si="8"/>
        <v>3724987.28</v>
      </c>
      <c r="I279" s="10">
        <f t="shared" si="9"/>
        <v>0.12291010293060653</v>
      </c>
      <c r="L279" s="2"/>
      <c r="M279" s="2"/>
      <c r="N279" s="2"/>
    </row>
    <row r="280" spans="1:14" ht="30" customHeight="1" x14ac:dyDescent="0.35">
      <c r="A280" t="s">
        <v>633</v>
      </c>
      <c r="B280" t="s">
        <v>634</v>
      </c>
      <c r="C280" t="s">
        <v>2225</v>
      </c>
      <c r="D280" t="s">
        <v>308</v>
      </c>
      <c r="E280" s="2">
        <v>231</v>
      </c>
      <c r="F280" s="2"/>
      <c r="G280" s="2"/>
      <c r="H280" s="8" t="str">
        <f t="shared" si="8"/>
        <v/>
      </c>
      <c r="I280" s="10" t="str">
        <f t="shared" si="9"/>
        <v/>
      </c>
      <c r="L280" s="2"/>
      <c r="M280" s="2"/>
      <c r="N280" s="2"/>
    </row>
    <row r="281" spans="1:14" ht="30" customHeight="1" x14ac:dyDescent="0.35">
      <c r="A281" t="s">
        <v>635</v>
      </c>
      <c r="B281" t="s">
        <v>636</v>
      </c>
      <c r="C281" t="s">
        <v>2259</v>
      </c>
      <c r="D281" t="s">
        <v>713</v>
      </c>
      <c r="E281" s="2">
        <v>13445.83</v>
      </c>
      <c r="F281" s="2"/>
      <c r="G281" s="2"/>
      <c r="H281" s="8" t="str">
        <f t="shared" si="8"/>
        <v/>
      </c>
      <c r="I281" s="10" t="str">
        <f t="shared" si="9"/>
        <v/>
      </c>
      <c r="L281" s="2"/>
      <c r="M281" s="2"/>
      <c r="N281" s="2"/>
    </row>
    <row r="282" spans="1:14" ht="30" customHeight="1" x14ac:dyDescent="0.35">
      <c r="A282" t="s">
        <v>637</v>
      </c>
      <c r="B282" t="s">
        <v>638</v>
      </c>
      <c r="C282" t="s">
        <v>19</v>
      </c>
      <c r="D282" t="s">
        <v>18</v>
      </c>
      <c r="E282" s="2">
        <v>1163335.1100000001</v>
      </c>
      <c r="F282" s="2">
        <v>37330.74</v>
      </c>
      <c r="G282" s="2"/>
      <c r="H282" s="8">
        <f t="shared" si="8"/>
        <v>37330.74</v>
      </c>
      <c r="I282" s="10">
        <f t="shared" si="9"/>
        <v>31.162926585436029</v>
      </c>
      <c r="L282" s="2"/>
      <c r="M282" s="2"/>
      <c r="N282" s="2"/>
    </row>
    <row r="283" spans="1:14" ht="30" customHeight="1" x14ac:dyDescent="0.35">
      <c r="A283" t="s">
        <v>639</v>
      </c>
      <c r="B283" t="s">
        <v>640</v>
      </c>
      <c r="C283" t="s">
        <v>19</v>
      </c>
      <c r="D283" t="s">
        <v>18</v>
      </c>
      <c r="E283" s="2">
        <v>76841.61</v>
      </c>
      <c r="F283" s="2">
        <v>36413.129999999997</v>
      </c>
      <c r="G283" s="2"/>
      <c r="H283" s="8">
        <f t="shared" si="8"/>
        <v>36413.129999999997</v>
      </c>
      <c r="I283" s="10">
        <f t="shared" si="9"/>
        <v>2.1102720364879373</v>
      </c>
      <c r="L283" s="2"/>
      <c r="M283" s="2"/>
      <c r="N283" s="2"/>
    </row>
    <row r="284" spans="1:14" ht="30" customHeight="1" x14ac:dyDescent="0.35">
      <c r="A284" t="s">
        <v>643</v>
      </c>
      <c r="B284" t="s">
        <v>644</v>
      </c>
      <c r="C284" t="s">
        <v>2263</v>
      </c>
      <c r="D284" t="s">
        <v>1233</v>
      </c>
      <c r="E284" s="2">
        <v>651.25</v>
      </c>
      <c r="F284" s="2"/>
      <c r="G284" s="2"/>
      <c r="H284" s="8" t="str">
        <f t="shared" si="8"/>
        <v/>
      </c>
      <c r="I284" s="10" t="str">
        <f t="shared" si="9"/>
        <v/>
      </c>
      <c r="L284" s="2"/>
      <c r="M284" s="2"/>
      <c r="N284" s="2"/>
    </row>
    <row r="285" spans="1:14" ht="30" customHeight="1" x14ac:dyDescent="0.35">
      <c r="A285" t="s">
        <v>645</v>
      </c>
      <c r="B285" t="s">
        <v>646</v>
      </c>
      <c r="C285" t="s">
        <v>51</v>
      </c>
      <c r="D285" t="s">
        <v>50</v>
      </c>
      <c r="E285" s="2">
        <v>489840.84</v>
      </c>
      <c r="F285" s="2"/>
      <c r="G285" s="2"/>
      <c r="H285" s="8" t="str">
        <f t="shared" si="8"/>
        <v/>
      </c>
      <c r="I285" s="10" t="str">
        <f t="shared" si="9"/>
        <v/>
      </c>
      <c r="L285" s="2"/>
      <c r="M285" s="2"/>
      <c r="N285" s="2"/>
    </row>
    <row r="286" spans="1:14" ht="30" customHeight="1" x14ac:dyDescent="0.35">
      <c r="A286" t="s">
        <v>647</v>
      </c>
      <c r="B286" t="s">
        <v>648</v>
      </c>
      <c r="C286" t="s">
        <v>19</v>
      </c>
      <c r="D286" t="s">
        <v>18</v>
      </c>
      <c r="E286" s="2">
        <v>105995.05</v>
      </c>
      <c r="F286" s="2">
        <v>150025.84</v>
      </c>
      <c r="G286" s="2"/>
      <c r="H286" s="8">
        <f t="shared" si="8"/>
        <v>150025.84</v>
      </c>
      <c r="I286" s="10">
        <f t="shared" si="9"/>
        <v>0.70651195820666635</v>
      </c>
      <c r="L286" s="2"/>
      <c r="M286" s="2"/>
      <c r="N286" s="2"/>
    </row>
    <row r="287" spans="1:14" ht="30" customHeight="1" x14ac:dyDescent="0.35">
      <c r="A287" t="s">
        <v>649</v>
      </c>
      <c r="B287" t="s">
        <v>650</v>
      </c>
      <c r="C287" t="s">
        <v>77</v>
      </c>
      <c r="D287" t="s">
        <v>76</v>
      </c>
      <c r="E287" s="2">
        <v>49585.77</v>
      </c>
      <c r="F287" s="2"/>
      <c r="G287" s="2"/>
      <c r="H287" s="8" t="str">
        <f t="shared" si="8"/>
        <v/>
      </c>
      <c r="I287" s="10" t="str">
        <f t="shared" si="9"/>
        <v/>
      </c>
      <c r="L287" s="2"/>
      <c r="M287" s="2"/>
      <c r="N287" s="2"/>
    </row>
    <row r="288" spans="1:14" ht="30" customHeight="1" x14ac:dyDescent="0.35">
      <c r="A288" t="s">
        <v>651</v>
      </c>
      <c r="B288" t="s">
        <v>652</v>
      </c>
      <c r="C288" t="s">
        <v>19</v>
      </c>
      <c r="D288" t="s">
        <v>18</v>
      </c>
      <c r="E288" s="2">
        <v>388830.66</v>
      </c>
      <c r="F288" s="2"/>
      <c r="G288" s="2"/>
      <c r="H288" s="8" t="str">
        <f t="shared" si="8"/>
        <v/>
      </c>
      <c r="I288" s="10" t="str">
        <f t="shared" si="9"/>
        <v/>
      </c>
      <c r="L288" s="2"/>
      <c r="M288" s="2"/>
      <c r="N288" s="2"/>
    </row>
    <row r="289" spans="1:14" ht="30" customHeight="1" x14ac:dyDescent="0.35">
      <c r="A289" t="s">
        <v>653</v>
      </c>
      <c r="B289" t="s">
        <v>654</v>
      </c>
      <c r="C289" t="s">
        <v>2263</v>
      </c>
      <c r="D289" t="s">
        <v>1233</v>
      </c>
      <c r="E289" s="2">
        <v>660233.23</v>
      </c>
      <c r="F289" s="2"/>
      <c r="G289" s="2"/>
      <c r="H289" s="8" t="str">
        <f t="shared" si="8"/>
        <v/>
      </c>
      <c r="I289" s="10" t="str">
        <f t="shared" si="9"/>
        <v/>
      </c>
      <c r="L289" s="2"/>
      <c r="M289" s="2"/>
      <c r="N289" s="2"/>
    </row>
    <row r="290" spans="1:14" ht="30" customHeight="1" x14ac:dyDescent="0.35">
      <c r="A290" t="s">
        <v>655</v>
      </c>
      <c r="B290" t="s">
        <v>656</v>
      </c>
      <c r="C290" t="s">
        <v>51</v>
      </c>
      <c r="D290" t="s">
        <v>50</v>
      </c>
      <c r="E290" s="2">
        <v>399349.02</v>
      </c>
      <c r="F290" s="2">
        <v>0</v>
      </c>
      <c r="G290" s="2">
        <v>1000</v>
      </c>
      <c r="H290" s="8">
        <f t="shared" si="8"/>
        <v>1000</v>
      </c>
      <c r="I290" s="10">
        <f t="shared" si="9"/>
        <v>399.34902</v>
      </c>
      <c r="L290" s="2"/>
      <c r="M290" s="2"/>
      <c r="N290" s="2"/>
    </row>
    <row r="291" spans="1:14" ht="30" customHeight="1" x14ac:dyDescent="0.35">
      <c r="A291" t="s">
        <v>657</v>
      </c>
      <c r="B291" t="s">
        <v>658</v>
      </c>
      <c r="C291" t="s">
        <v>19</v>
      </c>
      <c r="D291" t="s">
        <v>18</v>
      </c>
      <c r="E291" s="2">
        <v>607.75</v>
      </c>
      <c r="F291" s="2"/>
      <c r="G291" s="2"/>
      <c r="H291" s="8" t="str">
        <f t="shared" si="8"/>
        <v/>
      </c>
      <c r="I291" s="10" t="str">
        <f t="shared" si="9"/>
        <v/>
      </c>
      <c r="L291" s="2"/>
      <c r="M291" s="2"/>
      <c r="N291" s="2"/>
    </row>
    <row r="292" spans="1:14" ht="30" customHeight="1" x14ac:dyDescent="0.35">
      <c r="A292" t="s">
        <v>659</v>
      </c>
      <c r="B292" t="s">
        <v>660</v>
      </c>
      <c r="C292" t="s">
        <v>2263</v>
      </c>
      <c r="D292" t="s">
        <v>1233</v>
      </c>
      <c r="E292" s="2">
        <v>74869.539999999994</v>
      </c>
      <c r="F292" s="2"/>
      <c r="G292" s="2"/>
      <c r="H292" s="8" t="str">
        <f t="shared" si="8"/>
        <v/>
      </c>
      <c r="I292" s="10" t="str">
        <f t="shared" si="9"/>
        <v/>
      </c>
      <c r="L292" s="2"/>
      <c r="M292" s="2"/>
      <c r="N292" s="2"/>
    </row>
    <row r="293" spans="1:14" ht="30" customHeight="1" x14ac:dyDescent="0.35">
      <c r="A293" t="s">
        <v>661</v>
      </c>
      <c r="B293" t="s">
        <v>662</v>
      </c>
      <c r="C293" t="s">
        <v>77</v>
      </c>
      <c r="D293" t="s">
        <v>76</v>
      </c>
      <c r="E293" s="2">
        <v>8043.64</v>
      </c>
      <c r="F293" s="2"/>
      <c r="G293" s="2"/>
      <c r="H293" s="8" t="str">
        <f t="shared" si="8"/>
        <v/>
      </c>
      <c r="I293" s="10" t="str">
        <f t="shared" si="9"/>
        <v/>
      </c>
      <c r="L293" s="2"/>
      <c r="M293" s="2"/>
      <c r="N293" s="2"/>
    </row>
    <row r="294" spans="1:14" ht="30" customHeight="1" x14ac:dyDescent="0.35">
      <c r="A294" t="s">
        <v>663</v>
      </c>
      <c r="B294" t="s">
        <v>664</v>
      </c>
      <c r="C294" t="s">
        <v>51</v>
      </c>
      <c r="D294" t="s">
        <v>50</v>
      </c>
      <c r="E294" s="2">
        <v>334816.17</v>
      </c>
      <c r="F294" s="2"/>
      <c r="G294" s="2"/>
      <c r="H294" s="8" t="str">
        <f t="shared" si="8"/>
        <v/>
      </c>
      <c r="I294" s="10" t="str">
        <f t="shared" si="9"/>
        <v/>
      </c>
      <c r="L294" s="2"/>
      <c r="M294" s="2"/>
      <c r="N294" s="2"/>
    </row>
    <row r="295" spans="1:14" ht="30" customHeight="1" x14ac:dyDescent="0.35">
      <c r="A295" t="s">
        <v>665</v>
      </c>
      <c r="B295" t="s">
        <v>666</v>
      </c>
      <c r="C295" t="s">
        <v>57</v>
      </c>
      <c r="D295" t="s">
        <v>56</v>
      </c>
      <c r="E295" s="2">
        <v>235152.95</v>
      </c>
      <c r="F295" s="2">
        <v>190162.62</v>
      </c>
      <c r="G295" s="2">
        <v>50000</v>
      </c>
      <c r="H295" s="8">
        <f t="shared" si="8"/>
        <v>240162.62</v>
      </c>
      <c r="I295" s="10">
        <f t="shared" si="9"/>
        <v>0.9791405090434141</v>
      </c>
      <c r="L295" s="2"/>
      <c r="M295" s="2"/>
      <c r="N295" s="2"/>
    </row>
    <row r="296" spans="1:14" ht="30" customHeight="1" x14ac:dyDescent="0.35">
      <c r="A296" t="s">
        <v>667</v>
      </c>
      <c r="B296" t="s">
        <v>668</v>
      </c>
      <c r="C296" t="s">
        <v>19</v>
      </c>
      <c r="D296" t="s">
        <v>18</v>
      </c>
      <c r="E296" s="2">
        <v>223059.07</v>
      </c>
      <c r="F296" s="2"/>
      <c r="G296" s="2"/>
      <c r="H296" s="8" t="str">
        <f t="shared" si="8"/>
        <v/>
      </c>
      <c r="I296" s="10" t="str">
        <f t="shared" si="9"/>
        <v/>
      </c>
      <c r="L296" s="2"/>
      <c r="M296" s="2"/>
      <c r="N296" s="2"/>
    </row>
    <row r="297" spans="1:14" ht="30" customHeight="1" x14ac:dyDescent="0.35">
      <c r="A297" t="s">
        <v>76</v>
      </c>
      <c r="B297" t="s">
        <v>669</v>
      </c>
      <c r="C297" t="s">
        <v>51</v>
      </c>
      <c r="D297" t="s">
        <v>50</v>
      </c>
      <c r="E297" s="2">
        <v>38735.19</v>
      </c>
      <c r="F297" s="2">
        <v>103895.64</v>
      </c>
      <c r="G297" s="2"/>
      <c r="H297" s="8">
        <f t="shared" si="8"/>
        <v>103895.64</v>
      </c>
      <c r="I297" s="10">
        <f t="shared" si="9"/>
        <v>0.37282786842643256</v>
      </c>
      <c r="L297" s="2"/>
      <c r="M297" s="2"/>
      <c r="N297" s="2"/>
    </row>
    <row r="298" spans="1:14" ht="30" customHeight="1" x14ac:dyDescent="0.35">
      <c r="A298" t="s">
        <v>670</v>
      </c>
      <c r="B298" t="s">
        <v>671</v>
      </c>
      <c r="C298" t="s">
        <v>19</v>
      </c>
      <c r="D298" t="s">
        <v>18</v>
      </c>
      <c r="E298" s="2">
        <v>206228.52</v>
      </c>
      <c r="F298" s="2"/>
      <c r="G298" s="2"/>
      <c r="H298" s="8" t="str">
        <f t="shared" si="8"/>
        <v/>
      </c>
      <c r="I298" s="10" t="str">
        <f t="shared" si="9"/>
        <v/>
      </c>
      <c r="L298" s="2"/>
      <c r="M298" s="2"/>
      <c r="N298" s="2"/>
    </row>
    <row r="299" spans="1:14" ht="30" customHeight="1" x14ac:dyDescent="0.35">
      <c r="A299" t="s">
        <v>672</v>
      </c>
      <c r="B299" t="s">
        <v>673</v>
      </c>
      <c r="C299" t="s">
        <v>101</v>
      </c>
      <c r="D299" t="s">
        <v>100</v>
      </c>
      <c r="E299" s="2">
        <v>1776170.02</v>
      </c>
      <c r="F299" s="2">
        <v>96191.34</v>
      </c>
      <c r="G299" s="2">
        <v>1000</v>
      </c>
      <c r="H299" s="8">
        <f t="shared" si="8"/>
        <v>97191.34</v>
      </c>
      <c r="I299" s="10">
        <f t="shared" si="9"/>
        <v>18.274982318383511</v>
      </c>
      <c r="L299" s="2"/>
      <c r="M299" s="2"/>
      <c r="N299" s="2"/>
    </row>
    <row r="300" spans="1:14" ht="30" customHeight="1" x14ac:dyDescent="0.35">
      <c r="A300" t="s">
        <v>674</v>
      </c>
      <c r="B300" t="s">
        <v>675</v>
      </c>
      <c r="C300" t="s">
        <v>2224</v>
      </c>
      <c r="D300" t="s">
        <v>1673</v>
      </c>
      <c r="E300" s="2">
        <v>240749.68</v>
      </c>
      <c r="F300" s="2">
        <v>716754.77</v>
      </c>
      <c r="G300" s="2">
        <v>1513606.23</v>
      </c>
      <c r="H300" s="8">
        <f t="shared" si="8"/>
        <v>2230361</v>
      </c>
      <c r="I300" s="10">
        <f t="shared" si="9"/>
        <v>0.10794202373517112</v>
      </c>
      <c r="L300" s="2"/>
      <c r="M300" s="2"/>
      <c r="N300" s="2"/>
    </row>
    <row r="301" spans="1:14" ht="30" customHeight="1" x14ac:dyDescent="0.35">
      <c r="A301" t="s">
        <v>676</v>
      </c>
      <c r="B301" t="s">
        <v>677</v>
      </c>
      <c r="C301" t="s">
        <v>19</v>
      </c>
      <c r="D301" t="s">
        <v>18</v>
      </c>
      <c r="E301" s="2">
        <v>288121.95</v>
      </c>
      <c r="F301" s="2"/>
      <c r="G301" s="2"/>
      <c r="H301" s="8" t="str">
        <f t="shared" si="8"/>
        <v/>
      </c>
      <c r="I301" s="10" t="str">
        <f t="shared" si="9"/>
        <v/>
      </c>
      <c r="L301" s="2"/>
      <c r="M301" s="2"/>
      <c r="N301" s="2"/>
    </row>
    <row r="302" spans="1:14" ht="30" customHeight="1" x14ac:dyDescent="0.35">
      <c r="A302" t="s">
        <v>678</v>
      </c>
      <c r="B302" t="s">
        <v>679</v>
      </c>
      <c r="C302" t="s">
        <v>19</v>
      </c>
      <c r="D302" t="s">
        <v>18</v>
      </c>
      <c r="E302" s="2">
        <v>27185.1</v>
      </c>
      <c r="F302" s="2">
        <v>13727.53</v>
      </c>
      <c r="G302" s="2">
        <v>6000</v>
      </c>
      <c r="H302" s="8">
        <f t="shared" si="8"/>
        <v>19727.53</v>
      </c>
      <c r="I302" s="10">
        <f t="shared" si="9"/>
        <v>1.3780285722541037</v>
      </c>
      <c r="L302" s="2"/>
      <c r="M302" s="2"/>
      <c r="N302" s="2"/>
    </row>
    <row r="303" spans="1:14" ht="30" customHeight="1" x14ac:dyDescent="0.35">
      <c r="A303" t="s">
        <v>50</v>
      </c>
      <c r="B303" t="s">
        <v>680</v>
      </c>
      <c r="C303" t="s">
        <v>19</v>
      </c>
      <c r="D303" t="s">
        <v>18</v>
      </c>
      <c r="E303" s="2">
        <v>293091</v>
      </c>
      <c r="F303" s="2"/>
      <c r="G303" s="2"/>
      <c r="H303" s="8" t="str">
        <f t="shared" si="8"/>
        <v/>
      </c>
      <c r="I303" s="10" t="str">
        <f t="shared" si="9"/>
        <v/>
      </c>
      <c r="L303" s="2"/>
      <c r="M303" s="2"/>
      <c r="N303" s="2"/>
    </row>
    <row r="304" spans="1:14" ht="30" customHeight="1" x14ac:dyDescent="0.35">
      <c r="A304" t="s">
        <v>681</v>
      </c>
      <c r="B304" t="s">
        <v>682</v>
      </c>
      <c r="C304" t="s">
        <v>29</v>
      </c>
      <c r="D304" t="s">
        <v>28</v>
      </c>
      <c r="E304" s="2">
        <v>404443.11</v>
      </c>
      <c r="F304" s="2"/>
      <c r="G304" s="2"/>
      <c r="H304" s="8" t="str">
        <f t="shared" si="8"/>
        <v/>
      </c>
      <c r="I304" s="10" t="str">
        <f t="shared" si="9"/>
        <v/>
      </c>
      <c r="L304" s="2"/>
      <c r="M304" s="2"/>
      <c r="N304" s="2"/>
    </row>
    <row r="305" spans="1:14" ht="30" customHeight="1" x14ac:dyDescent="0.35">
      <c r="A305" t="s">
        <v>683</v>
      </c>
      <c r="B305" t="s">
        <v>684</v>
      </c>
      <c r="C305" t="s">
        <v>2259</v>
      </c>
      <c r="D305" t="s">
        <v>713</v>
      </c>
      <c r="E305" s="2">
        <v>150940.98000000001</v>
      </c>
      <c r="F305" s="2"/>
      <c r="G305" s="2"/>
      <c r="H305" s="8" t="str">
        <f t="shared" si="8"/>
        <v/>
      </c>
      <c r="I305" s="10" t="str">
        <f t="shared" si="9"/>
        <v/>
      </c>
      <c r="L305" s="2"/>
      <c r="M305" s="2"/>
      <c r="N305" s="2"/>
    </row>
    <row r="306" spans="1:14" ht="30" customHeight="1" x14ac:dyDescent="0.35">
      <c r="A306" t="s">
        <v>685</v>
      </c>
      <c r="B306" t="s">
        <v>686</v>
      </c>
      <c r="C306" t="s">
        <v>57</v>
      </c>
      <c r="D306" t="s">
        <v>56</v>
      </c>
      <c r="E306" s="2">
        <v>61239.64</v>
      </c>
      <c r="F306" s="2">
        <v>125778.74</v>
      </c>
      <c r="G306" s="2">
        <v>74221.259999999995</v>
      </c>
      <c r="H306" s="8">
        <f t="shared" si="8"/>
        <v>200000</v>
      </c>
      <c r="I306" s="10">
        <f t="shared" si="9"/>
        <v>0.30619819999999998</v>
      </c>
      <c r="L306" s="2"/>
      <c r="M306" s="2"/>
      <c r="N306" s="2"/>
    </row>
    <row r="307" spans="1:14" ht="30" customHeight="1" x14ac:dyDescent="0.35">
      <c r="A307" t="s">
        <v>687</v>
      </c>
      <c r="B307" t="s">
        <v>688</v>
      </c>
      <c r="C307" t="s">
        <v>2263</v>
      </c>
      <c r="D307" t="s">
        <v>1233</v>
      </c>
      <c r="E307" s="2">
        <v>9708.75</v>
      </c>
      <c r="F307" s="2">
        <v>0</v>
      </c>
      <c r="G307" s="2">
        <v>1500</v>
      </c>
      <c r="H307" s="8">
        <f t="shared" si="8"/>
        <v>1500</v>
      </c>
      <c r="I307" s="10">
        <f t="shared" si="9"/>
        <v>6.4725000000000001</v>
      </c>
      <c r="L307" s="2"/>
      <c r="M307" s="2"/>
      <c r="N307" s="2"/>
    </row>
    <row r="308" spans="1:14" ht="30" customHeight="1" x14ac:dyDescent="0.35">
      <c r="A308" t="s">
        <v>689</v>
      </c>
      <c r="B308" t="s">
        <v>690</v>
      </c>
      <c r="C308" t="s">
        <v>57</v>
      </c>
      <c r="D308" t="s">
        <v>56</v>
      </c>
      <c r="E308" s="2">
        <v>99088.24</v>
      </c>
      <c r="F308" s="2">
        <v>128559.98</v>
      </c>
      <c r="G308" s="2"/>
      <c r="H308" s="8">
        <f t="shared" ref="H308:H367" si="10">IF(ISBLANK(F308), "",(F308+G308))</f>
        <v>128559.98</v>
      </c>
      <c r="I308" s="10">
        <f t="shared" ref="I308:I367" si="11">IF(ISBLANK(F308), "", E308/H308)</f>
        <v>0.7707549425567739</v>
      </c>
      <c r="L308" s="2"/>
      <c r="M308" s="2"/>
      <c r="N308" s="2"/>
    </row>
    <row r="309" spans="1:14" ht="30" customHeight="1" x14ac:dyDescent="0.35">
      <c r="A309" t="s">
        <v>691</v>
      </c>
      <c r="B309" t="s">
        <v>692</v>
      </c>
      <c r="C309" t="s">
        <v>51</v>
      </c>
      <c r="D309" t="s">
        <v>50</v>
      </c>
      <c r="E309" s="2">
        <v>37343.949999999997</v>
      </c>
      <c r="F309" s="2"/>
      <c r="G309" s="2"/>
      <c r="H309" s="8" t="str">
        <f t="shared" si="10"/>
        <v/>
      </c>
      <c r="I309" s="10" t="str">
        <f t="shared" si="11"/>
        <v/>
      </c>
      <c r="L309" s="2"/>
      <c r="M309" s="2"/>
      <c r="N309" s="2"/>
    </row>
    <row r="310" spans="1:14" ht="30" customHeight="1" x14ac:dyDescent="0.35">
      <c r="A310" t="s">
        <v>693</v>
      </c>
      <c r="B310" t="s">
        <v>694</v>
      </c>
      <c r="C310" t="s">
        <v>2225</v>
      </c>
      <c r="D310" t="s">
        <v>308</v>
      </c>
      <c r="E310" s="2">
        <v>1254375</v>
      </c>
      <c r="F310" s="2"/>
      <c r="G310" s="2"/>
      <c r="H310" s="8" t="str">
        <f t="shared" si="10"/>
        <v/>
      </c>
      <c r="I310" s="10" t="str">
        <f t="shared" si="11"/>
        <v/>
      </c>
      <c r="L310" s="2"/>
      <c r="M310" s="2"/>
      <c r="N310" s="2"/>
    </row>
    <row r="311" spans="1:14" ht="30" customHeight="1" x14ac:dyDescent="0.35">
      <c r="A311" t="s">
        <v>695</v>
      </c>
      <c r="B311" t="s">
        <v>696</v>
      </c>
      <c r="C311" t="s">
        <v>2259</v>
      </c>
      <c r="D311" t="s">
        <v>713</v>
      </c>
      <c r="E311" s="2">
        <v>501602.35</v>
      </c>
      <c r="F311" s="2"/>
      <c r="G311" s="2"/>
      <c r="H311" s="8" t="str">
        <f t="shared" si="10"/>
        <v/>
      </c>
      <c r="I311" s="10" t="str">
        <f t="shared" si="11"/>
        <v/>
      </c>
      <c r="L311" s="2"/>
      <c r="M311" s="2"/>
      <c r="N311" s="2"/>
    </row>
    <row r="312" spans="1:14" ht="30" customHeight="1" x14ac:dyDescent="0.35">
      <c r="A312" t="s">
        <v>697</v>
      </c>
      <c r="B312" t="s">
        <v>698</v>
      </c>
      <c r="C312" t="s">
        <v>19</v>
      </c>
      <c r="D312" t="s">
        <v>18</v>
      </c>
      <c r="E312" s="2">
        <v>6904.43</v>
      </c>
      <c r="F312" s="2">
        <v>0</v>
      </c>
      <c r="G312" s="2">
        <v>3000</v>
      </c>
      <c r="H312" s="8">
        <f t="shared" si="10"/>
        <v>3000</v>
      </c>
      <c r="I312" s="10">
        <f t="shared" si="11"/>
        <v>2.3014766666666668</v>
      </c>
      <c r="L312" s="2"/>
      <c r="M312" s="2"/>
      <c r="N312" s="2"/>
    </row>
    <row r="313" spans="1:14" ht="30" customHeight="1" x14ac:dyDescent="0.35">
      <c r="A313" t="s">
        <v>699</v>
      </c>
      <c r="B313" t="s">
        <v>700</v>
      </c>
      <c r="C313" t="s">
        <v>19</v>
      </c>
      <c r="D313" t="s">
        <v>18</v>
      </c>
      <c r="E313" s="2">
        <v>3835.36</v>
      </c>
      <c r="F313" s="2"/>
      <c r="G313" s="2"/>
      <c r="H313" s="8" t="str">
        <f t="shared" si="10"/>
        <v/>
      </c>
      <c r="I313" s="10" t="str">
        <f t="shared" si="11"/>
        <v/>
      </c>
      <c r="L313" s="2"/>
      <c r="M313" s="2"/>
      <c r="N313" s="2"/>
    </row>
    <row r="314" spans="1:14" ht="30" customHeight="1" x14ac:dyDescent="0.35">
      <c r="A314" t="s">
        <v>701</v>
      </c>
      <c r="B314" t="s">
        <v>702</v>
      </c>
      <c r="C314" t="s">
        <v>2225</v>
      </c>
      <c r="D314" t="s">
        <v>308</v>
      </c>
      <c r="E314" s="2">
        <v>36289.269999999997</v>
      </c>
      <c r="F314" s="2">
        <v>27724.78</v>
      </c>
      <c r="G314" s="2">
        <v>72275.22</v>
      </c>
      <c r="H314" s="8">
        <f t="shared" si="10"/>
        <v>100000</v>
      </c>
      <c r="I314" s="10">
        <f t="shared" si="11"/>
        <v>0.36289269999999996</v>
      </c>
      <c r="L314" s="2"/>
      <c r="M314" s="2"/>
      <c r="N314" s="2"/>
    </row>
    <row r="315" spans="1:14" ht="30" customHeight="1" x14ac:dyDescent="0.35">
      <c r="A315" t="s">
        <v>703</v>
      </c>
      <c r="B315" t="s">
        <v>704</v>
      </c>
      <c r="C315" t="s">
        <v>259</v>
      </c>
      <c r="D315" t="s">
        <v>258</v>
      </c>
      <c r="E315" s="2"/>
      <c r="F315" s="2">
        <v>4000000</v>
      </c>
      <c r="G315" s="2"/>
      <c r="H315" s="8">
        <f t="shared" si="10"/>
        <v>4000000</v>
      </c>
      <c r="I315" s="10">
        <f t="shared" si="11"/>
        <v>0</v>
      </c>
      <c r="L315" s="2"/>
      <c r="M315" s="2"/>
      <c r="N315" s="2"/>
    </row>
    <row r="316" spans="1:14" ht="30" customHeight="1" x14ac:dyDescent="0.35">
      <c r="A316" t="s">
        <v>705</v>
      </c>
      <c r="B316" t="s">
        <v>706</v>
      </c>
      <c r="C316" t="s">
        <v>259</v>
      </c>
      <c r="D316" t="s">
        <v>258</v>
      </c>
      <c r="E316" s="2">
        <v>264260.74</v>
      </c>
      <c r="F316" s="2">
        <v>1405412.75</v>
      </c>
      <c r="G316" s="2">
        <v>200000</v>
      </c>
      <c r="H316" s="8">
        <f t="shared" si="10"/>
        <v>1605412.75</v>
      </c>
      <c r="I316" s="10">
        <f t="shared" si="11"/>
        <v>0.16460610519008273</v>
      </c>
      <c r="L316" s="2"/>
      <c r="M316" s="2"/>
      <c r="N316" s="2"/>
    </row>
    <row r="317" spans="1:14" ht="30" customHeight="1" x14ac:dyDescent="0.35">
      <c r="A317" t="s">
        <v>707</v>
      </c>
      <c r="B317" t="s">
        <v>708</v>
      </c>
      <c r="C317" t="s">
        <v>19</v>
      </c>
      <c r="D317" t="s">
        <v>18</v>
      </c>
      <c r="E317" s="2">
        <v>138129.51</v>
      </c>
      <c r="F317" s="2"/>
      <c r="G317" s="2"/>
      <c r="H317" s="8" t="str">
        <f t="shared" si="10"/>
        <v/>
      </c>
      <c r="I317" s="10" t="str">
        <f t="shared" si="11"/>
        <v/>
      </c>
      <c r="L317" s="2"/>
      <c r="M317" s="2"/>
      <c r="N317" s="2"/>
    </row>
    <row r="318" spans="1:14" ht="30" customHeight="1" x14ac:dyDescent="0.35">
      <c r="A318" t="s">
        <v>709</v>
      </c>
      <c r="B318" t="s">
        <v>710</v>
      </c>
      <c r="C318" t="s">
        <v>41</v>
      </c>
      <c r="D318" t="s">
        <v>40</v>
      </c>
      <c r="E318" s="2">
        <v>739530.86</v>
      </c>
      <c r="F318" s="2"/>
      <c r="G318" s="2"/>
      <c r="H318" s="8" t="str">
        <f t="shared" si="10"/>
        <v/>
      </c>
      <c r="I318" s="10" t="str">
        <f t="shared" si="11"/>
        <v/>
      </c>
      <c r="L318" s="2"/>
      <c r="M318" s="2"/>
      <c r="N318" s="2"/>
    </row>
    <row r="319" spans="1:14" ht="30" customHeight="1" x14ac:dyDescent="0.35">
      <c r="A319" t="s">
        <v>711</v>
      </c>
      <c r="B319" t="s">
        <v>712</v>
      </c>
      <c r="C319" t="s">
        <v>51</v>
      </c>
      <c r="D319" t="s">
        <v>50</v>
      </c>
      <c r="E319" s="2">
        <v>679630.69</v>
      </c>
      <c r="F319" s="2">
        <v>220789.94</v>
      </c>
      <c r="G319" s="2"/>
      <c r="H319" s="8">
        <f t="shared" si="10"/>
        <v>220789.94</v>
      </c>
      <c r="I319" s="10">
        <f t="shared" si="11"/>
        <v>3.0781777919772972</v>
      </c>
      <c r="L319" s="2"/>
      <c r="M319" s="2"/>
      <c r="N319" s="2"/>
    </row>
    <row r="320" spans="1:14" ht="30" customHeight="1" x14ac:dyDescent="0.35">
      <c r="A320" t="s">
        <v>713</v>
      </c>
      <c r="B320" t="s">
        <v>714</v>
      </c>
      <c r="C320" t="s">
        <v>2225</v>
      </c>
      <c r="D320" t="s">
        <v>308</v>
      </c>
      <c r="E320" s="2">
        <v>112525.17</v>
      </c>
      <c r="F320" s="2"/>
      <c r="G320" s="2"/>
      <c r="H320" s="8" t="str">
        <f t="shared" si="10"/>
        <v/>
      </c>
      <c r="I320" s="10" t="str">
        <f t="shared" si="11"/>
        <v/>
      </c>
      <c r="L320" s="2"/>
      <c r="M320" s="2"/>
      <c r="N320" s="2"/>
    </row>
    <row r="321" spans="1:14" ht="30" customHeight="1" x14ac:dyDescent="0.35">
      <c r="A321" t="s">
        <v>715</v>
      </c>
      <c r="B321" t="s">
        <v>716</v>
      </c>
      <c r="C321" t="s">
        <v>19</v>
      </c>
      <c r="D321" t="s">
        <v>18</v>
      </c>
      <c r="E321" s="2">
        <v>513738.47</v>
      </c>
      <c r="F321" s="2">
        <v>0</v>
      </c>
      <c r="G321" s="2">
        <v>3000</v>
      </c>
      <c r="H321" s="8">
        <f t="shared" si="10"/>
        <v>3000</v>
      </c>
      <c r="I321" s="10">
        <f t="shared" si="11"/>
        <v>171.24615666666665</v>
      </c>
      <c r="L321" s="2"/>
      <c r="M321" s="2"/>
      <c r="N321" s="2"/>
    </row>
    <row r="322" spans="1:14" ht="30" customHeight="1" x14ac:dyDescent="0.35">
      <c r="A322" t="s">
        <v>717</v>
      </c>
      <c r="B322" t="s">
        <v>718</v>
      </c>
      <c r="C322" t="s">
        <v>77</v>
      </c>
      <c r="D322" t="s">
        <v>76</v>
      </c>
      <c r="E322" s="2">
        <v>129571.69</v>
      </c>
      <c r="F322" s="2"/>
      <c r="G322" s="2"/>
      <c r="H322" s="8" t="str">
        <f t="shared" si="10"/>
        <v/>
      </c>
      <c r="I322" s="10" t="str">
        <f t="shared" si="11"/>
        <v/>
      </c>
      <c r="L322" s="2"/>
      <c r="M322" s="2"/>
      <c r="N322" s="2"/>
    </row>
    <row r="323" spans="1:14" ht="30" customHeight="1" x14ac:dyDescent="0.35">
      <c r="A323" t="s">
        <v>719</v>
      </c>
      <c r="B323" t="s">
        <v>720</v>
      </c>
      <c r="C323" t="s">
        <v>51</v>
      </c>
      <c r="D323" t="s">
        <v>50</v>
      </c>
      <c r="E323" s="2">
        <v>190747.1</v>
      </c>
      <c r="F323" s="2"/>
      <c r="G323" s="2"/>
      <c r="H323" s="8" t="str">
        <f t="shared" si="10"/>
        <v/>
      </c>
      <c r="I323" s="10" t="str">
        <f t="shared" si="11"/>
        <v/>
      </c>
      <c r="L323" s="2"/>
      <c r="M323" s="2"/>
      <c r="N323" s="2"/>
    </row>
    <row r="324" spans="1:14" ht="30" customHeight="1" x14ac:dyDescent="0.35">
      <c r="A324" t="s">
        <v>721</v>
      </c>
      <c r="B324" t="s">
        <v>722</v>
      </c>
      <c r="C324" t="s">
        <v>2266</v>
      </c>
      <c r="D324" t="s">
        <v>1560</v>
      </c>
      <c r="E324" s="2">
        <v>115046.86</v>
      </c>
      <c r="F324" s="2">
        <v>3389620.03</v>
      </c>
      <c r="G324" s="2"/>
      <c r="H324" s="8">
        <f t="shared" si="10"/>
        <v>3389620.03</v>
      </c>
      <c r="I324" s="10">
        <f t="shared" si="11"/>
        <v>3.3940931131446021E-2</v>
      </c>
      <c r="L324" s="2"/>
      <c r="M324" s="2"/>
      <c r="N324" s="2"/>
    </row>
    <row r="325" spans="1:14" ht="30" customHeight="1" x14ac:dyDescent="0.35">
      <c r="A325" t="s">
        <v>723</v>
      </c>
      <c r="B325" t="s">
        <v>724</v>
      </c>
      <c r="C325" t="s">
        <v>77</v>
      </c>
      <c r="D325" t="s">
        <v>76</v>
      </c>
      <c r="E325" s="2">
        <v>167747.84</v>
      </c>
      <c r="F325" s="2"/>
      <c r="G325" s="2"/>
      <c r="H325" s="8" t="str">
        <f t="shared" si="10"/>
        <v/>
      </c>
      <c r="I325" s="10" t="str">
        <f t="shared" si="11"/>
        <v/>
      </c>
      <c r="L325" s="2"/>
      <c r="M325" s="2"/>
      <c r="N325" s="2"/>
    </row>
    <row r="326" spans="1:14" ht="30" customHeight="1" x14ac:dyDescent="0.35">
      <c r="A326" t="s">
        <v>725</v>
      </c>
      <c r="B326" t="s">
        <v>726</v>
      </c>
      <c r="C326" t="s">
        <v>2259</v>
      </c>
      <c r="D326" t="s">
        <v>713</v>
      </c>
      <c r="E326" s="2">
        <v>8262431.1299999999</v>
      </c>
      <c r="F326" s="2"/>
      <c r="G326" s="2"/>
      <c r="H326" s="8" t="str">
        <f t="shared" si="10"/>
        <v/>
      </c>
      <c r="I326" s="10" t="str">
        <f t="shared" si="11"/>
        <v/>
      </c>
      <c r="L326" s="2"/>
      <c r="M326" s="2"/>
      <c r="N326" s="2"/>
    </row>
    <row r="327" spans="1:14" ht="30" customHeight="1" x14ac:dyDescent="0.35">
      <c r="A327" t="s">
        <v>727</v>
      </c>
      <c r="B327" t="s">
        <v>728</v>
      </c>
      <c r="C327" t="s">
        <v>2263</v>
      </c>
      <c r="D327" t="s">
        <v>1233</v>
      </c>
      <c r="E327" s="2">
        <v>35457.97</v>
      </c>
      <c r="F327" s="2"/>
      <c r="G327" s="2"/>
      <c r="H327" s="8" t="str">
        <f t="shared" si="10"/>
        <v/>
      </c>
      <c r="I327" s="10" t="str">
        <f t="shared" si="11"/>
        <v/>
      </c>
      <c r="L327" s="2"/>
      <c r="M327" s="2"/>
      <c r="N327" s="2"/>
    </row>
    <row r="328" spans="1:14" ht="30" customHeight="1" x14ac:dyDescent="0.35">
      <c r="A328" t="s">
        <v>729</v>
      </c>
      <c r="B328" t="s">
        <v>730</v>
      </c>
      <c r="C328" t="s">
        <v>77</v>
      </c>
      <c r="D328" t="s">
        <v>76</v>
      </c>
      <c r="E328" s="2">
        <v>86755.21</v>
      </c>
      <c r="F328" s="2"/>
      <c r="G328" s="2"/>
      <c r="H328" s="8" t="str">
        <f t="shared" si="10"/>
        <v/>
      </c>
      <c r="I328" s="10" t="str">
        <f t="shared" si="11"/>
        <v/>
      </c>
      <c r="L328" s="2"/>
      <c r="M328" s="2"/>
      <c r="N328" s="2"/>
    </row>
    <row r="329" spans="1:14" ht="30" customHeight="1" x14ac:dyDescent="0.35">
      <c r="A329" t="s">
        <v>731</v>
      </c>
      <c r="B329" t="s">
        <v>732</v>
      </c>
      <c r="C329" t="s">
        <v>2224</v>
      </c>
      <c r="D329" t="s">
        <v>1673</v>
      </c>
      <c r="E329" s="2">
        <v>414698.88</v>
      </c>
      <c r="F329" s="2">
        <v>5616345.8300000001</v>
      </c>
      <c r="G329" s="2"/>
      <c r="H329" s="8">
        <f t="shared" si="10"/>
        <v>5616345.8300000001</v>
      </c>
      <c r="I329" s="10">
        <f t="shared" si="11"/>
        <v>7.383784627094446E-2</v>
      </c>
      <c r="L329" s="2"/>
      <c r="M329" s="2"/>
      <c r="N329" s="2"/>
    </row>
    <row r="330" spans="1:14" ht="30" customHeight="1" x14ac:dyDescent="0.35">
      <c r="A330" t="s">
        <v>733</v>
      </c>
      <c r="B330" t="s">
        <v>734</v>
      </c>
      <c r="C330" t="s">
        <v>19</v>
      </c>
      <c r="D330" t="s">
        <v>18</v>
      </c>
      <c r="E330" s="2">
        <v>248948.21</v>
      </c>
      <c r="F330" s="2"/>
      <c r="G330" s="2"/>
      <c r="H330" s="8" t="str">
        <f t="shared" si="10"/>
        <v/>
      </c>
      <c r="I330" s="10" t="str">
        <f t="shared" si="11"/>
        <v/>
      </c>
      <c r="L330" s="2"/>
      <c r="M330" s="2"/>
      <c r="N330" s="2"/>
    </row>
    <row r="331" spans="1:14" ht="30" customHeight="1" x14ac:dyDescent="0.35">
      <c r="A331" t="s">
        <v>735</v>
      </c>
      <c r="B331" t="s">
        <v>736</v>
      </c>
      <c r="C331" t="s">
        <v>487</v>
      </c>
      <c r="D331" t="s">
        <v>486</v>
      </c>
      <c r="E331" s="2">
        <v>161939.51999999999</v>
      </c>
      <c r="F331" s="2">
        <v>360000</v>
      </c>
      <c r="G331" s="2">
        <v>2640000</v>
      </c>
      <c r="H331" s="8">
        <f t="shared" si="10"/>
        <v>3000000</v>
      </c>
      <c r="I331" s="10">
        <f t="shared" si="11"/>
        <v>5.3979839999999994E-2</v>
      </c>
      <c r="L331" s="2"/>
      <c r="M331" s="2"/>
      <c r="N331" s="2"/>
    </row>
    <row r="332" spans="1:14" ht="30" customHeight="1" x14ac:dyDescent="0.35">
      <c r="A332" t="s">
        <v>737</v>
      </c>
      <c r="B332" t="s">
        <v>738</v>
      </c>
      <c r="C332" t="s">
        <v>33</v>
      </c>
      <c r="D332" t="s">
        <v>32</v>
      </c>
      <c r="E332" s="2">
        <v>3568.3</v>
      </c>
      <c r="F332" s="2"/>
      <c r="G332" s="2"/>
      <c r="H332" s="8" t="str">
        <f t="shared" si="10"/>
        <v/>
      </c>
      <c r="I332" s="10" t="str">
        <f t="shared" si="11"/>
        <v/>
      </c>
      <c r="L332" s="2"/>
      <c r="M332" s="2"/>
      <c r="N332" s="2"/>
    </row>
    <row r="333" spans="1:14" ht="30" customHeight="1" x14ac:dyDescent="0.35">
      <c r="A333" t="s">
        <v>2314</v>
      </c>
      <c r="B333" t="s">
        <v>2315</v>
      </c>
      <c r="C333" t="s">
        <v>51</v>
      </c>
      <c r="D333" t="s">
        <v>50</v>
      </c>
      <c r="E333" s="2">
        <v>0.17</v>
      </c>
      <c r="F333" s="2"/>
      <c r="G333" s="2"/>
      <c r="H333" s="8" t="str">
        <f t="shared" si="10"/>
        <v/>
      </c>
      <c r="I333" s="10" t="str">
        <f t="shared" si="11"/>
        <v/>
      </c>
      <c r="L333" s="2"/>
      <c r="M333" s="2"/>
      <c r="N333" s="2"/>
    </row>
    <row r="334" spans="1:14" ht="30" customHeight="1" x14ac:dyDescent="0.35">
      <c r="A334" t="s">
        <v>739</v>
      </c>
      <c r="B334" t="s">
        <v>740</v>
      </c>
      <c r="C334" t="s">
        <v>77</v>
      </c>
      <c r="D334" t="s">
        <v>76</v>
      </c>
      <c r="E334" s="2">
        <v>53523.93</v>
      </c>
      <c r="F334" s="2"/>
      <c r="G334" s="2"/>
      <c r="H334" s="8" t="str">
        <f t="shared" si="10"/>
        <v/>
      </c>
      <c r="I334" s="10" t="str">
        <f t="shared" si="11"/>
        <v/>
      </c>
      <c r="L334" s="2"/>
      <c r="M334" s="2"/>
      <c r="N334" s="2"/>
    </row>
    <row r="335" spans="1:14" ht="30" customHeight="1" x14ac:dyDescent="0.35">
      <c r="A335" t="s">
        <v>741</v>
      </c>
      <c r="B335" t="s">
        <v>742</v>
      </c>
      <c r="C335" t="s">
        <v>2259</v>
      </c>
      <c r="D335" t="s">
        <v>713</v>
      </c>
      <c r="E335" s="2">
        <v>69788.09</v>
      </c>
      <c r="F335" s="2"/>
      <c r="G335" s="2"/>
      <c r="H335" s="8" t="str">
        <f t="shared" si="10"/>
        <v/>
      </c>
      <c r="I335" s="10" t="str">
        <f t="shared" si="11"/>
        <v/>
      </c>
      <c r="L335" s="2"/>
      <c r="M335" s="2"/>
      <c r="N335" s="2"/>
    </row>
    <row r="336" spans="1:14" ht="30" customHeight="1" x14ac:dyDescent="0.35">
      <c r="A336" t="s">
        <v>743</v>
      </c>
      <c r="B336" t="s">
        <v>744</v>
      </c>
      <c r="C336" t="s">
        <v>29</v>
      </c>
      <c r="D336" t="s">
        <v>28</v>
      </c>
      <c r="E336" s="2">
        <v>5202.9399999999996</v>
      </c>
      <c r="F336" s="2">
        <v>24175.64</v>
      </c>
      <c r="G336" s="2"/>
      <c r="H336" s="8">
        <f t="shared" si="10"/>
        <v>24175.64</v>
      </c>
      <c r="I336" s="10">
        <f t="shared" si="11"/>
        <v>0.21521415772240154</v>
      </c>
      <c r="L336" s="2"/>
      <c r="M336" s="2"/>
      <c r="N336" s="2"/>
    </row>
    <row r="337" spans="1:14" ht="30" customHeight="1" x14ac:dyDescent="0.35">
      <c r="A337" t="s">
        <v>745</v>
      </c>
      <c r="B337" t="s">
        <v>746</v>
      </c>
      <c r="C337" t="s">
        <v>57</v>
      </c>
      <c r="D337" t="s">
        <v>56</v>
      </c>
      <c r="E337" s="2">
        <v>22800.39</v>
      </c>
      <c r="F337" s="2">
        <v>57927.44</v>
      </c>
      <c r="G337" s="2"/>
      <c r="H337" s="8">
        <f t="shared" si="10"/>
        <v>57927.44</v>
      </c>
      <c r="I337" s="10">
        <f t="shared" si="11"/>
        <v>0.39360258281740051</v>
      </c>
      <c r="L337" s="2"/>
      <c r="M337" s="2"/>
      <c r="N337" s="2"/>
    </row>
    <row r="338" spans="1:14" ht="30" customHeight="1" x14ac:dyDescent="0.35">
      <c r="A338" t="s">
        <v>747</v>
      </c>
      <c r="B338" t="s">
        <v>748</v>
      </c>
      <c r="C338" t="s">
        <v>15</v>
      </c>
      <c r="D338" t="s">
        <v>14</v>
      </c>
      <c r="E338" s="2">
        <v>3439220.29</v>
      </c>
      <c r="F338" s="2">
        <v>434042.47</v>
      </c>
      <c r="G338" s="2">
        <v>1000000</v>
      </c>
      <c r="H338" s="8">
        <f t="shared" si="10"/>
        <v>1434042.47</v>
      </c>
      <c r="I338" s="10">
        <f t="shared" si="11"/>
        <v>2.3982694808194909</v>
      </c>
      <c r="L338" s="2"/>
      <c r="M338" s="2"/>
      <c r="N338" s="2"/>
    </row>
    <row r="339" spans="1:14" ht="30" customHeight="1" x14ac:dyDescent="0.35">
      <c r="A339" t="s">
        <v>749</v>
      </c>
      <c r="B339" t="s">
        <v>750</v>
      </c>
      <c r="C339" t="s">
        <v>51</v>
      </c>
      <c r="D339" t="s">
        <v>50</v>
      </c>
      <c r="E339" s="2">
        <v>9055.24</v>
      </c>
      <c r="F339" s="2"/>
      <c r="G339" s="2"/>
      <c r="H339" s="8" t="str">
        <f t="shared" si="10"/>
        <v/>
      </c>
      <c r="I339" s="10" t="str">
        <f t="shared" si="11"/>
        <v/>
      </c>
      <c r="L339" s="2"/>
      <c r="M339" s="2"/>
      <c r="N339" s="2"/>
    </row>
    <row r="340" spans="1:14" ht="30" customHeight="1" x14ac:dyDescent="0.35">
      <c r="A340" t="s">
        <v>751</v>
      </c>
      <c r="B340" t="s">
        <v>752</v>
      </c>
      <c r="C340" t="s">
        <v>77</v>
      </c>
      <c r="D340" t="s">
        <v>76</v>
      </c>
      <c r="E340" s="2">
        <v>20072.189999999999</v>
      </c>
      <c r="F340" s="2">
        <v>0</v>
      </c>
      <c r="G340" s="2">
        <v>149000</v>
      </c>
      <c r="H340" s="8">
        <f t="shared" si="10"/>
        <v>149000</v>
      </c>
      <c r="I340" s="10">
        <f t="shared" si="11"/>
        <v>0.13471268456375837</v>
      </c>
      <c r="L340" s="2"/>
      <c r="M340" s="2"/>
      <c r="N340" s="2"/>
    </row>
    <row r="341" spans="1:14" ht="30" customHeight="1" x14ac:dyDescent="0.35">
      <c r="A341" t="s">
        <v>753</v>
      </c>
      <c r="B341" t="s">
        <v>754</v>
      </c>
      <c r="C341" t="s">
        <v>465</v>
      </c>
      <c r="D341" t="s">
        <v>464</v>
      </c>
      <c r="E341" s="2">
        <v>1132686.58</v>
      </c>
      <c r="F341" s="2">
        <v>4018507.03</v>
      </c>
      <c r="G341" s="2"/>
      <c r="H341" s="8">
        <f t="shared" si="10"/>
        <v>4018507.03</v>
      </c>
      <c r="I341" s="10">
        <f t="shared" si="11"/>
        <v>0.28186751237312135</v>
      </c>
      <c r="L341" s="2"/>
      <c r="M341" s="2"/>
      <c r="N341" s="2"/>
    </row>
    <row r="342" spans="1:14" ht="30" customHeight="1" x14ac:dyDescent="0.35">
      <c r="A342" t="s">
        <v>755</v>
      </c>
      <c r="B342" t="s">
        <v>756</v>
      </c>
      <c r="C342" t="s">
        <v>77</v>
      </c>
      <c r="D342" t="s">
        <v>76</v>
      </c>
      <c r="E342" s="2">
        <v>62455.1</v>
      </c>
      <c r="F342" s="2"/>
      <c r="G342" s="2"/>
      <c r="H342" s="8" t="str">
        <f t="shared" si="10"/>
        <v/>
      </c>
      <c r="I342" s="10" t="str">
        <f t="shared" si="11"/>
        <v/>
      </c>
      <c r="L342" s="2"/>
      <c r="M342" s="2"/>
      <c r="N342" s="2"/>
    </row>
    <row r="343" spans="1:14" ht="30" customHeight="1" x14ac:dyDescent="0.35">
      <c r="A343" t="s">
        <v>757</v>
      </c>
      <c r="B343" t="s">
        <v>758</v>
      </c>
      <c r="C343" t="s">
        <v>2238</v>
      </c>
      <c r="D343" t="s">
        <v>2239</v>
      </c>
      <c r="E343" s="2">
        <v>121609.71</v>
      </c>
      <c r="F343" s="2"/>
      <c r="G343" s="2"/>
      <c r="H343" s="8" t="str">
        <f t="shared" si="10"/>
        <v/>
      </c>
      <c r="I343" s="10" t="str">
        <f t="shared" si="11"/>
        <v/>
      </c>
      <c r="L343" s="2"/>
      <c r="M343" s="2"/>
      <c r="N343" s="2"/>
    </row>
    <row r="344" spans="1:14" ht="30" customHeight="1" x14ac:dyDescent="0.35">
      <c r="A344" t="s">
        <v>759</v>
      </c>
      <c r="B344" t="s">
        <v>760</v>
      </c>
      <c r="C344" t="s">
        <v>33</v>
      </c>
      <c r="D344" t="s">
        <v>32</v>
      </c>
      <c r="E344" s="2">
        <v>698.95</v>
      </c>
      <c r="F344" s="2"/>
      <c r="G344" s="2"/>
      <c r="H344" s="8" t="str">
        <f t="shared" si="10"/>
        <v/>
      </c>
      <c r="I344" s="10" t="str">
        <f t="shared" si="11"/>
        <v/>
      </c>
      <c r="L344" s="2"/>
      <c r="M344" s="2"/>
      <c r="N344" s="2"/>
    </row>
    <row r="345" spans="1:14" ht="30" customHeight="1" x14ac:dyDescent="0.35">
      <c r="A345" t="s">
        <v>761</v>
      </c>
      <c r="B345" t="s">
        <v>762</v>
      </c>
      <c r="C345" t="s">
        <v>19</v>
      </c>
      <c r="D345" t="s">
        <v>18</v>
      </c>
      <c r="E345" s="2">
        <v>2674.99</v>
      </c>
      <c r="F345" s="2">
        <v>300</v>
      </c>
      <c r="G345" s="2">
        <v>2700</v>
      </c>
      <c r="H345" s="8">
        <f t="shared" si="10"/>
        <v>3000</v>
      </c>
      <c r="I345" s="10">
        <f t="shared" si="11"/>
        <v>0.89166333333333325</v>
      </c>
      <c r="L345" s="2"/>
      <c r="M345" s="2"/>
      <c r="N345" s="2"/>
    </row>
    <row r="346" spans="1:14" ht="30" customHeight="1" x14ac:dyDescent="0.35">
      <c r="A346" t="s">
        <v>763</v>
      </c>
      <c r="B346" t="s">
        <v>764</v>
      </c>
      <c r="C346" t="s">
        <v>51</v>
      </c>
      <c r="D346" t="s">
        <v>50</v>
      </c>
      <c r="E346" s="2">
        <v>1088340.74</v>
      </c>
      <c r="F346" s="2"/>
      <c r="G346" s="2"/>
      <c r="H346" s="8" t="str">
        <f t="shared" si="10"/>
        <v/>
      </c>
      <c r="I346" s="10" t="str">
        <f t="shared" si="11"/>
        <v/>
      </c>
      <c r="L346" s="2"/>
      <c r="M346" s="2"/>
      <c r="N346" s="2"/>
    </row>
    <row r="347" spans="1:14" ht="30" customHeight="1" x14ac:dyDescent="0.35">
      <c r="A347" t="s">
        <v>765</v>
      </c>
      <c r="B347" t="s">
        <v>766</v>
      </c>
      <c r="C347" t="s">
        <v>2225</v>
      </c>
      <c r="D347" t="s">
        <v>308</v>
      </c>
      <c r="E347" s="2">
        <v>3121.46</v>
      </c>
      <c r="F347" s="2"/>
      <c r="G347" s="2"/>
      <c r="H347" s="8" t="str">
        <f t="shared" si="10"/>
        <v/>
      </c>
      <c r="I347" s="10" t="str">
        <f t="shared" si="11"/>
        <v/>
      </c>
      <c r="L347" s="2"/>
      <c r="M347" s="2"/>
      <c r="N347" s="2"/>
    </row>
    <row r="348" spans="1:14" ht="30" customHeight="1" x14ac:dyDescent="0.35">
      <c r="A348" t="s">
        <v>767</v>
      </c>
      <c r="B348" t="s">
        <v>768</v>
      </c>
      <c r="C348" t="s">
        <v>51</v>
      </c>
      <c r="D348" t="s">
        <v>50</v>
      </c>
      <c r="E348" s="2">
        <v>924324.66</v>
      </c>
      <c r="F348" s="2">
        <v>0</v>
      </c>
      <c r="G348" s="2">
        <v>1000</v>
      </c>
      <c r="H348" s="8">
        <f t="shared" si="10"/>
        <v>1000</v>
      </c>
      <c r="I348" s="10">
        <f t="shared" si="11"/>
        <v>924.32465999999999</v>
      </c>
      <c r="L348" s="2"/>
      <c r="M348" s="2"/>
      <c r="N348" s="2"/>
    </row>
    <row r="349" spans="1:14" ht="30" customHeight="1" x14ac:dyDescent="0.35">
      <c r="A349" t="s">
        <v>769</v>
      </c>
      <c r="B349" t="s">
        <v>770</v>
      </c>
      <c r="C349" t="s">
        <v>33</v>
      </c>
      <c r="D349" t="s">
        <v>32</v>
      </c>
      <c r="E349" s="2">
        <v>3143994</v>
      </c>
      <c r="F349" s="2"/>
      <c r="G349" s="2"/>
      <c r="H349" s="8" t="str">
        <f t="shared" si="10"/>
        <v/>
      </c>
      <c r="I349" s="10" t="str">
        <f t="shared" si="11"/>
        <v/>
      </c>
      <c r="L349" s="2"/>
      <c r="M349" s="2"/>
      <c r="N349" s="2"/>
    </row>
    <row r="350" spans="1:14" ht="30" customHeight="1" x14ac:dyDescent="0.35">
      <c r="A350" t="s">
        <v>771</v>
      </c>
      <c r="B350" t="s">
        <v>772</v>
      </c>
      <c r="C350" t="s">
        <v>19</v>
      </c>
      <c r="D350" t="s">
        <v>18</v>
      </c>
      <c r="E350" s="2">
        <v>19133.490000000002</v>
      </c>
      <c r="F350" s="2"/>
      <c r="G350" s="2"/>
      <c r="H350" s="8" t="str">
        <f t="shared" si="10"/>
        <v/>
      </c>
      <c r="I350" s="10" t="str">
        <f t="shared" si="11"/>
        <v/>
      </c>
      <c r="L350" s="2"/>
      <c r="M350" s="2"/>
      <c r="N350" s="2"/>
    </row>
    <row r="351" spans="1:14" ht="30" customHeight="1" x14ac:dyDescent="0.35">
      <c r="A351" t="s">
        <v>773</v>
      </c>
      <c r="B351" t="s">
        <v>774</v>
      </c>
      <c r="C351" t="s">
        <v>29</v>
      </c>
      <c r="D351" t="s">
        <v>28</v>
      </c>
      <c r="E351" s="2"/>
      <c r="F351" s="2">
        <v>212618.18</v>
      </c>
      <c r="G351" s="2"/>
      <c r="H351" s="8">
        <f t="shared" si="10"/>
        <v>212618.18</v>
      </c>
      <c r="I351" s="10">
        <f t="shared" si="11"/>
        <v>0</v>
      </c>
      <c r="L351" s="2"/>
      <c r="M351" s="2"/>
      <c r="N351" s="2"/>
    </row>
    <row r="352" spans="1:14" ht="30" customHeight="1" x14ac:dyDescent="0.35">
      <c r="A352" t="s">
        <v>775</v>
      </c>
      <c r="B352" t="s">
        <v>776</v>
      </c>
      <c r="C352" t="s">
        <v>457</v>
      </c>
      <c r="D352" t="s">
        <v>456</v>
      </c>
      <c r="E352" s="2">
        <v>18059.830000000002</v>
      </c>
      <c r="F352" s="2">
        <v>438225.11</v>
      </c>
      <c r="G352" s="2"/>
      <c r="H352" s="8">
        <f t="shared" si="10"/>
        <v>438225.11</v>
      </c>
      <c r="I352" s="10">
        <f t="shared" si="11"/>
        <v>4.1211308042115619E-2</v>
      </c>
      <c r="L352" s="2"/>
      <c r="M352" s="2"/>
      <c r="N352" s="2"/>
    </row>
    <row r="353" spans="1:14" ht="30" customHeight="1" x14ac:dyDescent="0.35">
      <c r="A353" t="s">
        <v>777</v>
      </c>
      <c r="B353" t="s">
        <v>778</v>
      </c>
      <c r="C353" t="s">
        <v>253</v>
      </c>
      <c r="D353" t="s">
        <v>252</v>
      </c>
      <c r="E353" s="2">
        <v>54441.03</v>
      </c>
      <c r="F353" s="2">
        <v>1703721.54</v>
      </c>
      <c r="G353" s="2"/>
      <c r="H353" s="8">
        <f t="shared" si="10"/>
        <v>1703721.54</v>
      </c>
      <c r="I353" s="10">
        <f t="shared" si="11"/>
        <v>3.195418307618509E-2</v>
      </c>
      <c r="L353" s="2"/>
      <c r="M353" s="2"/>
      <c r="N353" s="2"/>
    </row>
    <row r="354" spans="1:14" ht="30" customHeight="1" x14ac:dyDescent="0.35">
      <c r="A354" t="s">
        <v>779</v>
      </c>
      <c r="B354" t="s">
        <v>780</v>
      </c>
      <c r="C354" t="s">
        <v>19</v>
      </c>
      <c r="D354" t="s">
        <v>18</v>
      </c>
      <c r="E354" s="2">
        <v>72231.649999999994</v>
      </c>
      <c r="F354" s="2"/>
      <c r="G354" s="2"/>
      <c r="H354" s="8" t="str">
        <f t="shared" si="10"/>
        <v/>
      </c>
      <c r="I354" s="10" t="str">
        <f t="shared" si="11"/>
        <v/>
      </c>
      <c r="L354" s="2"/>
      <c r="M354" s="2"/>
      <c r="N354" s="2"/>
    </row>
    <row r="355" spans="1:14" ht="30" customHeight="1" x14ac:dyDescent="0.35">
      <c r="A355" t="s">
        <v>781</v>
      </c>
      <c r="B355" t="s">
        <v>782</v>
      </c>
      <c r="C355" t="s">
        <v>19</v>
      </c>
      <c r="D355" t="s">
        <v>18</v>
      </c>
      <c r="E355" s="2">
        <v>15098490.220000001</v>
      </c>
      <c r="F355" s="2"/>
      <c r="G355" s="2"/>
      <c r="H355" s="8" t="str">
        <f t="shared" si="10"/>
        <v/>
      </c>
      <c r="I355" s="10" t="str">
        <f t="shared" si="11"/>
        <v/>
      </c>
      <c r="L355" s="2"/>
      <c r="M355" s="2"/>
      <c r="N355" s="2"/>
    </row>
    <row r="356" spans="1:14" ht="30" customHeight="1" x14ac:dyDescent="0.35">
      <c r="A356" t="s">
        <v>783</v>
      </c>
      <c r="B356" t="s">
        <v>784</v>
      </c>
      <c r="C356" t="s">
        <v>51</v>
      </c>
      <c r="D356" t="s">
        <v>50</v>
      </c>
      <c r="E356" s="2">
        <v>440192</v>
      </c>
      <c r="F356" s="2"/>
      <c r="G356" s="2"/>
      <c r="H356" s="8" t="str">
        <f t="shared" si="10"/>
        <v/>
      </c>
      <c r="I356" s="10" t="str">
        <f t="shared" si="11"/>
        <v/>
      </c>
      <c r="L356" s="2"/>
      <c r="M356" s="2"/>
      <c r="N356" s="2"/>
    </row>
    <row r="357" spans="1:14" ht="30" customHeight="1" x14ac:dyDescent="0.35">
      <c r="A357" t="s">
        <v>785</v>
      </c>
      <c r="B357" t="s">
        <v>786</v>
      </c>
      <c r="C357" t="s">
        <v>19</v>
      </c>
      <c r="D357" t="s">
        <v>18</v>
      </c>
      <c r="E357" s="2">
        <v>53955.27</v>
      </c>
      <c r="F357" s="2">
        <v>0</v>
      </c>
      <c r="G357" s="2">
        <v>1000</v>
      </c>
      <c r="H357" s="8">
        <f t="shared" si="10"/>
        <v>1000</v>
      </c>
      <c r="I357" s="10">
        <f t="shared" si="11"/>
        <v>53.955269999999999</v>
      </c>
      <c r="L357" s="2"/>
      <c r="M357" s="2"/>
      <c r="N357" s="2"/>
    </row>
    <row r="358" spans="1:14" ht="30" customHeight="1" x14ac:dyDescent="0.35">
      <c r="A358" t="s">
        <v>787</v>
      </c>
      <c r="B358" t="s">
        <v>788</v>
      </c>
      <c r="C358" t="s">
        <v>2259</v>
      </c>
      <c r="D358" t="s">
        <v>713</v>
      </c>
      <c r="E358" s="2">
        <v>1141.97</v>
      </c>
      <c r="F358" s="2"/>
      <c r="G358" s="2"/>
      <c r="H358" s="8" t="str">
        <f t="shared" si="10"/>
        <v/>
      </c>
      <c r="I358" s="10" t="str">
        <f t="shared" si="11"/>
        <v/>
      </c>
      <c r="L358" s="2"/>
      <c r="M358" s="2"/>
      <c r="N358" s="2"/>
    </row>
    <row r="359" spans="1:14" ht="30" customHeight="1" x14ac:dyDescent="0.35">
      <c r="A359" t="s">
        <v>789</v>
      </c>
      <c r="B359" t="s">
        <v>790</v>
      </c>
      <c r="C359" t="s">
        <v>253</v>
      </c>
      <c r="D359" t="s">
        <v>252</v>
      </c>
      <c r="E359" s="2">
        <v>210713.5</v>
      </c>
      <c r="F359" s="2">
        <v>1516707.87</v>
      </c>
      <c r="G359" s="2">
        <v>600000</v>
      </c>
      <c r="H359" s="8">
        <f t="shared" si="10"/>
        <v>2116707.87</v>
      </c>
      <c r="I359" s="10">
        <f t="shared" si="11"/>
        <v>9.9547747228813391E-2</v>
      </c>
      <c r="L359" s="2"/>
      <c r="M359" s="2"/>
      <c r="N359" s="2"/>
    </row>
    <row r="360" spans="1:14" ht="30" customHeight="1" x14ac:dyDescent="0.35">
      <c r="A360" t="s">
        <v>791</v>
      </c>
      <c r="B360" t="s">
        <v>792</v>
      </c>
      <c r="C360" t="s">
        <v>19</v>
      </c>
      <c r="D360" t="s">
        <v>18</v>
      </c>
      <c r="E360" s="2">
        <v>685792.54</v>
      </c>
      <c r="F360" s="2">
        <v>0</v>
      </c>
      <c r="G360" s="2">
        <v>500</v>
      </c>
      <c r="H360" s="8">
        <f t="shared" si="10"/>
        <v>500</v>
      </c>
      <c r="I360" s="10">
        <f t="shared" si="11"/>
        <v>1371.5850800000001</v>
      </c>
      <c r="L360" s="2"/>
      <c r="M360" s="2"/>
      <c r="N360" s="2"/>
    </row>
    <row r="361" spans="1:14" ht="30" customHeight="1" x14ac:dyDescent="0.35">
      <c r="A361" t="s">
        <v>793</v>
      </c>
      <c r="B361" t="s">
        <v>794</v>
      </c>
      <c r="C361" t="s">
        <v>2263</v>
      </c>
      <c r="D361" t="s">
        <v>1233</v>
      </c>
      <c r="E361" s="2">
        <v>5545802.5</v>
      </c>
      <c r="F361" s="2"/>
      <c r="G361" s="2"/>
      <c r="H361" s="8" t="str">
        <f t="shared" si="10"/>
        <v/>
      </c>
      <c r="I361" s="10" t="str">
        <f t="shared" si="11"/>
        <v/>
      </c>
      <c r="L361" s="2"/>
      <c r="M361" s="2"/>
      <c r="N361" s="2"/>
    </row>
    <row r="362" spans="1:14" ht="30" customHeight="1" x14ac:dyDescent="0.35">
      <c r="A362" t="s">
        <v>795</v>
      </c>
      <c r="B362" t="s">
        <v>796</v>
      </c>
      <c r="C362" t="s">
        <v>19</v>
      </c>
      <c r="D362" t="s">
        <v>18</v>
      </c>
      <c r="E362" s="2">
        <v>219616.95</v>
      </c>
      <c r="F362" s="2"/>
      <c r="G362" s="2"/>
      <c r="H362" s="8" t="str">
        <f t="shared" si="10"/>
        <v/>
      </c>
      <c r="I362" s="10" t="str">
        <f t="shared" si="11"/>
        <v/>
      </c>
      <c r="L362" s="2"/>
      <c r="M362" s="2"/>
      <c r="N362" s="2"/>
    </row>
    <row r="363" spans="1:14" ht="30" customHeight="1" x14ac:dyDescent="0.35">
      <c r="A363" t="s">
        <v>797</v>
      </c>
      <c r="B363" t="s">
        <v>798</v>
      </c>
      <c r="C363" t="s">
        <v>15</v>
      </c>
      <c r="D363" t="s">
        <v>14</v>
      </c>
      <c r="E363" s="2">
        <v>1104898</v>
      </c>
      <c r="F363" s="2">
        <v>2853928.55</v>
      </c>
      <c r="G363" s="2">
        <v>1000500</v>
      </c>
      <c r="H363" s="8">
        <f t="shared" si="10"/>
        <v>3854428.55</v>
      </c>
      <c r="I363" s="10">
        <f t="shared" si="11"/>
        <v>0.28665676005331581</v>
      </c>
      <c r="L363" s="2"/>
      <c r="M363" s="2"/>
      <c r="N363" s="2"/>
    </row>
    <row r="364" spans="1:14" ht="30" customHeight="1" x14ac:dyDescent="0.35">
      <c r="A364" t="s">
        <v>799</v>
      </c>
      <c r="B364" t="s">
        <v>800</v>
      </c>
      <c r="C364" t="s">
        <v>19</v>
      </c>
      <c r="D364" t="s">
        <v>18</v>
      </c>
      <c r="E364" s="2">
        <v>854084.95</v>
      </c>
      <c r="F364" s="2"/>
      <c r="G364" s="2"/>
      <c r="H364" s="8" t="str">
        <f t="shared" si="10"/>
        <v/>
      </c>
      <c r="I364" s="10" t="str">
        <f t="shared" si="11"/>
        <v/>
      </c>
      <c r="L364" s="2"/>
      <c r="M364" s="2"/>
      <c r="N364" s="2"/>
    </row>
    <row r="365" spans="1:14" ht="30" customHeight="1" x14ac:dyDescent="0.35">
      <c r="A365" t="s">
        <v>801</v>
      </c>
      <c r="B365" t="s">
        <v>802</v>
      </c>
      <c r="C365" t="s">
        <v>259</v>
      </c>
      <c r="D365" t="s">
        <v>258</v>
      </c>
      <c r="E365" s="2">
        <v>205978.08</v>
      </c>
      <c r="F365" s="2">
        <v>853435.41</v>
      </c>
      <c r="G365" s="2">
        <v>800000</v>
      </c>
      <c r="H365" s="8">
        <f t="shared" si="10"/>
        <v>1653435.4100000001</v>
      </c>
      <c r="I365" s="10">
        <f t="shared" si="11"/>
        <v>0.12457582482765382</v>
      </c>
      <c r="L365" s="2"/>
      <c r="M365" s="2"/>
      <c r="N365" s="2"/>
    </row>
    <row r="366" spans="1:14" ht="30" customHeight="1" x14ac:dyDescent="0.35">
      <c r="A366" t="s">
        <v>803</v>
      </c>
      <c r="B366" t="s">
        <v>804</v>
      </c>
      <c r="C366" t="s">
        <v>57</v>
      </c>
      <c r="D366" t="s">
        <v>56</v>
      </c>
      <c r="E366" s="2">
        <v>112679</v>
      </c>
      <c r="F366" s="2"/>
      <c r="G366" s="2"/>
      <c r="H366" s="8" t="str">
        <f t="shared" si="10"/>
        <v/>
      </c>
      <c r="I366" s="10" t="str">
        <f t="shared" si="11"/>
        <v/>
      </c>
      <c r="L366" s="2"/>
      <c r="M366" s="2"/>
      <c r="N366" s="2"/>
    </row>
    <row r="367" spans="1:14" ht="30" customHeight="1" x14ac:dyDescent="0.35">
      <c r="A367" t="s">
        <v>805</v>
      </c>
      <c r="B367" t="s">
        <v>806</v>
      </c>
      <c r="C367" t="s">
        <v>51</v>
      </c>
      <c r="D367" t="s">
        <v>50</v>
      </c>
      <c r="E367" s="2">
        <v>237144.39</v>
      </c>
      <c r="F367" s="2"/>
      <c r="G367" s="2"/>
      <c r="H367" s="8" t="str">
        <f t="shared" si="10"/>
        <v/>
      </c>
      <c r="I367" s="10" t="str">
        <f t="shared" si="11"/>
        <v/>
      </c>
      <c r="L367" s="2"/>
      <c r="M367" s="2"/>
      <c r="N367" s="2"/>
    </row>
    <row r="368" spans="1:14" ht="30" customHeight="1" x14ac:dyDescent="0.35">
      <c r="A368" t="s">
        <v>807</v>
      </c>
      <c r="B368" t="s">
        <v>808</v>
      </c>
      <c r="C368" t="s">
        <v>77</v>
      </c>
      <c r="D368" t="s">
        <v>76</v>
      </c>
      <c r="E368" s="2">
        <v>7872948.9699999997</v>
      </c>
      <c r="F368" s="2"/>
      <c r="G368" s="2"/>
      <c r="H368" s="8" t="str">
        <f t="shared" ref="H368:H430" si="12">IF(ISBLANK(F368), "",(F368+G368))</f>
        <v/>
      </c>
      <c r="I368" s="10" t="str">
        <f t="shared" ref="I368:I430" si="13">IF(ISBLANK(F368), "", E368/H368)</f>
        <v/>
      </c>
      <c r="L368" s="2"/>
      <c r="M368" s="2"/>
      <c r="N368" s="2"/>
    </row>
    <row r="369" spans="1:14" ht="30" customHeight="1" x14ac:dyDescent="0.35">
      <c r="A369" t="s">
        <v>809</v>
      </c>
      <c r="B369" t="s">
        <v>810</v>
      </c>
      <c r="C369" t="s">
        <v>77</v>
      </c>
      <c r="D369" t="s">
        <v>76</v>
      </c>
      <c r="E369" s="2">
        <v>239686.25</v>
      </c>
      <c r="F369" s="2"/>
      <c r="G369" s="2"/>
      <c r="H369" s="8" t="str">
        <f t="shared" si="12"/>
        <v/>
      </c>
      <c r="I369" s="10" t="str">
        <f t="shared" si="13"/>
        <v/>
      </c>
      <c r="L369" s="2"/>
      <c r="M369" s="2"/>
      <c r="N369" s="2"/>
    </row>
    <row r="370" spans="1:14" ht="30" customHeight="1" x14ac:dyDescent="0.35">
      <c r="A370" t="s">
        <v>811</v>
      </c>
      <c r="B370" t="s">
        <v>812</v>
      </c>
      <c r="C370" t="s">
        <v>19</v>
      </c>
      <c r="D370" t="s">
        <v>18</v>
      </c>
      <c r="E370" s="2">
        <v>878.3</v>
      </c>
      <c r="F370" s="2"/>
      <c r="G370" s="2"/>
      <c r="H370" s="8" t="str">
        <f t="shared" si="12"/>
        <v/>
      </c>
      <c r="I370" s="10" t="str">
        <f t="shared" si="13"/>
        <v/>
      </c>
      <c r="L370" s="2"/>
      <c r="M370" s="2"/>
      <c r="N370" s="2"/>
    </row>
    <row r="371" spans="1:14" ht="30" customHeight="1" x14ac:dyDescent="0.35">
      <c r="A371" t="s">
        <v>813</v>
      </c>
      <c r="B371" t="s">
        <v>814</v>
      </c>
      <c r="C371" t="s">
        <v>73</v>
      </c>
      <c r="D371" t="s">
        <v>72</v>
      </c>
      <c r="E371" s="2">
        <v>10209.92</v>
      </c>
      <c r="F371" s="2">
        <v>68962.899999999994</v>
      </c>
      <c r="G371" s="2">
        <v>276037.09999999998</v>
      </c>
      <c r="H371" s="8">
        <f t="shared" si="12"/>
        <v>345000</v>
      </c>
      <c r="I371" s="10">
        <f t="shared" si="13"/>
        <v>2.9593971014492754E-2</v>
      </c>
      <c r="L371" s="2"/>
      <c r="M371" s="2"/>
      <c r="N371" s="2"/>
    </row>
    <row r="372" spans="1:14" ht="30" customHeight="1" x14ac:dyDescent="0.35">
      <c r="A372" t="s">
        <v>815</v>
      </c>
      <c r="B372" t="s">
        <v>816</v>
      </c>
      <c r="C372" t="s">
        <v>2225</v>
      </c>
      <c r="D372" t="s">
        <v>308</v>
      </c>
      <c r="E372" s="2">
        <v>359172.08</v>
      </c>
      <c r="F372" s="2"/>
      <c r="G372" s="2"/>
      <c r="H372" s="8" t="str">
        <f t="shared" si="12"/>
        <v/>
      </c>
      <c r="I372" s="10" t="str">
        <f t="shared" si="13"/>
        <v/>
      </c>
      <c r="L372" s="2"/>
      <c r="M372" s="2"/>
      <c r="N372" s="2"/>
    </row>
    <row r="373" spans="1:14" ht="30" customHeight="1" x14ac:dyDescent="0.35">
      <c r="A373" t="s">
        <v>817</v>
      </c>
      <c r="B373" t="s">
        <v>818</v>
      </c>
      <c r="C373" t="s">
        <v>19</v>
      </c>
      <c r="D373" t="s">
        <v>18</v>
      </c>
      <c r="E373" s="2">
        <v>314594.21999999997</v>
      </c>
      <c r="F373" s="2"/>
      <c r="G373" s="2"/>
      <c r="H373" s="8" t="str">
        <f t="shared" si="12"/>
        <v/>
      </c>
      <c r="I373" s="10" t="str">
        <f t="shared" si="13"/>
        <v/>
      </c>
      <c r="L373" s="2"/>
      <c r="M373" s="2"/>
      <c r="N373" s="2"/>
    </row>
    <row r="374" spans="1:14" ht="30" customHeight="1" x14ac:dyDescent="0.35">
      <c r="A374" t="s">
        <v>819</v>
      </c>
      <c r="B374" t="s">
        <v>820</v>
      </c>
      <c r="C374" t="s">
        <v>19</v>
      </c>
      <c r="D374" t="s">
        <v>18</v>
      </c>
      <c r="E374" s="2">
        <v>66234.02</v>
      </c>
      <c r="F374" s="2"/>
      <c r="G374" s="2"/>
      <c r="H374" s="8" t="str">
        <f t="shared" si="12"/>
        <v/>
      </c>
      <c r="I374" s="10" t="str">
        <f t="shared" si="13"/>
        <v/>
      </c>
      <c r="L374" s="2"/>
      <c r="M374" s="2"/>
      <c r="N374" s="2"/>
    </row>
    <row r="375" spans="1:14" ht="30" customHeight="1" x14ac:dyDescent="0.35">
      <c r="A375" t="s">
        <v>821</v>
      </c>
      <c r="B375" t="s">
        <v>822</v>
      </c>
      <c r="C375" t="s">
        <v>19</v>
      </c>
      <c r="D375" t="s">
        <v>18</v>
      </c>
      <c r="E375" s="2">
        <v>219869.04</v>
      </c>
      <c r="F375" s="2"/>
      <c r="G375" s="2"/>
      <c r="H375" s="8" t="str">
        <f t="shared" si="12"/>
        <v/>
      </c>
      <c r="I375" s="10" t="str">
        <f t="shared" si="13"/>
        <v/>
      </c>
      <c r="L375" s="2"/>
      <c r="M375" s="2"/>
      <c r="N375" s="2"/>
    </row>
    <row r="376" spans="1:14" ht="30" customHeight="1" x14ac:dyDescent="0.35">
      <c r="A376" t="s">
        <v>823</v>
      </c>
      <c r="B376" t="s">
        <v>824</v>
      </c>
      <c r="C376" t="s">
        <v>11</v>
      </c>
      <c r="D376" t="s">
        <v>10</v>
      </c>
      <c r="E376" s="2">
        <v>43913379</v>
      </c>
      <c r="F376" s="2"/>
      <c r="G376" s="2"/>
      <c r="H376" s="8" t="str">
        <f t="shared" si="12"/>
        <v/>
      </c>
      <c r="I376" s="10" t="str">
        <f t="shared" si="13"/>
        <v/>
      </c>
      <c r="L376" s="2"/>
      <c r="M376" s="2"/>
      <c r="N376" s="2"/>
    </row>
    <row r="377" spans="1:14" ht="30" customHeight="1" x14ac:dyDescent="0.35">
      <c r="A377" t="s">
        <v>2316</v>
      </c>
      <c r="B377" t="s">
        <v>2317</v>
      </c>
      <c r="C377" t="s">
        <v>29</v>
      </c>
      <c r="D377" t="s">
        <v>28</v>
      </c>
      <c r="E377" s="2">
        <v>24301.98</v>
      </c>
      <c r="F377" s="2"/>
      <c r="G377" s="2"/>
      <c r="H377" s="8" t="str">
        <f t="shared" si="12"/>
        <v/>
      </c>
      <c r="I377" s="10" t="str">
        <f t="shared" si="13"/>
        <v/>
      </c>
      <c r="L377" s="2"/>
      <c r="M377" s="2"/>
      <c r="N377" s="2"/>
    </row>
    <row r="378" spans="1:14" ht="30" customHeight="1" x14ac:dyDescent="0.35">
      <c r="A378" t="s">
        <v>825</v>
      </c>
      <c r="B378" t="s">
        <v>826</v>
      </c>
      <c r="C378" t="s">
        <v>2263</v>
      </c>
      <c r="D378" t="s">
        <v>1233</v>
      </c>
      <c r="E378" s="2">
        <v>134012.9</v>
      </c>
      <c r="F378" s="2"/>
      <c r="G378" s="2"/>
      <c r="H378" s="8" t="str">
        <f t="shared" si="12"/>
        <v/>
      </c>
      <c r="I378" s="10" t="str">
        <f t="shared" si="13"/>
        <v/>
      </c>
      <c r="L378" s="2"/>
      <c r="M378" s="2"/>
      <c r="N378" s="2"/>
    </row>
    <row r="379" spans="1:14" ht="30" customHeight="1" x14ac:dyDescent="0.35">
      <c r="A379" t="s">
        <v>827</v>
      </c>
      <c r="B379" t="s">
        <v>828</v>
      </c>
      <c r="C379" t="s">
        <v>2259</v>
      </c>
      <c r="D379" t="s">
        <v>713</v>
      </c>
      <c r="E379" s="2">
        <v>370566.47</v>
      </c>
      <c r="F379" s="2"/>
      <c r="G379" s="2"/>
      <c r="H379" s="8" t="str">
        <f t="shared" si="12"/>
        <v/>
      </c>
      <c r="I379" s="10" t="str">
        <f t="shared" si="13"/>
        <v/>
      </c>
      <c r="L379" s="2"/>
      <c r="M379" s="2"/>
      <c r="N379" s="2"/>
    </row>
    <row r="380" spans="1:14" ht="30" customHeight="1" x14ac:dyDescent="0.35">
      <c r="A380" t="s">
        <v>829</v>
      </c>
      <c r="B380" t="s">
        <v>830</v>
      </c>
      <c r="C380" t="s">
        <v>77</v>
      </c>
      <c r="D380" t="s">
        <v>76</v>
      </c>
      <c r="E380" s="2">
        <v>219252.17</v>
      </c>
      <c r="F380" s="2"/>
      <c r="G380" s="2"/>
      <c r="H380" s="8" t="str">
        <f t="shared" si="12"/>
        <v/>
      </c>
      <c r="I380" s="10" t="str">
        <f t="shared" si="13"/>
        <v/>
      </c>
      <c r="L380" s="2"/>
      <c r="M380" s="2"/>
      <c r="N380" s="2"/>
    </row>
    <row r="381" spans="1:14" ht="30" customHeight="1" x14ac:dyDescent="0.35">
      <c r="A381" t="s">
        <v>831</v>
      </c>
      <c r="B381" t="s">
        <v>832</v>
      </c>
      <c r="C381" t="s">
        <v>19</v>
      </c>
      <c r="D381" t="s">
        <v>18</v>
      </c>
      <c r="E381" s="2">
        <v>117796.63</v>
      </c>
      <c r="F381" s="2">
        <v>2122.91</v>
      </c>
      <c r="G381" s="2"/>
      <c r="H381" s="8">
        <f t="shared" si="12"/>
        <v>2122.91</v>
      </c>
      <c r="I381" s="10">
        <f t="shared" si="13"/>
        <v>55.488282593232881</v>
      </c>
      <c r="L381" s="2"/>
      <c r="M381" s="2"/>
      <c r="N381" s="2"/>
    </row>
    <row r="382" spans="1:14" ht="30" customHeight="1" x14ac:dyDescent="0.35">
      <c r="A382" t="s">
        <v>833</v>
      </c>
      <c r="B382" t="s">
        <v>834</v>
      </c>
      <c r="C382" t="s">
        <v>2263</v>
      </c>
      <c r="D382" t="s">
        <v>1233</v>
      </c>
      <c r="E382" s="2">
        <v>65110.1</v>
      </c>
      <c r="F382" s="2"/>
      <c r="G382" s="2"/>
      <c r="H382" s="8" t="str">
        <f t="shared" si="12"/>
        <v/>
      </c>
      <c r="I382" s="10" t="str">
        <f t="shared" si="13"/>
        <v/>
      </c>
      <c r="L382" s="2"/>
      <c r="M382" s="2"/>
      <c r="N382" s="2"/>
    </row>
    <row r="383" spans="1:14" ht="30" customHeight="1" x14ac:dyDescent="0.35">
      <c r="A383" t="s">
        <v>835</v>
      </c>
      <c r="B383" t="s">
        <v>836</v>
      </c>
      <c r="C383" t="s">
        <v>19</v>
      </c>
      <c r="D383" t="s">
        <v>18</v>
      </c>
      <c r="E383" s="2">
        <v>201810.17</v>
      </c>
      <c r="F383" s="2"/>
      <c r="G383" s="2"/>
      <c r="H383" s="8" t="str">
        <f t="shared" si="12"/>
        <v/>
      </c>
      <c r="I383" s="10" t="str">
        <f t="shared" si="13"/>
        <v/>
      </c>
      <c r="L383" s="2"/>
      <c r="M383" s="2"/>
      <c r="N383" s="2"/>
    </row>
    <row r="384" spans="1:14" ht="30" customHeight="1" x14ac:dyDescent="0.35">
      <c r="A384" t="s">
        <v>837</v>
      </c>
      <c r="B384" t="s">
        <v>838</v>
      </c>
      <c r="C384" t="s">
        <v>11</v>
      </c>
      <c r="D384" t="s">
        <v>10</v>
      </c>
      <c r="E384" s="2">
        <v>3579892.31</v>
      </c>
      <c r="F384" s="2"/>
      <c r="G384" s="2"/>
      <c r="H384" s="8" t="str">
        <f t="shared" si="12"/>
        <v/>
      </c>
      <c r="I384" s="10" t="str">
        <f t="shared" si="13"/>
        <v/>
      </c>
      <c r="L384" s="2"/>
      <c r="M384" s="2"/>
      <c r="N384" s="2"/>
    </row>
    <row r="385" spans="1:14" ht="30" customHeight="1" x14ac:dyDescent="0.35">
      <c r="A385" t="s">
        <v>839</v>
      </c>
      <c r="B385" t="s">
        <v>840</v>
      </c>
      <c r="C385" t="s">
        <v>51</v>
      </c>
      <c r="D385" t="s">
        <v>50</v>
      </c>
      <c r="E385" s="2">
        <v>703366.68</v>
      </c>
      <c r="F385" s="2"/>
      <c r="G385" s="2"/>
      <c r="H385" s="8" t="str">
        <f t="shared" si="12"/>
        <v/>
      </c>
      <c r="I385" s="10" t="str">
        <f t="shared" si="13"/>
        <v/>
      </c>
      <c r="L385" s="2"/>
      <c r="M385" s="2"/>
      <c r="N385" s="2"/>
    </row>
    <row r="386" spans="1:14" ht="30" customHeight="1" x14ac:dyDescent="0.35">
      <c r="A386" t="s">
        <v>841</v>
      </c>
      <c r="B386" t="s">
        <v>842</v>
      </c>
      <c r="C386" t="s">
        <v>2273</v>
      </c>
      <c r="D386" t="s">
        <v>1552</v>
      </c>
      <c r="E386" s="2">
        <v>246186.22</v>
      </c>
      <c r="F386" s="2">
        <v>3921040.8</v>
      </c>
      <c r="G386" s="2"/>
      <c r="H386" s="8">
        <f t="shared" si="12"/>
        <v>3921040.8</v>
      </c>
      <c r="I386" s="10">
        <f t="shared" si="13"/>
        <v>6.2785936835954376E-2</v>
      </c>
      <c r="L386" s="2"/>
      <c r="M386" s="2"/>
      <c r="N386" s="2"/>
    </row>
    <row r="387" spans="1:14" ht="30" customHeight="1" x14ac:dyDescent="0.35">
      <c r="A387" t="s">
        <v>843</v>
      </c>
      <c r="B387" t="s">
        <v>844</v>
      </c>
      <c r="C387" t="s">
        <v>2225</v>
      </c>
      <c r="D387" t="s">
        <v>308</v>
      </c>
      <c r="E387" s="2">
        <v>446131.88</v>
      </c>
      <c r="F387" s="2"/>
      <c r="G387" s="2"/>
      <c r="H387" s="8" t="str">
        <f t="shared" si="12"/>
        <v/>
      </c>
      <c r="I387" s="10" t="str">
        <f t="shared" si="13"/>
        <v/>
      </c>
      <c r="L387" s="2"/>
      <c r="M387" s="2"/>
      <c r="N387" s="2"/>
    </row>
    <row r="388" spans="1:14" ht="30" customHeight="1" x14ac:dyDescent="0.35">
      <c r="A388" t="s">
        <v>845</v>
      </c>
      <c r="B388" t="s">
        <v>846</v>
      </c>
      <c r="C388" t="s">
        <v>2259</v>
      </c>
      <c r="D388" t="s">
        <v>713</v>
      </c>
      <c r="E388" s="2">
        <v>1428665.13</v>
      </c>
      <c r="F388" s="2">
        <v>211751.52</v>
      </c>
      <c r="G388" s="2"/>
      <c r="H388" s="8">
        <f t="shared" si="12"/>
        <v>211751.52</v>
      </c>
      <c r="I388" s="10">
        <f t="shared" si="13"/>
        <v>6.746894331620382</v>
      </c>
      <c r="L388" s="2"/>
      <c r="M388" s="2"/>
      <c r="N388" s="2"/>
    </row>
    <row r="389" spans="1:14" ht="30" customHeight="1" x14ac:dyDescent="0.35">
      <c r="A389" t="s">
        <v>18</v>
      </c>
      <c r="B389" t="s">
        <v>847</v>
      </c>
      <c r="C389" t="s">
        <v>2238</v>
      </c>
      <c r="D389" t="s">
        <v>2239</v>
      </c>
      <c r="E389" s="2">
        <v>13925.42</v>
      </c>
      <c r="F389" s="2"/>
      <c r="G389" s="2"/>
      <c r="H389" s="8" t="str">
        <f t="shared" si="12"/>
        <v/>
      </c>
      <c r="I389" s="10" t="str">
        <f t="shared" si="13"/>
        <v/>
      </c>
      <c r="L389" s="2"/>
      <c r="M389" s="2"/>
      <c r="N389" s="2"/>
    </row>
    <row r="390" spans="1:14" ht="30" customHeight="1" x14ac:dyDescent="0.35">
      <c r="A390" t="s">
        <v>848</v>
      </c>
      <c r="B390" t="s">
        <v>849</v>
      </c>
      <c r="C390" t="s">
        <v>77</v>
      </c>
      <c r="D390" t="s">
        <v>76</v>
      </c>
      <c r="E390" s="2">
        <v>37831.339999999997</v>
      </c>
      <c r="F390" s="2"/>
      <c r="G390" s="2"/>
      <c r="H390" s="8" t="str">
        <f t="shared" si="12"/>
        <v/>
      </c>
      <c r="I390" s="10" t="str">
        <f t="shared" si="13"/>
        <v/>
      </c>
      <c r="L390" s="2"/>
      <c r="M390" s="2"/>
      <c r="N390" s="2"/>
    </row>
    <row r="391" spans="1:14" ht="30" customHeight="1" x14ac:dyDescent="0.35">
      <c r="A391" t="s">
        <v>850</v>
      </c>
      <c r="B391" t="s">
        <v>851</v>
      </c>
      <c r="C391" t="s">
        <v>29</v>
      </c>
      <c r="D391" t="s">
        <v>28</v>
      </c>
      <c r="E391" s="2">
        <v>90.27</v>
      </c>
      <c r="F391" s="2">
        <v>147044.04999999999</v>
      </c>
      <c r="G391" s="2"/>
      <c r="H391" s="8">
        <f t="shared" si="12"/>
        <v>147044.04999999999</v>
      </c>
      <c r="I391" s="10">
        <f t="shared" si="13"/>
        <v>6.1389767216014522E-4</v>
      </c>
      <c r="L391" s="2"/>
      <c r="M391" s="2"/>
      <c r="N391" s="2"/>
    </row>
    <row r="392" spans="1:14" ht="30" customHeight="1" x14ac:dyDescent="0.35">
      <c r="A392" t="s">
        <v>852</v>
      </c>
      <c r="B392" t="s">
        <v>853</v>
      </c>
      <c r="C392" t="s">
        <v>19</v>
      </c>
      <c r="D392" t="s">
        <v>18</v>
      </c>
      <c r="E392" s="2">
        <v>542958.02</v>
      </c>
      <c r="F392" s="2">
        <v>42362.03</v>
      </c>
      <c r="G392" s="2">
        <v>10137.969999999999</v>
      </c>
      <c r="H392" s="8">
        <f t="shared" si="12"/>
        <v>52500</v>
      </c>
      <c r="I392" s="10">
        <f t="shared" si="13"/>
        <v>10.342057523809524</v>
      </c>
      <c r="L392" s="2"/>
      <c r="M392" s="2"/>
      <c r="N392" s="2"/>
    </row>
    <row r="393" spans="1:14" ht="30" customHeight="1" x14ac:dyDescent="0.35">
      <c r="A393" t="s">
        <v>854</v>
      </c>
      <c r="B393" t="s">
        <v>855</v>
      </c>
      <c r="C393" t="s">
        <v>19</v>
      </c>
      <c r="D393" t="s">
        <v>18</v>
      </c>
      <c r="E393" s="2">
        <v>215823.5</v>
      </c>
      <c r="F393" s="2"/>
      <c r="G393" s="2"/>
      <c r="H393" s="8" t="str">
        <f t="shared" si="12"/>
        <v/>
      </c>
      <c r="I393" s="10" t="str">
        <f t="shared" si="13"/>
        <v/>
      </c>
      <c r="L393" s="2"/>
      <c r="M393" s="2"/>
      <c r="N393" s="2"/>
    </row>
    <row r="394" spans="1:14" ht="30" customHeight="1" x14ac:dyDescent="0.35">
      <c r="A394" t="s">
        <v>856</v>
      </c>
      <c r="B394" t="s">
        <v>857</v>
      </c>
      <c r="C394" t="s">
        <v>29</v>
      </c>
      <c r="D394" t="s">
        <v>28</v>
      </c>
      <c r="E394" s="2">
        <v>73.37</v>
      </c>
      <c r="F394" s="2">
        <v>68233.679999999993</v>
      </c>
      <c r="G394" s="2"/>
      <c r="H394" s="8">
        <f t="shared" si="12"/>
        <v>68233.679999999993</v>
      </c>
      <c r="I394" s="10">
        <f t="shared" si="13"/>
        <v>1.0752754358258269E-3</v>
      </c>
      <c r="L394" s="2"/>
      <c r="M394" s="2"/>
      <c r="N394" s="2"/>
    </row>
    <row r="395" spans="1:14" ht="30" customHeight="1" x14ac:dyDescent="0.35">
      <c r="A395" t="s">
        <v>858</v>
      </c>
      <c r="B395" t="s">
        <v>859</v>
      </c>
      <c r="C395" t="s">
        <v>19</v>
      </c>
      <c r="D395" t="s">
        <v>18</v>
      </c>
      <c r="E395" s="2">
        <v>629846.67000000004</v>
      </c>
      <c r="F395" s="2"/>
      <c r="G395" s="2"/>
      <c r="H395" s="8" t="str">
        <f t="shared" si="12"/>
        <v/>
      </c>
      <c r="I395" s="10" t="str">
        <f t="shared" si="13"/>
        <v/>
      </c>
      <c r="L395" s="2"/>
      <c r="M395" s="2"/>
      <c r="N395" s="2"/>
    </row>
    <row r="396" spans="1:14" ht="30" customHeight="1" x14ac:dyDescent="0.35">
      <c r="A396" t="s">
        <v>860</v>
      </c>
      <c r="B396" t="s">
        <v>861</v>
      </c>
      <c r="C396" t="s">
        <v>457</v>
      </c>
      <c r="D396" t="s">
        <v>456</v>
      </c>
      <c r="E396" s="2">
        <v>598.16999999999996</v>
      </c>
      <c r="F396" s="2">
        <v>391111.88</v>
      </c>
      <c r="G396" s="2"/>
      <c r="H396" s="8">
        <f t="shared" si="12"/>
        <v>391111.88</v>
      </c>
      <c r="I396" s="10">
        <f t="shared" si="13"/>
        <v>1.5294089251392719E-3</v>
      </c>
      <c r="L396" s="2"/>
      <c r="M396" s="2"/>
      <c r="N396" s="2"/>
    </row>
    <row r="397" spans="1:14" ht="30" customHeight="1" x14ac:dyDescent="0.35">
      <c r="A397" t="s">
        <v>2318</v>
      </c>
      <c r="B397" t="s">
        <v>2319</v>
      </c>
      <c r="C397" t="s">
        <v>19</v>
      </c>
      <c r="D397" t="s">
        <v>18</v>
      </c>
      <c r="E397" s="2">
        <v>2003.75</v>
      </c>
      <c r="F397" s="2">
        <v>88751.52</v>
      </c>
      <c r="G397" s="2"/>
      <c r="H397" s="8">
        <f t="shared" si="12"/>
        <v>88751.52</v>
      </c>
      <c r="I397" s="10">
        <f t="shared" si="13"/>
        <v>2.2577078116521272E-2</v>
      </c>
      <c r="L397" s="2"/>
      <c r="M397" s="2"/>
      <c r="N397" s="2"/>
    </row>
    <row r="398" spans="1:14" ht="30" customHeight="1" x14ac:dyDescent="0.35">
      <c r="A398" t="s">
        <v>862</v>
      </c>
      <c r="B398" t="s">
        <v>863</v>
      </c>
      <c r="C398" t="s">
        <v>2262</v>
      </c>
      <c r="D398" t="s">
        <v>1518</v>
      </c>
      <c r="E398" s="2">
        <v>2040293.21</v>
      </c>
      <c r="F398" s="2"/>
      <c r="G398" s="2"/>
      <c r="H398" s="8" t="str">
        <f t="shared" si="12"/>
        <v/>
      </c>
      <c r="I398" s="10" t="str">
        <f t="shared" si="13"/>
        <v/>
      </c>
      <c r="L398" s="2"/>
      <c r="M398" s="2"/>
      <c r="N398" s="2"/>
    </row>
    <row r="399" spans="1:14" ht="30" customHeight="1" x14ac:dyDescent="0.35">
      <c r="A399" t="s">
        <v>864</v>
      </c>
      <c r="B399" t="s">
        <v>865</v>
      </c>
      <c r="C399" t="s">
        <v>77</v>
      </c>
      <c r="D399" t="s">
        <v>76</v>
      </c>
      <c r="E399" s="2">
        <v>124310.99</v>
      </c>
      <c r="F399" s="2"/>
      <c r="G399" s="2"/>
      <c r="H399" s="8" t="str">
        <f t="shared" si="12"/>
        <v/>
      </c>
      <c r="I399" s="10" t="str">
        <f t="shared" si="13"/>
        <v/>
      </c>
      <c r="L399" s="2"/>
      <c r="M399" s="2"/>
      <c r="N399" s="2"/>
    </row>
    <row r="400" spans="1:14" ht="30" customHeight="1" x14ac:dyDescent="0.35">
      <c r="A400" t="s">
        <v>866</v>
      </c>
      <c r="B400" t="s">
        <v>867</v>
      </c>
      <c r="C400" t="s">
        <v>2224</v>
      </c>
      <c r="D400" t="s">
        <v>1673</v>
      </c>
      <c r="E400" s="2">
        <v>1081504.57</v>
      </c>
      <c r="F400" s="2">
        <v>1167485.8400000001</v>
      </c>
      <c r="G400" s="2"/>
      <c r="H400" s="8">
        <f t="shared" si="12"/>
        <v>1167485.8400000001</v>
      </c>
      <c r="I400" s="10">
        <f t="shared" si="13"/>
        <v>0.92635347937067913</v>
      </c>
      <c r="L400" s="2"/>
      <c r="M400" s="2"/>
      <c r="N400" s="2"/>
    </row>
    <row r="401" spans="1:14" ht="30" customHeight="1" x14ac:dyDescent="0.35">
      <c r="A401" t="s">
        <v>868</v>
      </c>
      <c r="B401" t="s">
        <v>869</v>
      </c>
      <c r="C401" t="s">
        <v>19</v>
      </c>
      <c r="D401" t="s">
        <v>18</v>
      </c>
      <c r="E401" s="2">
        <v>6168.79</v>
      </c>
      <c r="F401" s="2"/>
      <c r="G401" s="2"/>
      <c r="H401" s="8" t="str">
        <f t="shared" si="12"/>
        <v/>
      </c>
      <c r="I401" s="10" t="str">
        <f t="shared" si="13"/>
        <v/>
      </c>
      <c r="L401" s="2"/>
      <c r="M401" s="2"/>
      <c r="N401" s="2"/>
    </row>
    <row r="402" spans="1:14" ht="30" customHeight="1" x14ac:dyDescent="0.35">
      <c r="A402" t="s">
        <v>870</v>
      </c>
      <c r="B402" t="s">
        <v>871</v>
      </c>
      <c r="C402" t="s">
        <v>19</v>
      </c>
      <c r="D402" t="s">
        <v>18</v>
      </c>
      <c r="E402" s="2">
        <v>327003.28000000003</v>
      </c>
      <c r="F402" s="2"/>
      <c r="G402" s="2"/>
      <c r="H402" s="8" t="str">
        <f t="shared" si="12"/>
        <v/>
      </c>
      <c r="I402" s="10" t="str">
        <f t="shared" si="13"/>
        <v/>
      </c>
      <c r="L402" s="2"/>
      <c r="M402" s="2"/>
      <c r="N402" s="2"/>
    </row>
    <row r="403" spans="1:14" ht="30" customHeight="1" x14ac:dyDescent="0.35">
      <c r="A403" t="s">
        <v>872</v>
      </c>
      <c r="B403" t="s">
        <v>873</v>
      </c>
      <c r="C403" t="s">
        <v>77</v>
      </c>
      <c r="D403" t="s">
        <v>76</v>
      </c>
      <c r="E403" s="2">
        <v>192013.47</v>
      </c>
      <c r="F403" s="2"/>
      <c r="G403" s="2"/>
      <c r="H403" s="8" t="str">
        <f t="shared" si="12"/>
        <v/>
      </c>
      <c r="I403" s="10" t="str">
        <f t="shared" si="13"/>
        <v/>
      </c>
      <c r="L403" s="2"/>
      <c r="M403" s="2"/>
      <c r="N403" s="2"/>
    </row>
    <row r="404" spans="1:14" ht="30" customHeight="1" x14ac:dyDescent="0.35">
      <c r="A404" t="s">
        <v>874</v>
      </c>
      <c r="B404" t="s">
        <v>875</v>
      </c>
      <c r="C404" t="s">
        <v>213</v>
      </c>
      <c r="D404" t="s">
        <v>212</v>
      </c>
      <c r="E404" s="2">
        <v>21808.54</v>
      </c>
      <c r="F404" s="2">
        <v>1598004.65</v>
      </c>
      <c r="G404" s="2"/>
      <c r="H404" s="8">
        <f t="shared" si="12"/>
        <v>1598004.65</v>
      </c>
      <c r="I404" s="10">
        <f t="shared" si="13"/>
        <v>1.3647357033660698E-2</v>
      </c>
      <c r="L404" s="2"/>
      <c r="M404" s="2"/>
      <c r="N404" s="2"/>
    </row>
    <row r="405" spans="1:14" ht="30" customHeight="1" x14ac:dyDescent="0.35">
      <c r="A405" t="s">
        <v>876</v>
      </c>
      <c r="B405" t="s">
        <v>877</v>
      </c>
      <c r="C405" t="s">
        <v>2259</v>
      </c>
      <c r="D405" t="s">
        <v>713</v>
      </c>
      <c r="E405" s="2">
        <v>710208.34</v>
      </c>
      <c r="F405" s="2"/>
      <c r="G405" s="2"/>
      <c r="H405" s="8" t="str">
        <f t="shared" si="12"/>
        <v/>
      </c>
      <c r="I405" s="10" t="str">
        <f t="shared" si="13"/>
        <v/>
      </c>
      <c r="L405" s="2"/>
      <c r="M405" s="2"/>
      <c r="N405" s="2"/>
    </row>
    <row r="406" spans="1:14" ht="30" customHeight="1" x14ac:dyDescent="0.35">
      <c r="A406" t="s">
        <v>878</v>
      </c>
      <c r="B406" t="s">
        <v>879</v>
      </c>
      <c r="C406" t="s">
        <v>51</v>
      </c>
      <c r="D406" t="s">
        <v>50</v>
      </c>
      <c r="E406" s="2">
        <v>469480.63</v>
      </c>
      <c r="F406" s="2">
        <v>0</v>
      </c>
      <c r="G406" s="2">
        <v>1500</v>
      </c>
      <c r="H406" s="8">
        <f t="shared" si="12"/>
        <v>1500</v>
      </c>
      <c r="I406" s="10">
        <f t="shared" si="13"/>
        <v>312.98708666666664</v>
      </c>
      <c r="L406" s="2"/>
      <c r="M406" s="2"/>
      <c r="N406" s="2"/>
    </row>
    <row r="407" spans="1:14" ht="30" customHeight="1" x14ac:dyDescent="0.35">
      <c r="A407" t="s">
        <v>880</v>
      </c>
      <c r="B407" t="s">
        <v>881</v>
      </c>
      <c r="C407" t="s">
        <v>77</v>
      </c>
      <c r="D407" t="s">
        <v>76</v>
      </c>
      <c r="E407" s="2">
        <v>3776.11</v>
      </c>
      <c r="F407" s="2">
        <v>0</v>
      </c>
      <c r="G407" s="2">
        <v>2000</v>
      </c>
      <c r="H407" s="8">
        <f t="shared" si="12"/>
        <v>2000</v>
      </c>
      <c r="I407" s="10">
        <f t="shared" si="13"/>
        <v>1.888055</v>
      </c>
      <c r="L407" s="2"/>
      <c r="M407" s="2"/>
      <c r="N407" s="2"/>
    </row>
    <row r="408" spans="1:14" ht="30" customHeight="1" x14ac:dyDescent="0.35">
      <c r="A408" t="s">
        <v>605</v>
      </c>
      <c r="B408" t="s">
        <v>882</v>
      </c>
      <c r="C408" t="s">
        <v>19</v>
      </c>
      <c r="D408" t="s">
        <v>18</v>
      </c>
      <c r="E408" s="2">
        <v>4074.96</v>
      </c>
      <c r="F408" s="2">
        <v>0</v>
      </c>
      <c r="G408" s="2">
        <v>1500</v>
      </c>
      <c r="H408" s="8">
        <f t="shared" si="12"/>
        <v>1500</v>
      </c>
      <c r="I408" s="10">
        <f t="shared" si="13"/>
        <v>2.7166399999999999</v>
      </c>
      <c r="L408" s="2"/>
      <c r="M408" s="2"/>
      <c r="N408" s="2"/>
    </row>
    <row r="409" spans="1:14" ht="30" customHeight="1" x14ac:dyDescent="0.35">
      <c r="A409" t="s">
        <v>56</v>
      </c>
      <c r="B409" t="s">
        <v>883</v>
      </c>
      <c r="C409" t="s">
        <v>19</v>
      </c>
      <c r="D409" t="s">
        <v>18</v>
      </c>
      <c r="E409" s="2">
        <v>733445.53</v>
      </c>
      <c r="F409" s="2"/>
      <c r="G409" s="2"/>
      <c r="H409" s="8" t="str">
        <f t="shared" si="12"/>
        <v/>
      </c>
      <c r="I409" s="10" t="str">
        <f t="shared" si="13"/>
        <v/>
      </c>
      <c r="L409" s="2"/>
      <c r="M409" s="2"/>
      <c r="N409" s="2"/>
    </row>
    <row r="410" spans="1:14" ht="30" customHeight="1" x14ac:dyDescent="0.35">
      <c r="A410" t="s">
        <v>884</v>
      </c>
      <c r="B410" t="s">
        <v>885</v>
      </c>
      <c r="C410" t="s">
        <v>19</v>
      </c>
      <c r="D410" t="s">
        <v>18</v>
      </c>
      <c r="E410" s="2">
        <v>318164.46000000002</v>
      </c>
      <c r="F410" s="2"/>
      <c r="G410" s="2"/>
      <c r="H410" s="8" t="str">
        <f t="shared" si="12"/>
        <v/>
      </c>
      <c r="I410" s="10" t="str">
        <f t="shared" si="13"/>
        <v/>
      </c>
      <c r="L410" s="2"/>
      <c r="M410" s="2"/>
      <c r="N410" s="2"/>
    </row>
    <row r="411" spans="1:14" ht="30" customHeight="1" x14ac:dyDescent="0.35">
      <c r="A411" t="s">
        <v>886</v>
      </c>
      <c r="B411" t="s">
        <v>887</v>
      </c>
      <c r="C411" t="s">
        <v>213</v>
      </c>
      <c r="D411" t="s">
        <v>212</v>
      </c>
      <c r="E411" s="2">
        <v>10189.790000000001</v>
      </c>
      <c r="F411" s="2">
        <v>129963.34</v>
      </c>
      <c r="G411" s="2"/>
      <c r="H411" s="8">
        <f t="shared" si="12"/>
        <v>129963.34</v>
      </c>
      <c r="I411" s="10">
        <f t="shared" si="13"/>
        <v>7.8405110241087997E-2</v>
      </c>
      <c r="L411" s="2"/>
      <c r="M411" s="2"/>
      <c r="N411" s="2"/>
    </row>
    <row r="412" spans="1:14" ht="30" customHeight="1" x14ac:dyDescent="0.35">
      <c r="A412" t="s">
        <v>888</v>
      </c>
      <c r="B412" t="s">
        <v>889</v>
      </c>
      <c r="C412" t="s">
        <v>51</v>
      </c>
      <c r="D412" t="s">
        <v>50</v>
      </c>
      <c r="E412" s="2">
        <v>210722.48</v>
      </c>
      <c r="F412" s="2"/>
      <c r="G412" s="2"/>
      <c r="H412" s="8" t="str">
        <f t="shared" si="12"/>
        <v/>
      </c>
      <c r="I412" s="10" t="str">
        <f t="shared" si="13"/>
        <v/>
      </c>
      <c r="L412" s="2"/>
      <c r="M412" s="2"/>
      <c r="N412" s="2"/>
    </row>
    <row r="413" spans="1:14" ht="30" customHeight="1" x14ac:dyDescent="0.35">
      <c r="A413" t="s">
        <v>890</v>
      </c>
      <c r="B413" t="s">
        <v>891</v>
      </c>
      <c r="C413" t="s">
        <v>2263</v>
      </c>
      <c r="D413" t="s">
        <v>1233</v>
      </c>
      <c r="E413" s="2">
        <v>1098.92</v>
      </c>
      <c r="F413" s="2"/>
      <c r="G413" s="2"/>
      <c r="H413" s="8" t="str">
        <f t="shared" si="12"/>
        <v/>
      </c>
      <c r="I413" s="10" t="str">
        <f t="shared" si="13"/>
        <v/>
      </c>
      <c r="L413" s="2"/>
      <c r="M413" s="2"/>
      <c r="N413" s="2"/>
    </row>
    <row r="414" spans="1:14" ht="30" customHeight="1" x14ac:dyDescent="0.35">
      <c r="A414" t="s">
        <v>892</v>
      </c>
      <c r="B414" t="s">
        <v>893</v>
      </c>
      <c r="C414" t="s">
        <v>77</v>
      </c>
      <c r="D414" t="s">
        <v>76</v>
      </c>
      <c r="E414" s="2">
        <v>582505.48</v>
      </c>
      <c r="F414" s="2"/>
      <c r="G414" s="2"/>
      <c r="H414" s="8" t="str">
        <f t="shared" si="12"/>
        <v/>
      </c>
      <c r="I414" s="10" t="str">
        <f t="shared" si="13"/>
        <v/>
      </c>
      <c r="L414" s="2"/>
      <c r="M414" s="2"/>
      <c r="N414" s="2"/>
    </row>
    <row r="415" spans="1:14" ht="30" customHeight="1" x14ac:dyDescent="0.35">
      <c r="A415" t="s">
        <v>894</v>
      </c>
      <c r="B415" t="s">
        <v>895</v>
      </c>
      <c r="C415" t="s">
        <v>19</v>
      </c>
      <c r="D415" t="s">
        <v>18</v>
      </c>
      <c r="E415" s="2">
        <v>128554</v>
      </c>
      <c r="F415" s="2"/>
      <c r="G415" s="2"/>
      <c r="H415" s="8" t="str">
        <f t="shared" si="12"/>
        <v/>
      </c>
      <c r="I415" s="10" t="str">
        <f t="shared" si="13"/>
        <v/>
      </c>
      <c r="L415" s="2"/>
      <c r="M415" s="2"/>
      <c r="N415" s="2"/>
    </row>
    <row r="416" spans="1:14" ht="30" customHeight="1" x14ac:dyDescent="0.35">
      <c r="A416" t="s">
        <v>896</v>
      </c>
      <c r="B416" t="s">
        <v>897</v>
      </c>
      <c r="C416" t="s">
        <v>2259</v>
      </c>
      <c r="D416" t="s">
        <v>713</v>
      </c>
      <c r="E416" s="2">
        <v>156922.65</v>
      </c>
      <c r="F416" s="2"/>
      <c r="G416" s="2"/>
      <c r="H416" s="8" t="str">
        <f t="shared" si="12"/>
        <v/>
      </c>
      <c r="I416" s="10" t="str">
        <f t="shared" si="13"/>
        <v/>
      </c>
      <c r="L416" s="2"/>
      <c r="M416" s="2"/>
      <c r="N416" s="2"/>
    </row>
    <row r="417" spans="1:14" ht="30" customHeight="1" x14ac:dyDescent="0.35">
      <c r="A417" t="s">
        <v>898</v>
      </c>
      <c r="B417" t="s">
        <v>899</v>
      </c>
      <c r="C417" t="s">
        <v>2262</v>
      </c>
      <c r="D417" t="s">
        <v>1518</v>
      </c>
      <c r="E417" s="2">
        <v>23728.53</v>
      </c>
      <c r="F417" s="2">
        <v>569.98</v>
      </c>
      <c r="G417" s="2">
        <v>430.02</v>
      </c>
      <c r="H417" s="8">
        <f t="shared" si="12"/>
        <v>1000</v>
      </c>
      <c r="I417" s="10">
        <f t="shared" si="13"/>
        <v>23.728529999999999</v>
      </c>
      <c r="L417" s="2"/>
      <c r="M417" s="2"/>
      <c r="N417" s="2"/>
    </row>
    <row r="418" spans="1:14" ht="30" customHeight="1" x14ac:dyDescent="0.35">
      <c r="A418" t="s">
        <v>900</v>
      </c>
      <c r="B418" t="s">
        <v>901</v>
      </c>
      <c r="C418" t="s">
        <v>19</v>
      </c>
      <c r="D418" t="s">
        <v>18</v>
      </c>
      <c r="E418" s="2">
        <v>44178.14</v>
      </c>
      <c r="F418" s="2"/>
      <c r="G418" s="2"/>
      <c r="H418" s="8" t="str">
        <f t="shared" si="12"/>
        <v/>
      </c>
      <c r="I418" s="10" t="str">
        <f t="shared" si="13"/>
        <v/>
      </c>
      <c r="L418" s="2"/>
      <c r="M418" s="2"/>
      <c r="N418" s="2"/>
    </row>
    <row r="419" spans="1:14" ht="30" customHeight="1" x14ac:dyDescent="0.35">
      <c r="A419" t="s">
        <v>902</v>
      </c>
      <c r="B419" t="s">
        <v>903</v>
      </c>
      <c r="C419" t="s">
        <v>51</v>
      </c>
      <c r="D419" t="s">
        <v>50</v>
      </c>
      <c r="E419" s="2">
        <v>1106353.01</v>
      </c>
      <c r="F419" s="2"/>
      <c r="G419" s="2"/>
      <c r="H419" s="8" t="str">
        <f t="shared" si="12"/>
        <v/>
      </c>
      <c r="I419" s="10" t="str">
        <f t="shared" si="13"/>
        <v/>
      </c>
      <c r="L419" s="2"/>
      <c r="M419" s="2"/>
      <c r="N419" s="2"/>
    </row>
    <row r="420" spans="1:14" ht="30" customHeight="1" x14ac:dyDescent="0.35">
      <c r="A420" t="s">
        <v>904</v>
      </c>
      <c r="B420" t="s">
        <v>905</v>
      </c>
      <c r="C420" t="s">
        <v>51</v>
      </c>
      <c r="D420" t="s">
        <v>50</v>
      </c>
      <c r="E420" s="2">
        <v>165761.07999999999</v>
      </c>
      <c r="F420" s="2"/>
      <c r="G420" s="2"/>
      <c r="H420" s="8" t="str">
        <f t="shared" si="12"/>
        <v/>
      </c>
      <c r="I420" s="10" t="str">
        <f t="shared" si="13"/>
        <v/>
      </c>
      <c r="L420" s="2"/>
      <c r="M420" s="2"/>
      <c r="N420" s="2"/>
    </row>
    <row r="421" spans="1:14" ht="30" customHeight="1" x14ac:dyDescent="0.35">
      <c r="A421" t="s">
        <v>906</v>
      </c>
      <c r="B421" t="s">
        <v>907</v>
      </c>
      <c r="C421" t="s">
        <v>213</v>
      </c>
      <c r="D421" t="s">
        <v>212</v>
      </c>
      <c r="E421" s="2">
        <v>5287.85</v>
      </c>
      <c r="F421" s="2">
        <v>512454.3</v>
      </c>
      <c r="G421" s="2"/>
      <c r="H421" s="8">
        <f t="shared" si="12"/>
        <v>512454.3</v>
      </c>
      <c r="I421" s="10">
        <f t="shared" si="13"/>
        <v>1.0318676221469895E-2</v>
      </c>
      <c r="L421" s="2"/>
      <c r="M421" s="2"/>
      <c r="N421" s="2"/>
    </row>
    <row r="422" spans="1:14" ht="30" customHeight="1" x14ac:dyDescent="0.35">
      <c r="A422" t="s">
        <v>908</v>
      </c>
      <c r="B422" t="s">
        <v>909</v>
      </c>
      <c r="C422" t="s">
        <v>51</v>
      </c>
      <c r="D422" t="s">
        <v>50</v>
      </c>
      <c r="E422" s="2">
        <v>6622.62</v>
      </c>
      <c r="F422" s="2"/>
      <c r="G422" s="2"/>
      <c r="H422" s="8" t="str">
        <f t="shared" si="12"/>
        <v/>
      </c>
      <c r="I422" s="10" t="str">
        <f t="shared" si="13"/>
        <v/>
      </c>
      <c r="L422" s="2"/>
      <c r="M422" s="2"/>
      <c r="N422" s="2"/>
    </row>
    <row r="423" spans="1:14" ht="30" customHeight="1" x14ac:dyDescent="0.35">
      <c r="A423" t="s">
        <v>910</v>
      </c>
      <c r="B423" t="s">
        <v>911</v>
      </c>
      <c r="C423" t="s">
        <v>19</v>
      </c>
      <c r="D423" t="s">
        <v>18</v>
      </c>
      <c r="E423" s="2">
        <v>1132979.94</v>
      </c>
      <c r="F423" s="2">
        <v>0</v>
      </c>
      <c r="G423" s="2">
        <v>2000</v>
      </c>
      <c r="H423" s="8">
        <f t="shared" si="12"/>
        <v>2000</v>
      </c>
      <c r="I423" s="10">
        <f t="shared" si="13"/>
        <v>566.48996999999997</v>
      </c>
      <c r="L423" s="2"/>
      <c r="M423" s="2"/>
      <c r="N423" s="2"/>
    </row>
    <row r="424" spans="1:14" ht="30" customHeight="1" x14ac:dyDescent="0.35">
      <c r="A424" t="s">
        <v>912</v>
      </c>
      <c r="B424" t="s">
        <v>913</v>
      </c>
      <c r="C424" t="s">
        <v>457</v>
      </c>
      <c r="D424" t="s">
        <v>456</v>
      </c>
      <c r="E424" s="2">
        <v>27081.200000000001</v>
      </c>
      <c r="F424" s="2">
        <v>1237753.76</v>
      </c>
      <c r="G424" s="2"/>
      <c r="H424" s="8">
        <f t="shared" si="12"/>
        <v>1237753.76</v>
      </c>
      <c r="I424" s="10">
        <f t="shared" si="13"/>
        <v>2.1879311439134713E-2</v>
      </c>
      <c r="L424" s="2"/>
      <c r="M424" s="2"/>
      <c r="N424" s="2"/>
    </row>
    <row r="425" spans="1:14" ht="30" customHeight="1" x14ac:dyDescent="0.35">
      <c r="A425" t="s">
        <v>914</v>
      </c>
      <c r="B425" t="s">
        <v>915</v>
      </c>
      <c r="C425" t="s">
        <v>2266</v>
      </c>
      <c r="D425" t="s">
        <v>1560</v>
      </c>
      <c r="E425" s="2">
        <v>1270031.23</v>
      </c>
      <c r="F425" s="2"/>
      <c r="G425" s="2"/>
      <c r="H425" s="8" t="str">
        <f t="shared" si="12"/>
        <v/>
      </c>
      <c r="I425" s="10" t="str">
        <f t="shared" si="13"/>
        <v/>
      </c>
      <c r="L425" s="2"/>
      <c r="M425" s="2"/>
      <c r="N425" s="2"/>
    </row>
    <row r="426" spans="1:14" ht="30" customHeight="1" x14ac:dyDescent="0.35">
      <c r="A426" t="s">
        <v>916</v>
      </c>
      <c r="B426" t="s">
        <v>917</v>
      </c>
      <c r="C426" t="s">
        <v>101</v>
      </c>
      <c r="D426" t="s">
        <v>100</v>
      </c>
      <c r="E426" s="2">
        <v>1955425.66</v>
      </c>
      <c r="F426" s="2">
        <v>6398084.3600000003</v>
      </c>
      <c r="G426" s="2">
        <v>500000</v>
      </c>
      <c r="H426" s="8">
        <f t="shared" si="12"/>
        <v>6898084.3600000003</v>
      </c>
      <c r="I426" s="10">
        <f t="shared" si="13"/>
        <v>0.28347372371073754</v>
      </c>
      <c r="L426" s="2"/>
      <c r="M426" s="2"/>
      <c r="N426" s="2"/>
    </row>
    <row r="427" spans="1:14" ht="30" customHeight="1" x14ac:dyDescent="0.35">
      <c r="A427" t="s">
        <v>918</v>
      </c>
      <c r="B427" t="s">
        <v>919</v>
      </c>
      <c r="C427" t="s">
        <v>2266</v>
      </c>
      <c r="D427" t="s">
        <v>1560</v>
      </c>
      <c r="E427" s="2">
        <v>362918.83</v>
      </c>
      <c r="F427" s="2">
        <v>445394.74</v>
      </c>
      <c r="G427" s="2"/>
      <c r="H427" s="8">
        <f t="shared" si="12"/>
        <v>445394.74</v>
      </c>
      <c r="I427" s="10">
        <f t="shared" si="13"/>
        <v>0.81482513691113645</v>
      </c>
      <c r="L427" s="2"/>
      <c r="M427" s="2"/>
      <c r="N427" s="2"/>
    </row>
    <row r="428" spans="1:14" ht="30" customHeight="1" x14ac:dyDescent="0.35">
      <c r="A428" t="s">
        <v>920</v>
      </c>
      <c r="B428" t="s">
        <v>921</v>
      </c>
      <c r="C428" t="s">
        <v>77</v>
      </c>
      <c r="D428" t="s">
        <v>76</v>
      </c>
      <c r="E428" s="2">
        <v>190077.84</v>
      </c>
      <c r="F428" s="2"/>
      <c r="G428" s="2"/>
      <c r="H428" s="8" t="str">
        <f t="shared" si="12"/>
        <v/>
      </c>
      <c r="I428" s="10" t="str">
        <f t="shared" si="13"/>
        <v/>
      </c>
      <c r="L428" s="2"/>
      <c r="M428" s="2"/>
      <c r="N428" s="2"/>
    </row>
    <row r="429" spans="1:14" ht="30" customHeight="1" x14ac:dyDescent="0.35">
      <c r="A429" t="s">
        <v>922</v>
      </c>
      <c r="B429" t="s">
        <v>923</v>
      </c>
      <c r="C429" t="s">
        <v>77</v>
      </c>
      <c r="D429" t="s">
        <v>76</v>
      </c>
      <c r="E429" s="2">
        <v>73694.75</v>
      </c>
      <c r="F429" s="2"/>
      <c r="G429" s="2"/>
      <c r="H429" s="8" t="str">
        <f t="shared" si="12"/>
        <v/>
      </c>
      <c r="I429" s="10" t="str">
        <f t="shared" si="13"/>
        <v/>
      </c>
      <c r="L429" s="2"/>
      <c r="M429" s="2"/>
      <c r="N429" s="2"/>
    </row>
    <row r="430" spans="1:14" ht="30" customHeight="1" x14ac:dyDescent="0.35">
      <c r="A430" t="s">
        <v>924</v>
      </c>
      <c r="B430" t="s">
        <v>925</v>
      </c>
      <c r="C430" t="s">
        <v>33</v>
      </c>
      <c r="D430" t="s">
        <v>32</v>
      </c>
      <c r="E430" s="2">
        <v>312646.84000000003</v>
      </c>
      <c r="F430" s="2"/>
      <c r="G430" s="2"/>
      <c r="H430" s="8" t="str">
        <f t="shared" si="12"/>
        <v/>
      </c>
      <c r="I430" s="10" t="str">
        <f t="shared" si="13"/>
        <v/>
      </c>
      <c r="L430" s="2"/>
      <c r="M430" s="2"/>
      <c r="N430" s="2"/>
    </row>
    <row r="431" spans="1:14" ht="30" customHeight="1" x14ac:dyDescent="0.35">
      <c r="A431" t="s">
        <v>2320</v>
      </c>
      <c r="B431" t="s">
        <v>2321</v>
      </c>
      <c r="C431" t="s">
        <v>2263</v>
      </c>
      <c r="D431" t="s">
        <v>1233</v>
      </c>
      <c r="E431" s="2">
        <v>106671.79</v>
      </c>
      <c r="F431" s="2"/>
      <c r="G431" s="2"/>
      <c r="H431" s="8" t="str">
        <f t="shared" ref="H431:H492" si="14">IF(ISBLANK(F431), "",(F431+G431))</f>
        <v/>
      </c>
      <c r="I431" s="10" t="str">
        <f t="shared" ref="I431:I492" si="15">IF(ISBLANK(F431), "", E431/H431)</f>
        <v/>
      </c>
      <c r="L431" s="2"/>
      <c r="M431" s="2"/>
      <c r="N431" s="2"/>
    </row>
    <row r="432" spans="1:14" ht="30" customHeight="1" x14ac:dyDescent="0.35">
      <c r="A432" t="s">
        <v>926</v>
      </c>
      <c r="B432" t="s">
        <v>927</v>
      </c>
      <c r="C432" t="s">
        <v>259</v>
      </c>
      <c r="D432" t="s">
        <v>258</v>
      </c>
      <c r="E432" s="2">
        <v>427320.04</v>
      </c>
      <c r="F432" s="2"/>
      <c r="G432" s="2"/>
      <c r="H432" s="8" t="str">
        <f t="shared" si="14"/>
        <v/>
      </c>
      <c r="I432" s="10" t="str">
        <f t="shared" si="15"/>
        <v/>
      </c>
      <c r="L432" s="2"/>
      <c r="M432" s="2"/>
      <c r="N432" s="2"/>
    </row>
    <row r="433" spans="1:14" ht="30" customHeight="1" x14ac:dyDescent="0.35">
      <c r="A433" t="s">
        <v>928</v>
      </c>
      <c r="B433" t="s">
        <v>929</v>
      </c>
      <c r="C433" t="s">
        <v>19</v>
      </c>
      <c r="D433" t="s">
        <v>18</v>
      </c>
      <c r="E433" s="2">
        <v>114779.95</v>
      </c>
      <c r="F433" s="2"/>
      <c r="G433" s="2"/>
      <c r="H433" s="8" t="str">
        <f t="shared" si="14"/>
        <v/>
      </c>
      <c r="I433" s="10" t="str">
        <f t="shared" si="15"/>
        <v/>
      </c>
      <c r="L433" s="2"/>
      <c r="M433" s="2"/>
      <c r="N433" s="2"/>
    </row>
    <row r="434" spans="1:14" ht="30" customHeight="1" x14ac:dyDescent="0.35">
      <c r="A434" t="s">
        <v>930</v>
      </c>
      <c r="B434" t="s">
        <v>931</v>
      </c>
      <c r="C434" t="s">
        <v>253</v>
      </c>
      <c r="D434" t="s">
        <v>252</v>
      </c>
      <c r="E434" s="2">
        <v>590532.79</v>
      </c>
      <c r="F434" s="2">
        <v>996271.55</v>
      </c>
      <c r="G434" s="2"/>
      <c r="H434" s="8">
        <f t="shared" si="14"/>
        <v>996271.55</v>
      </c>
      <c r="I434" s="10">
        <f t="shared" si="15"/>
        <v>0.59274280189974315</v>
      </c>
      <c r="L434" s="2"/>
      <c r="M434" s="2"/>
      <c r="N434" s="2"/>
    </row>
    <row r="435" spans="1:14" ht="30" customHeight="1" x14ac:dyDescent="0.35">
      <c r="A435" t="s">
        <v>932</v>
      </c>
      <c r="B435" t="s">
        <v>933</v>
      </c>
      <c r="C435" t="s">
        <v>2263</v>
      </c>
      <c r="D435" t="s">
        <v>1233</v>
      </c>
      <c r="E435" s="2">
        <v>100862.62</v>
      </c>
      <c r="F435" s="2"/>
      <c r="G435" s="2"/>
      <c r="H435" s="8" t="str">
        <f t="shared" si="14"/>
        <v/>
      </c>
      <c r="I435" s="10" t="str">
        <f t="shared" si="15"/>
        <v/>
      </c>
      <c r="L435" s="2"/>
      <c r="M435" s="2"/>
      <c r="N435" s="2"/>
    </row>
    <row r="436" spans="1:14" ht="30" customHeight="1" x14ac:dyDescent="0.35">
      <c r="A436" t="s">
        <v>934</v>
      </c>
      <c r="B436" t="s">
        <v>935</v>
      </c>
      <c r="C436" t="s">
        <v>51</v>
      </c>
      <c r="D436" t="s">
        <v>50</v>
      </c>
      <c r="E436" s="2">
        <v>210190.69</v>
      </c>
      <c r="F436" s="2"/>
      <c r="G436" s="2"/>
      <c r="H436" s="8" t="str">
        <f t="shared" si="14"/>
        <v/>
      </c>
      <c r="I436" s="10" t="str">
        <f t="shared" si="15"/>
        <v/>
      </c>
      <c r="L436" s="2"/>
      <c r="M436" s="2"/>
      <c r="N436" s="2"/>
    </row>
    <row r="437" spans="1:14" ht="30" customHeight="1" x14ac:dyDescent="0.35">
      <c r="A437" t="s">
        <v>936</v>
      </c>
      <c r="B437" t="s">
        <v>937</v>
      </c>
      <c r="C437" t="s">
        <v>259</v>
      </c>
      <c r="D437" t="s">
        <v>258</v>
      </c>
      <c r="E437" s="2">
        <v>702022.68</v>
      </c>
      <c r="F437" s="2">
        <v>3445195.36</v>
      </c>
      <c r="G437" s="2"/>
      <c r="H437" s="8">
        <f t="shared" si="14"/>
        <v>3445195.36</v>
      </c>
      <c r="I437" s="10">
        <f t="shared" si="15"/>
        <v>0.20376861299383617</v>
      </c>
      <c r="L437" s="2"/>
      <c r="M437" s="2"/>
      <c r="N437" s="2"/>
    </row>
    <row r="438" spans="1:14" ht="30" customHeight="1" x14ac:dyDescent="0.35">
      <c r="A438" t="s">
        <v>2322</v>
      </c>
      <c r="B438" t="s">
        <v>2323</v>
      </c>
      <c r="C438" t="s">
        <v>33</v>
      </c>
      <c r="D438" t="s">
        <v>32</v>
      </c>
      <c r="E438" s="2">
        <v>45251.19</v>
      </c>
      <c r="F438" s="2"/>
      <c r="G438" s="2"/>
      <c r="H438" s="8" t="str">
        <f t="shared" si="14"/>
        <v/>
      </c>
      <c r="I438" s="10" t="str">
        <f t="shared" si="15"/>
        <v/>
      </c>
      <c r="L438" s="2"/>
      <c r="M438" s="2"/>
      <c r="N438" s="2"/>
    </row>
    <row r="439" spans="1:14" ht="30" customHeight="1" x14ac:dyDescent="0.35">
      <c r="A439" t="s">
        <v>938</v>
      </c>
      <c r="B439" t="s">
        <v>939</v>
      </c>
      <c r="C439" t="s">
        <v>33</v>
      </c>
      <c r="D439" t="s">
        <v>32</v>
      </c>
      <c r="E439" s="2">
        <v>395048.79</v>
      </c>
      <c r="F439" s="2">
        <v>10813.85</v>
      </c>
      <c r="G439" s="2">
        <v>5000</v>
      </c>
      <c r="H439" s="8">
        <f t="shared" si="14"/>
        <v>15813.85</v>
      </c>
      <c r="I439" s="10">
        <f t="shared" si="15"/>
        <v>24.981189906316295</v>
      </c>
      <c r="L439" s="2"/>
      <c r="M439" s="2"/>
      <c r="N439" s="2"/>
    </row>
    <row r="440" spans="1:14" ht="30" customHeight="1" x14ac:dyDescent="0.35">
      <c r="A440" t="s">
        <v>940</v>
      </c>
      <c r="B440" t="s">
        <v>941</v>
      </c>
      <c r="C440" t="s">
        <v>77</v>
      </c>
      <c r="D440" t="s">
        <v>76</v>
      </c>
      <c r="E440" s="2">
        <v>33893.699999999997</v>
      </c>
      <c r="F440" s="2"/>
      <c r="G440" s="2"/>
      <c r="H440" s="8" t="str">
        <f t="shared" si="14"/>
        <v/>
      </c>
      <c r="I440" s="10" t="str">
        <f t="shared" si="15"/>
        <v/>
      </c>
      <c r="L440" s="2"/>
      <c r="M440" s="2"/>
      <c r="N440" s="2"/>
    </row>
    <row r="441" spans="1:14" ht="30" customHeight="1" x14ac:dyDescent="0.35">
      <c r="A441" t="s">
        <v>942</v>
      </c>
      <c r="B441" t="s">
        <v>943</v>
      </c>
      <c r="C441" t="s">
        <v>2266</v>
      </c>
      <c r="D441" t="s">
        <v>1560</v>
      </c>
      <c r="E441" s="2">
        <v>606968.54</v>
      </c>
      <c r="F441" s="2">
        <v>837372.61</v>
      </c>
      <c r="G441" s="2">
        <v>500000</v>
      </c>
      <c r="H441" s="8">
        <f t="shared" si="14"/>
        <v>1337372.6099999999</v>
      </c>
      <c r="I441" s="10">
        <f t="shared" si="15"/>
        <v>0.45385148122631291</v>
      </c>
      <c r="L441" s="2"/>
      <c r="M441" s="2"/>
      <c r="N441" s="2"/>
    </row>
    <row r="442" spans="1:14" ht="30" customHeight="1" x14ac:dyDescent="0.35">
      <c r="A442" t="s">
        <v>944</v>
      </c>
      <c r="B442" t="s">
        <v>945</v>
      </c>
      <c r="C442" t="s">
        <v>57</v>
      </c>
      <c r="D442" t="s">
        <v>56</v>
      </c>
      <c r="E442" s="2">
        <v>5619.79</v>
      </c>
      <c r="F442" s="2"/>
      <c r="G442" s="2"/>
      <c r="H442" s="8" t="str">
        <f t="shared" si="14"/>
        <v/>
      </c>
      <c r="I442" s="10" t="str">
        <f t="shared" si="15"/>
        <v/>
      </c>
      <c r="L442" s="2"/>
      <c r="M442" s="2"/>
      <c r="N442" s="2"/>
    </row>
    <row r="443" spans="1:14" ht="30" customHeight="1" x14ac:dyDescent="0.35">
      <c r="A443" t="s">
        <v>946</v>
      </c>
      <c r="B443" t="s">
        <v>947</v>
      </c>
      <c r="C443" t="s">
        <v>57</v>
      </c>
      <c r="D443" t="s">
        <v>56</v>
      </c>
      <c r="E443" s="2">
        <v>45742.720000000001</v>
      </c>
      <c r="F443" s="2">
        <v>0</v>
      </c>
      <c r="G443" s="2">
        <v>145000</v>
      </c>
      <c r="H443" s="8">
        <f t="shared" si="14"/>
        <v>145000</v>
      </c>
      <c r="I443" s="10">
        <f t="shared" si="15"/>
        <v>0.31546703448275865</v>
      </c>
      <c r="L443" s="2"/>
      <c r="M443" s="2"/>
      <c r="N443" s="2"/>
    </row>
    <row r="444" spans="1:14" ht="30" customHeight="1" x14ac:dyDescent="0.35">
      <c r="A444" t="s">
        <v>948</v>
      </c>
      <c r="B444" t="s">
        <v>949</v>
      </c>
      <c r="C444" t="s">
        <v>19</v>
      </c>
      <c r="D444" t="s">
        <v>18</v>
      </c>
      <c r="E444" s="2">
        <v>92100.46</v>
      </c>
      <c r="F444" s="2">
        <v>12519.57</v>
      </c>
      <c r="G444" s="2"/>
      <c r="H444" s="8">
        <f t="shared" si="14"/>
        <v>12519.57</v>
      </c>
      <c r="I444" s="10">
        <f t="shared" si="15"/>
        <v>7.3565194331754213</v>
      </c>
      <c r="L444" s="2"/>
      <c r="M444" s="2"/>
      <c r="N444" s="2"/>
    </row>
    <row r="445" spans="1:14" ht="30" customHeight="1" x14ac:dyDescent="0.35">
      <c r="A445" t="s">
        <v>950</v>
      </c>
      <c r="B445" t="s">
        <v>951</v>
      </c>
      <c r="C445" t="s">
        <v>2259</v>
      </c>
      <c r="D445" t="s">
        <v>713</v>
      </c>
      <c r="E445" s="2">
        <v>314047.78000000003</v>
      </c>
      <c r="F445" s="2"/>
      <c r="G445" s="2"/>
      <c r="H445" s="8" t="str">
        <f t="shared" si="14"/>
        <v/>
      </c>
      <c r="I445" s="10" t="str">
        <f t="shared" si="15"/>
        <v/>
      </c>
      <c r="L445" s="2"/>
      <c r="M445" s="2"/>
      <c r="N445" s="2"/>
    </row>
    <row r="446" spans="1:14" ht="30" customHeight="1" x14ac:dyDescent="0.35">
      <c r="A446" t="s">
        <v>952</v>
      </c>
      <c r="B446" t="s">
        <v>953</v>
      </c>
      <c r="C446" t="s">
        <v>2224</v>
      </c>
      <c r="D446" t="s">
        <v>1673</v>
      </c>
      <c r="E446" s="2"/>
      <c r="F446" s="2">
        <v>684024.14</v>
      </c>
      <c r="G446" s="2"/>
      <c r="H446" s="8">
        <f t="shared" si="14"/>
        <v>684024.14</v>
      </c>
      <c r="I446" s="10">
        <f t="shared" si="15"/>
        <v>0</v>
      </c>
      <c r="L446" s="2"/>
      <c r="M446" s="2"/>
      <c r="N446" s="2"/>
    </row>
    <row r="447" spans="1:14" ht="30" customHeight="1" x14ac:dyDescent="0.35">
      <c r="A447" t="s">
        <v>954</v>
      </c>
      <c r="B447" t="s">
        <v>955</v>
      </c>
      <c r="C447" t="s">
        <v>2262</v>
      </c>
      <c r="D447" t="s">
        <v>1518</v>
      </c>
      <c r="E447" s="2">
        <v>182839.93</v>
      </c>
      <c r="F447" s="2"/>
      <c r="G447" s="2"/>
      <c r="H447" s="8" t="str">
        <f t="shared" si="14"/>
        <v/>
      </c>
      <c r="I447" s="10" t="str">
        <f t="shared" si="15"/>
        <v/>
      </c>
      <c r="L447" s="2"/>
      <c r="M447" s="2"/>
      <c r="N447" s="2"/>
    </row>
    <row r="448" spans="1:14" ht="30" customHeight="1" x14ac:dyDescent="0.35">
      <c r="A448" t="s">
        <v>956</v>
      </c>
      <c r="B448" t="s">
        <v>957</v>
      </c>
      <c r="C448" t="s">
        <v>2224</v>
      </c>
      <c r="D448" t="s">
        <v>1673</v>
      </c>
      <c r="E448" s="2">
        <v>99613.55</v>
      </c>
      <c r="F448" s="2">
        <v>1565865.71</v>
      </c>
      <c r="G448" s="2"/>
      <c r="H448" s="8">
        <f t="shared" si="14"/>
        <v>1565865.71</v>
      </c>
      <c r="I448" s="10">
        <f t="shared" si="15"/>
        <v>6.3615640449780339E-2</v>
      </c>
      <c r="L448" s="2"/>
      <c r="M448" s="2"/>
      <c r="N448" s="2"/>
    </row>
    <row r="449" spans="1:14" ht="30" customHeight="1" x14ac:dyDescent="0.35">
      <c r="A449" t="s">
        <v>958</v>
      </c>
      <c r="B449" t="s">
        <v>959</v>
      </c>
      <c r="C449" t="s">
        <v>19</v>
      </c>
      <c r="D449" t="s">
        <v>18</v>
      </c>
      <c r="E449" s="2">
        <v>51551.67</v>
      </c>
      <c r="F449" s="2"/>
      <c r="G449" s="2"/>
      <c r="H449" s="8" t="str">
        <f t="shared" si="14"/>
        <v/>
      </c>
      <c r="I449" s="10" t="str">
        <f t="shared" si="15"/>
        <v/>
      </c>
      <c r="L449" s="2"/>
      <c r="M449" s="2"/>
      <c r="N449" s="2"/>
    </row>
    <row r="450" spans="1:14" ht="30" customHeight="1" x14ac:dyDescent="0.35">
      <c r="A450" t="s">
        <v>960</v>
      </c>
      <c r="B450" t="s">
        <v>961</v>
      </c>
      <c r="C450" t="s">
        <v>29</v>
      </c>
      <c r="D450" t="s">
        <v>28</v>
      </c>
      <c r="E450" s="2">
        <v>5808.39</v>
      </c>
      <c r="F450" s="2">
        <v>492983.13</v>
      </c>
      <c r="G450" s="2"/>
      <c r="H450" s="8">
        <f t="shared" si="14"/>
        <v>492983.13</v>
      </c>
      <c r="I450" s="10">
        <f t="shared" si="15"/>
        <v>1.1782127311334163E-2</v>
      </c>
      <c r="L450" s="2"/>
      <c r="M450" s="2"/>
      <c r="N450" s="2"/>
    </row>
    <row r="451" spans="1:14" ht="30" customHeight="1" x14ac:dyDescent="0.35">
      <c r="A451" t="s">
        <v>962</v>
      </c>
      <c r="B451" t="s">
        <v>963</v>
      </c>
      <c r="C451" t="s">
        <v>965</v>
      </c>
      <c r="D451" t="s">
        <v>964</v>
      </c>
      <c r="E451" s="2">
        <v>712330.17</v>
      </c>
      <c r="F451" s="2"/>
      <c r="G451" s="2"/>
      <c r="H451" s="8" t="str">
        <f t="shared" si="14"/>
        <v/>
      </c>
      <c r="I451" s="10" t="str">
        <f t="shared" si="15"/>
        <v/>
      </c>
      <c r="L451" s="2"/>
      <c r="M451" s="2"/>
      <c r="N451" s="2"/>
    </row>
    <row r="452" spans="1:14" ht="30" customHeight="1" x14ac:dyDescent="0.35">
      <c r="A452" t="s">
        <v>966</v>
      </c>
      <c r="B452" t="s">
        <v>967</v>
      </c>
      <c r="C452" t="s">
        <v>259</v>
      </c>
      <c r="D452" t="s">
        <v>258</v>
      </c>
      <c r="E452" s="2">
        <v>8416.64</v>
      </c>
      <c r="F452" s="2">
        <v>1368958.08</v>
      </c>
      <c r="G452" s="2">
        <v>49370.62</v>
      </c>
      <c r="H452" s="8">
        <f t="shared" si="14"/>
        <v>1418328.7000000002</v>
      </c>
      <c r="I452" s="10">
        <f t="shared" si="15"/>
        <v>5.9341956487237394E-3</v>
      </c>
      <c r="L452" s="2"/>
      <c r="M452" s="2"/>
      <c r="N452" s="2"/>
    </row>
    <row r="453" spans="1:14" ht="30" customHeight="1" x14ac:dyDescent="0.35">
      <c r="A453" t="s">
        <v>968</v>
      </c>
      <c r="B453" t="s">
        <v>969</v>
      </c>
      <c r="C453" t="s">
        <v>33</v>
      </c>
      <c r="D453" t="s">
        <v>32</v>
      </c>
      <c r="E453" s="2">
        <v>422158.13</v>
      </c>
      <c r="F453" s="2"/>
      <c r="G453" s="2"/>
      <c r="H453" s="8" t="str">
        <f t="shared" si="14"/>
        <v/>
      </c>
      <c r="I453" s="10" t="str">
        <f t="shared" si="15"/>
        <v/>
      </c>
      <c r="L453" s="2"/>
      <c r="M453" s="2"/>
      <c r="N453" s="2"/>
    </row>
    <row r="454" spans="1:14" ht="30" customHeight="1" x14ac:dyDescent="0.35">
      <c r="A454" t="s">
        <v>2324</v>
      </c>
      <c r="B454" t="s">
        <v>2325</v>
      </c>
      <c r="C454" t="s">
        <v>57</v>
      </c>
      <c r="D454" t="s">
        <v>56</v>
      </c>
      <c r="E454" s="2">
        <v>8580.67</v>
      </c>
      <c r="F454" s="2"/>
      <c r="G454" s="2"/>
      <c r="H454" s="8" t="str">
        <f t="shared" si="14"/>
        <v/>
      </c>
      <c r="I454" s="10" t="str">
        <f t="shared" si="15"/>
        <v/>
      </c>
      <c r="L454" s="2"/>
      <c r="M454" s="2"/>
      <c r="N454" s="2"/>
    </row>
    <row r="455" spans="1:14" ht="30" customHeight="1" x14ac:dyDescent="0.35">
      <c r="A455" t="s">
        <v>970</v>
      </c>
      <c r="B455" t="s">
        <v>971</v>
      </c>
      <c r="C455" t="s">
        <v>19</v>
      </c>
      <c r="D455" t="s">
        <v>18</v>
      </c>
      <c r="E455" s="2">
        <v>61728.11</v>
      </c>
      <c r="F455" s="2"/>
      <c r="G455" s="2"/>
      <c r="H455" s="8" t="str">
        <f t="shared" si="14"/>
        <v/>
      </c>
      <c r="I455" s="10" t="str">
        <f t="shared" si="15"/>
        <v/>
      </c>
      <c r="L455" s="2"/>
      <c r="M455" s="2"/>
      <c r="N455" s="2"/>
    </row>
    <row r="456" spans="1:14" ht="30" customHeight="1" x14ac:dyDescent="0.35">
      <c r="A456" t="s">
        <v>972</v>
      </c>
      <c r="B456" t="s">
        <v>973</v>
      </c>
      <c r="C456" t="s">
        <v>77</v>
      </c>
      <c r="D456" t="s">
        <v>76</v>
      </c>
      <c r="E456" s="2">
        <v>67538.78</v>
      </c>
      <c r="F456" s="2"/>
      <c r="G456" s="2"/>
      <c r="H456" s="8" t="str">
        <f t="shared" si="14"/>
        <v/>
      </c>
      <c r="I456" s="10" t="str">
        <f t="shared" si="15"/>
        <v/>
      </c>
      <c r="L456" s="2"/>
      <c r="M456" s="2"/>
      <c r="N456" s="2"/>
    </row>
    <row r="457" spans="1:14" ht="30" customHeight="1" x14ac:dyDescent="0.35">
      <c r="A457" t="s">
        <v>974</v>
      </c>
      <c r="B457" t="s">
        <v>975</v>
      </c>
      <c r="C457" t="s">
        <v>51</v>
      </c>
      <c r="D457" t="s">
        <v>50</v>
      </c>
      <c r="E457" s="2">
        <v>336035.67</v>
      </c>
      <c r="F457" s="2"/>
      <c r="G457" s="2"/>
      <c r="H457" s="8" t="str">
        <f t="shared" si="14"/>
        <v/>
      </c>
      <c r="I457" s="10" t="str">
        <f t="shared" si="15"/>
        <v/>
      </c>
      <c r="L457" s="2"/>
      <c r="M457" s="2"/>
      <c r="N457" s="2"/>
    </row>
    <row r="458" spans="1:14" ht="30" customHeight="1" x14ac:dyDescent="0.35">
      <c r="A458" t="s">
        <v>976</v>
      </c>
      <c r="B458" t="s">
        <v>977</v>
      </c>
      <c r="C458" t="s">
        <v>2266</v>
      </c>
      <c r="D458" t="s">
        <v>1560</v>
      </c>
      <c r="E458" s="2">
        <v>601423.25</v>
      </c>
      <c r="F458" s="2"/>
      <c r="G458" s="2"/>
      <c r="H458" s="8" t="str">
        <f t="shared" si="14"/>
        <v/>
      </c>
      <c r="I458" s="10" t="str">
        <f t="shared" si="15"/>
        <v/>
      </c>
      <c r="L458" s="2"/>
      <c r="M458" s="2"/>
      <c r="N458" s="2"/>
    </row>
    <row r="459" spans="1:14" ht="30" customHeight="1" x14ac:dyDescent="0.35">
      <c r="A459" t="s">
        <v>978</v>
      </c>
      <c r="B459" t="s">
        <v>979</v>
      </c>
      <c r="C459" t="s">
        <v>19</v>
      </c>
      <c r="D459" t="s">
        <v>18</v>
      </c>
      <c r="E459" s="2">
        <v>218981.74</v>
      </c>
      <c r="F459" s="2"/>
      <c r="G459" s="2"/>
      <c r="H459" s="8" t="str">
        <f t="shared" si="14"/>
        <v/>
      </c>
      <c r="I459" s="10" t="str">
        <f t="shared" si="15"/>
        <v/>
      </c>
      <c r="L459" s="2"/>
      <c r="M459" s="2"/>
      <c r="N459" s="2"/>
    </row>
    <row r="460" spans="1:14" ht="30" customHeight="1" x14ac:dyDescent="0.35">
      <c r="A460" t="s">
        <v>980</v>
      </c>
      <c r="B460" t="s">
        <v>981</v>
      </c>
      <c r="C460" t="s">
        <v>77</v>
      </c>
      <c r="D460" t="s">
        <v>76</v>
      </c>
      <c r="E460" s="2">
        <v>153590.07999999999</v>
      </c>
      <c r="F460" s="2"/>
      <c r="G460" s="2"/>
      <c r="H460" s="8" t="str">
        <f t="shared" si="14"/>
        <v/>
      </c>
      <c r="I460" s="10" t="str">
        <f t="shared" si="15"/>
        <v/>
      </c>
      <c r="L460" s="2"/>
      <c r="M460" s="2"/>
      <c r="N460" s="2"/>
    </row>
    <row r="461" spans="1:14" ht="30" customHeight="1" x14ac:dyDescent="0.35">
      <c r="A461" t="s">
        <v>982</v>
      </c>
      <c r="B461" t="s">
        <v>983</v>
      </c>
      <c r="C461" t="s">
        <v>57</v>
      </c>
      <c r="D461" t="s">
        <v>56</v>
      </c>
      <c r="E461" s="2">
        <v>273801.90000000002</v>
      </c>
      <c r="F461" s="2"/>
      <c r="G461" s="2"/>
      <c r="H461" s="8" t="str">
        <f t="shared" si="14"/>
        <v/>
      </c>
      <c r="I461" s="10" t="str">
        <f t="shared" si="15"/>
        <v/>
      </c>
      <c r="L461" s="2"/>
      <c r="M461" s="2"/>
      <c r="N461" s="2"/>
    </row>
    <row r="462" spans="1:14" ht="30" customHeight="1" x14ac:dyDescent="0.35">
      <c r="A462" t="s">
        <v>984</v>
      </c>
      <c r="B462" t="s">
        <v>985</v>
      </c>
      <c r="C462" t="s">
        <v>2263</v>
      </c>
      <c r="D462" t="s">
        <v>1233</v>
      </c>
      <c r="E462" s="2">
        <v>130045.94</v>
      </c>
      <c r="F462" s="2"/>
      <c r="G462" s="2"/>
      <c r="H462" s="8" t="str">
        <f t="shared" si="14"/>
        <v/>
      </c>
      <c r="I462" s="10" t="str">
        <f t="shared" si="15"/>
        <v/>
      </c>
      <c r="L462" s="2"/>
      <c r="M462" s="2"/>
      <c r="N462" s="2"/>
    </row>
    <row r="463" spans="1:14" ht="30" customHeight="1" x14ac:dyDescent="0.35">
      <c r="A463" t="s">
        <v>986</v>
      </c>
      <c r="B463" t="s">
        <v>987</v>
      </c>
      <c r="C463" t="s">
        <v>2263</v>
      </c>
      <c r="D463" t="s">
        <v>1233</v>
      </c>
      <c r="E463" s="2">
        <v>162868.49</v>
      </c>
      <c r="F463" s="2"/>
      <c r="G463" s="2"/>
      <c r="H463" s="8" t="str">
        <f t="shared" si="14"/>
        <v/>
      </c>
      <c r="I463" s="10" t="str">
        <f t="shared" si="15"/>
        <v/>
      </c>
      <c r="L463" s="2"/>
      <c r="M463" s="2"/>
      <c r="N463" s="2"/>
    </row>
    <row r="464" spans="1:14" ht="30" customHeight="1" x14ac:dyDescent="0.35">
      <c r="A464" t="s">
        <v>988</v>
      </c>
      <c r="B464" t="s">
        <v>989</v>
      </c>
      <c r="C464" t="s">
        <v>457</v>
      </c>
      <c r="D464" t="s">
        <v>456</v>
      </c>
      <c r="E464" s="2">
        <v>306.23</v>
      </c>
      <c r="F464" s="2">
        <v>870987.51</v>
      </c>
      <c r="G464" s="2"/>
      <c r="H464" s="8">
        <f t="shared" si="14"/>
        <v>870987.51</v>
      </c>
      <c r="I464" s="10">
        <f t="shared" si="15"/>
        <v>3.5158942749936796E-4</v>
      </c>
      <c r="L464" s="2"/>
      <c r="M464" s="2"/>
      <c r="N464" s="2"/>
    </row>
    <row r="465" spans="1:14" ht="30" customHeight="1" x14ac:dyDescent="0.35">
      <c r="A465" t="s">
        <v>990</v>
      </c>
      <c r="B465" t="s">
        <v>991</v>
      </c>
      <c r="C465" t="s">
        <v>2224</v>
      </c>
      <c r="D465" t="s">
        <v>1673</v>
      </c>
      <c r="E465" s="2">
        <v>401589.04</v>
      </c>
      <c r="F465" s="2">
        <v>1830703.07</v>
      </c>
      <c r="G465" s="2">
        <v>750000</v>
      </c>
      <c r="H465" s="8">
        <f t="shared" si="14"/>
        <v>2580703.0700000003</v>
      </c>
      <c r="I465" s="10">
        <f t="shared" si="15"/>
        <v>0.15561226111921506</v>
      </c>
      <c r="L465" s="2"/>
      <c r="M465" s="2"/>
      <c r="N465" s="2"/>
    </row>
    <row r="466" spans="1:14" ht="30" customHeight="1" x14ac:dyDescent="0.35">
      <c r="A466" t="s">
        <v>992</v>
      </c>
      <c r="B466" t="s">
        <v>993</v>
      </c>
      <c r="C466" t="s">
        <v>77</v>
      </c>
      <c r="D466" t="s">
        <v>76</v>
      </c>
      <c r="E466" s="2">
        <v>25573.84</v>
      </c>
      <c r="F466" s="2"/>
      <c r="G466" s="2"/>
      <c r="H466" s="8" t="str">
        <f t="shared" si="14"/>
        <v/>
      </c>
      <c r="I466" s="10" t="str">
        <f t="shared" si="15"/>
        <v/>
      </c>
      <c r="L466" s="2"/>
      <c r="M466" s="2"/>
      <c r="N466" s="2"/>
    </row>
    <row r="467" spans="1:14" ht="30" customHeight="1" x14ac:dyDescent="0.35">
      <c r="A467" t="s">
        <v>994</v>
      </c>
      <c r="B467" t="s">
        <v>995</v>
      </c>
      <c r="C467" t="s">
        <v>2225</v>
      </c>
      <c r="D467" t="s">
        <v>308</v>
      </c>
      <c r="E467" s="2">
        <v>4642.95</v>
      </c>
      <c r="F467" s="2"/>
      <c r="G467" s="2"/>
      <c r="H467" s="8" t="str">
        <f t="shared" si="14"/>
        <v/>
      </c>
      <c r="I467" s="10" t="str">
        <f t="shared" si="15"/>
        <v/>
      </c>
      <c r="L467" s="2"/>
      <c r="M467" s="2"/>
      <c r="N467" s="2"/>
    </row>
    <row r="468" spans="1:14" ht="30" customHeight="1" x14ac:dyDescent="0.35">
      <c r="A468" t="s">
        <v>996</v>
      </c>
      <c r="B468" t="s">
        <v>997</v>
      </c>
      <c r="C468" t="s">
        <v>19</v>
      </c>
      <c r="D468" t="s">
        <v>18</v>
      </c>
      <c r="E468" s="2">
        <v>144686.94</v>
      </c>
      <c r="F468" s="2">
        <v>12024.96</v>
      </c>
      <c r="G468" s="2"/>
      <c r="H468" s="8">
        <f t="shared" si="14"/>
        <v>12024.96</v>
      </c>
      <c r="I468" s="10">
        <f t="shared" si="15"/>
        <v>12.032217986587899</v>
      </c>
      <c r="L468" s="2"/>
      <c r="M468" s="2"/>
      <c r="N468" s="2"/>
    </row>
    <row r="469" spans="1:14" ht="30" customHeight="1" x14ac:dyDescent="0.35">
      <c r="A469" t="s">
        <v>998</v>
      </c>
      <c r="B469" t="s">
        <v>999</v>
      </c>
      <c r="C469" t="s">
        <v>259</v>
      </c>
      <c r="D469" t="s">
        <v>258</v>
      </c>
      <c r="E469" s="2">
        <v>240695.12</v>
      </c>
      <c r="F469" s="2"/>
      <c r="G469" s="2"/>
      <c r="H469" s="8" t="str">
        <f t="shared" si="14"/>
        <v/>
      </c>
      <c r="I469" s="10" t="str">
        <f t="shared" si="15"/>
        <v/>
      </c>
      <c r="L469" s="2"/>
      <c r="M469" s="2"/>
      <c r="N469" s="2"/>
    </row>
    <row r="470" spans="1:14" ht="30" customHeight="1" x14ac:dyDescent="0.35">
      <c r="A470" t="s">
        <v>1000</v>
      </c>
      <c r="B470" t="s">
        <v>1001</v>
      </c>
      <c r="C470" t="s">
        <v>57</v>
      </c>
      <c r="D470" t="s">
        <v>56</v>
      </c>
      <c r="E470" s="2">
        <v>174766</v>
      </c>
      <c r="F470" s="2"/>
      <c r="G470" s="2"/>
      <c r="H470" s="8" t="str">
        <f t="shared" si="14"/>
        <v/>
      </c>
      <c r="I470" s="10" t="str">
        <f t="shared" si="15"/>
        <v/>
      </c>
      <c r="L470" s="2"/>
      <c r="M470" s="2"/>
      <c r="N470" s="2"/>
    </row>
    <row r="471" spans="1:14" ht="30" customHeight="1" x14ac:dyDescent="0.35">
      <c r="A471" t="s">
        <v>1002</v>
      </c>
      <c r="B471" t="s">
        <v>1003</v>
      </c>
      <c r="C471" t="s">
        <v>2259</v>
      </c>
      <c r="D471" t="s">
        <v>713</v>
      </c>
      <c r="E471" s="2">
        <v>174696.93</v>
      </c>
      <c r="F471" s="2"/>
      <c r="G471" s="2"/>
      <c r="H471" s="8" t="str">
        <f t="shared" si="14"/>
        <v/>
      </c>
      <c r="I471" s="10" t="str">
        <f t="shared" si="15"/>
        <v/>
      </c>
      <c r="L471" s="2"/>
      <c r="M471" s="2"/>
      <c r="N471" s="2"/>
    </row>
    <row r="472" spans="1:14" ht="30" customHeight="1" x14ac:dyDescent="0.35">
      <c r="A472" t="s">
        <v>1004</v>
      </c>
      <c r="B472" t="s">
        <v>1005</v>
      </c>
      <c r="C472" t="s">
        <v>253</v>
      </c>
      <c r="D472" t="s">
        <v>252</v>
      </c>
      <c r="E472" s="2">
        <v>177046.53</v>
      </c>
      <c r="F472" s="2">
        <v>254387.33</v>
      </c>
      <c r="G472" s="2"/>
      <c r="H472" s="8">
        <f t="shared" si="14"/>
        <v>254387.33</v>
      </c>
      <c r="I472" s="10">
        <f t="shared" si="15"/>
        <v>0.69597227975151121</v>
      </c>
      <c r="L472" s="2"/>
      <c r="M472" s="2"/>
      <c r="N472" s="2"/>
    </row>
    <row r="473" spans="1:14" ht="30" customHeight="1" x14ac:dyDescent="0.35">
      <c r="A473" t="s">
        <v>1006</v>
      </c>
      <c r="B473" t="s">
        <v>1007</v>
      </c>
      <c r="C473" t="s">
        <v>2262</v>
      </c>
      <c r="D473" t="s">
        <v>1518</v>
      </c>
      <c r="E473" s="2">
        <v>18716.12</v>
      </c>
      <c r="F473" s="2">
        <v>1692110.07</v>
      </c>
      <c r="G473" s="2"/>
      <c r="H473" s="8">
        <f t="shared" si="14"/>
        <v>1692110.07</v>
      </c>
      <c r="I473" s="10">
        <f t="shared" si="15"/>
        <v>1.1060817101573066E-2</v>
      </c>
      <c r="L473" s="2"/>
      <c r="M473" s="2"/>
      <c r="N473" s="2"/>
    </row>
    <row r="474" spans="1:14" ht="30" customHeight="1" x14ac:dyDescent="0.35">
      <c r="A474" t="s">
        <v>1008</v>
      </c>
      <c r="B474" t="s">
        <v>1009</v>
      </c>
      <c r="C474" t="s">
        <v>2263</v>
      </c>
      <c r="D474" t="s">
        <v>1233</v>
      </c>
      <c r="E474" s="2">
        <v>83903.28</v>
      </c>
      <c r="F474" s="2"/>
      <c r="G474" s="2"/>
      <c r="H474" s="8" t="str">
        <f t="shared" si="14"/>
        <v/>
      </c>
      <c r="I474" s="10" t="str">
        <f t="shared" si="15"/>
        <v/>
      </c>
      <c r="L474" s="2"/>
      <c r="M474" s="2"/>
      <c r="N474" s="2"/>
    </row>
    <row r="475" spans="1:14" ht="30" customHeight="1" x14ac:dyDescent="0.35">
      <c r="A475" t="s">
        <v>1010</v>
      </c>
      <c r="B475" t="s">
        <v>1011</v>
      </c>
      <c r="C475" t="s">
        <v>15</v>
      </c>
      <c r="D475" t="s">
        <v>14</v>
      </c>
      <c r="E475" s="2">
        <v>2095862.54</v>
      </c>
      <c r="F475" s="2">
        <v>4616764.41</v>
      </c>
      <c r="G475" s="2"/>
      <c r="H475" s="8">
        <f t="shared" si="14"/>
        <v>4616764.41</v>
      </c>
      <c r="I475" s="10">
        <f t="shared" si="15"/>
        <v>0.45396783415249037</v>
      </c>
      <c r="L475" s="2"/>
      <c r="M475" s="2"/>
      <c r="N475" s="2"/>
    </row>
    <row r="476" spans="1:14" ht="30" customHeight="1" x14ac:dyDescent="0.35">
      <c r="A476" t="s">
        <v>1012</v>
      </c>
      <c r="B476" t="s">
        <v>1013</v>
      </c>
      <c r="C476" t="s">
        <v>2225</v>
      </c>
      <c r="D476" t="s">
        <v>308</v>
      </c>
      <c r="E476" s="2">
        <v>546744.01</v>
      </c>
      <c r="F476" s="2">
        <v>181584.5</v>
      </c>
      <c r="G476" s="2">
        <v>3250.18</v>
      </c>
      <c r="H476" s="8">
        <f t="shared" si="14"/>
        <v>184834.68</v>
      </c>
      <c r="I476" s="10">
        <f t="shared" si="15"/>
        <v>2.9580163744163164</v>
      </c>
      <c r="L476" s="2"/>
      <c r="M476" s="2"/>
      <c r="N476" s="2"/>
    </row>
    <row r="477" spans="1:14" ht="30" customHeight="1" x14ac:dyDescent="0.35">
      <c r="A477" t="s">
        <v>1014</v>
      </c>
      <c r="B477" t="s">
        <v>1015</v>
      </c>
      <c r="C477" t="s">
        <v>2263</v>
      </c>
      <c r="D477" t="s">
        <v>1233</v>
      </c>
      <c r="E477" s="2">
        <v>213214.17</v>
      </c>
      <c r="F477" s="2"/>
      <c r="G477" s="2"/>
      <c r="H477" s="8" t="str">
        <f t="shared" si="14"/>
        <v/>
      </c>
      <c r="I477" s="10" t="str">
        <f t="shared" si="15"/>
        <v/>
      </c>
      <c r="L477" s="2"/>
      <c r="M477" s="2"/>
      <c r="N477" s="2"/>
    </row>
    <row r="478" spans="1:14" ht="30" customHeight="1" x14ac:dyDescent="0.35">
      <c r="A478" t="s">
        <v>1016</v>
      </c>
      <c r="B478" t="s">
        <v>1017</v>
      </c>
      <c r="C478" t="s">
        <v>57</v>
      </c>
      <c r="D478" t="s">
        <v>56</v>
      </c>
      <c r="E478" s="2">
        <v>394624</v>
      </c>
      <c r="F478" s="2"/>
      <c r="G478" s="2"/>
      <c r="H478" s="8" t="str">
        <f t="shared" si="14"/>
        <v/>
      </c>
      <c r="I478" s="10" t="str">
        <f t="shared" si="15"/>
        <v/>
      </c>
      <c r="L478" s="2"/>
      <c r="M478" s="2"/>
      <c r="N478" s="2"/>
    </row>
    <row r="479" spans="1:14" ht="30" customHeight="1" x14ac:dyDescent="0.35">
      <c r="A479" t="s">
        <v>1018</v>
      </c>
      <c r="B479" t="s">
        <v>1019</v>
      </c>
      <c r="C479" t="s">
        <v>51</v>
      </c>
      <c r="D479" t="s">
        <v>50</v>
      </c>
      <c r="E479" s="2">
        <v>205177.72</v>
      </c>
      <c r="F479" s="2"/>
      <c r="G479" s="2"/>
      <c r="H479" s="8" t="str">
        <f t="shared" si="14"/>
        <v/>
      </c>
      <c r="I479" s="10" t="str">
        <f t="shared" si="15"/>
        <v/>
      </c>
      <c r="L479" s="2"/>
      <c r="M479" s="2"/>
      <c r="N479" s="2"/>
    </row>
    <row r="480" spans="1:14" ht="30" customHeight="1" x14ac:dyDescent="0.35">
      <c r="A480" t="s">
        <v>1020</v>
      </c>
      <c r="B480" t="s">
        <v>1021</v>
      </c>
      <c r="C480" t="s">
        <v>2262</v>
      </c>
      <c r="D480" t="s">
        <v>1518</v>
      </c>
      <c r="E480" s="2">
        <v>30490667.100000001</v>
      </c>
      <c r="F480" s="2">
        <v>6631985.5199999996</v>
      </c>
      <c r="G480" s="2">
        <v>4036430</v>
      </c>
      <c r="H480" s="8">
        <f t="shared" si="14"/>
        <v>10668415.52</v>
      </c>
      <c r="I480" s="10">
        <f t="shared" si="15"/>
        <v>2.8580314520782748</v>
      </c>
      <c r="L480" s="2"/>
      <c r="M480" s="2"/>
      <c r="N480" s="2"/>
    </row>
    <row r="481" spans="1:14" ht="30" customHeight="1" x14ac:dyDescent="0.35">
      <c r="A481" t="s">
        <v>1022</v>
      </c>
      <c r="B481" t="s">
        <v>1023</v>
      </c>
      <c r="C481" t="s">
        <v>77</v>
      </c>
      <c r="D481" t="s">
        <v>76</v>
      </c>
      <c r="E481" s="2">
        <v>29327.87</v>
      </c>
      <c r="F481" s="2"/>
      <c r="G481" s="2"/>
      <c r="H481" s="8" t="str">
        <f t="shared" si="14"/>
        <v/>
      </c>
      <c r="I481" s="10" t="str">
        <f t="shared" si="15"/>
        <v/>
      </c>
      <c r="L481" s="2"/>
      <c r="M481" s="2"/>
      <c r="N481" s="2"/>
    </row>
    <row r="482" spans="1:14" ht="30" customHeight="1" x14ac:dyDescent="0.35">
      <c r="A482" t="s">
        <v>1024</v>
      </c>
      <c r="B482" t="s">
        <v>1025</v>
      </c>
      <c r="C482" t="s">
        <v>19</v>
      </c>
      <c r="D482" t="s">
        <v>18</v>
      </c>
      <c r="E482" s="2">
        <v>74156.509999999995</v>
      </c>
      <c r="F482" s="2"/>
      <c r="G482" s="2"/>
      <c r="H482" s="8" t="str">
        <f t="shared" si="14"/>
        <v/>
      </c>
      <c r="I482" s="10" t="str">
        <f t="shared" si="15"/>
        <v/>
      </c>
      <c r="L482" s="2"/>
      <c r="M482" s="2"/>
      <c r="N482" s="2"/>
    </row>
    <row r="483" spans="1:14" ht="30" customHeight="1" x14ac:dyDescent="0.35">
      <c r="A483" t="s">
        <v>1026</v>
      </c>
      <c r="B483" t="s">
        <v>1027</v>
      </c>
      <c r="C483" t="s">
        <v>2263</v>
      </c>
      <c r="D483" t="s">
        <v>1233</v>
      </c>
      <c r="E483" s="2">
        <v>151531.93</v>
      </c>
      <c r="F483" s="2"/>
      <c r="G483" s="2"/>
      <c r="H483" s="8" t="str">
        <f t="shared" si="14"/>
        <v/>
      </c>
      <c r="I483" s="10" t="str">
        <f t="shared" si="15"/>
        <v/>
      </c>
      <c r="L483" s="2"/>
      <c r="M483" s="2"/>
      <c r="N483" s="2"/>
    </row>
    <row r="484" spans="1:14" ht="30" customHeight="1" x14ac:dyDescent="0.35">
      <c r="A484" t="s">
        <v>1028</v>
      </c>
      <c r="B484" t="s">
        <v>1029</v>
      </c>
      <c r="C484" t="s">
        <v>19</v>
      </c>
      <c r="D484" t="s">
        <v>18</v>
      </c>
      <c r="E484" s="2">
        <v>380816.42</v>
      </c>
      <c r="F484" s="2">
        <v>0</v>
      </c>
      <c r="G484" s="2">
        <v>1000</v>
      </c>
      <c r="H484" s="8">
        <f t="shared" si="14"/>
        <v>1000</v>
      </c>
      <c r="I484" s="10">
        <f t="shared" si="15"/>
        <v>380.81641999999999</v>
      </c>
      <c r="L484" s="2"/>
      <c r="M484" s="2"/>
      <c r="N484" s="2"/>
    </row>
    <row r="485" spans="1:14" ht="30" customHeight="1" x14ac:dyDescent="0.35">
      <c r="A485" t="s">
        <v>1030</v>
      </c>
      <c r="B485" t="s">
        <v>1031</v>
      </c>
      <c r="C485" t="s">
        <v>57</v>
      </c>
      <c r="D485" t="s">
        <v>56</v>
      </c>
      <c r="E485" s="2">
        <v>3619.42</v>
      </c>
      <c r="F485" s="2"/>
      <c r="G485" s="2"/>
      <c r="H485" s="8" t="str">
        <f t="shared" si="14"/>
        <v/>
      </c>
      <c r="I485" s="10" t="str">
        <f t="shared" si="15"/>
        <v/>
      </c>
      <c r="L485" s="2"/>
      <c r="M485" s="2"/>
      <c r="N485" s="2"/>
    </row>
    <row r="486" spans="1:14" ht="30" customHeight="1" x14ac:dyDescent="0.35">
      <c r="A486" t="s">
        <v>1032</v>
      </c>
      <c r="B486" t="s">
        <v>1033</v>
      </c>
      <c r="C486" t="s">
        <v>2259</v>
      </c>
      <c r="D486" t="s">
        <v>713</v>
      </c>
      <c r="E486" s="2">
        <v>47170.68</v>
      </c>
      <c r="F486" s="2"/>
      <c r="G486" s="2"/>
      <c r="H486" s="8" t="str">
        <f t="shared" si="14"/>
        <v/>
      </c>
      <c r="I486" s="10" t="str">
        <f t="shared" si="15"/>
        <v/>
      </c>
      <c r="L486" s="2"/>
      <c r="M486" s="2"/>
      <c r="N486" s="2"/>
    </row>
    <row r="487" spans="1:14" ht="30" customHeight="1" x14ac:dyDescent="0.35">
      <c r="A487" t="s">
        <v>1034</v>
      </c>
      <c r="B487" t="s">
        <v>1035</v>
      </c>
      <c r="C487" t="s">
        <v>19</v>
      </c>
      <c r="D487" t="s">
        <v>18</v>
      </c>
      <c r="E487" s="2">
        <v>27645.32</v>
      </c>
      <c r="F487" s="2"/>
      <c r="G487" s="2"/>
      <c r="H487" s="8" t="str">
        <f t="shared" si="14"/>
        <v/>
      </c>
      <c r="I487" s="10" t="str">
        <f t="shared" si="15"/>
        <v/>
      </c>
      <c r="L487" s="2"/>
      <c r="M487" s="2"/>
      <c r="N487" s="2"/>
    </row>
    <row r="488" spans="1:14" ht="30" customHeight="1" x14ac:dyDescent="0.35">
      <c r="A488" t="s">
        <v>1036</v>
      </c>
      <c r="B488" t="s">
        <v>1037</v>
      </c>
      <c r="C488" t="s">
        <v>77</v>
      </c>
      <c r="D488" t="s">
        <v>76</v>
      </c>
      <c r="E488" s="2">
        <v>236637.04</v>
      </c>
      <c r="F488" s="2"/>
      <c r="G488" s="2"/>
      <c r="H488" s="8" t="str">
        <f t="shared" si="14"/>
        <v/>
      </c>
      <c r="I488" s="10" t="str">
        <f t="shared" si="15"/>
        <v/>
      </c>
      <c r="L488" s="2"/>
      <c r="M488" s="2"/>
      <c r="N488" s="2"/>
    </row>
    <row r="489" spans="1:14" ht="30" customHeight="1" x14ac:dyDescent="0.35">
      <c r="A489" t="s">
        <v>1038</v>
      </c>
      <c r="B489" t="s">
        <v>1039</v>
      </c>
      <c r="C489" t="s">
        <v>2225</v>
      </c>
      <c r="D489" t="s">
        <v>308</v>
      </c>
      <c r="E489" s="2">
        <v>175799.58</v>
      </c>
      <c r="F489" s="2"/>
      <c r="G489" s="2"/>
      <c r="H489" s="8" t="str">
        <f t="shared" si="14"/>
        <v/>
      </c>
      <c r="I489" s="10" t="str">
        <f t="shared" si="15"/>
        <v/>
      </c>
      <c r="L489" s="2"/>
      <c r="M489" s="2"/>
      <c r="N489" s="2"/>
    </row>
    <row r="490" spans="1:14" ht="30" customHeight="1" x14ac:dyDescent="0.35">
      <c r="A490" t="s">
        <v>1040</v>
      </c>
      <c r="B490" t="s">
        <v>1041</v>
      </c>
      <c r="C490" t="s">
        <v>385</v>
      </c>
      <c r="D490" t="s">
        <v>384</v>
      </c>
      <c r="E490" s="2">
        <v>158960.59</v>
      </c>
      <c r="F490" s="2">
        <v>23547.55</v>
      </c>
      <c r="G490" s="2">
        <v>23596.45</v>
      </c>
      <c r="H490" s="8">
        <f t="shared" si="14"/>
        <v>47144</v>
      </c>
      <c r="I490" s="10">
        <f t="shared" si="15"/>
        <v>3.3718095621924316</v>
      </c>
      <c r="L490" s="2"/>
      <c r="M490" s="2"/>
      <c r="N490" s="2"/>
    </row>
    <row r="491" spans="1:14" ht="30" customHeight="1" x14ac:dyDescent="0.35">
      <c r="A491" t="s">
        <v>1042</v>
      </c>
      <c r="B491" t="s">
        <v>1043</v>
      </c>
      <c r="C491" t="s">
        <v>2238</v>
      </c>
      <c r="D491" t="s">
        <v>2239</v>
      </c>
      <c r="E491" s="2">
        <v>3535.09</v>
      </c>
      <c r="F491" s="2"/>
      <c r="G491" s="2"/>
      <c r="H491" s="8" t="str">
        <f t="shared" si="14"/>
        <v/>
      </c>
      <c r="I491" s="10" t="str">
        <f t="shared" si="15"/>
        <v/>
      </c>
      <c r="L491" s="2"/>
      <c r="M491" s="2"/>
      <c r="N491" s="2"/>
    </row>
    <row r="492" spans="1:14" ht="30" customHeight="1" x14ac:dyDescent="0.35">
      <c r="A492" t="s">
        <v>1044</v>
      </c>
      <c r="B492" t="s">
        <v>1045</v>
      </c>
      <c r="C492" t="s">
        <v>19</v>
      </c>
      <c r="D492" t="s">
        <v>18</v>
      </c>
      <c r="E492" s="2">
        <v>46183.99</v>
      </c>
      <c r="F492" s="2"/>
      <c r="G492" s="2"/>
      <c r="H492" s="8" t="str">
        <f t="shared" si="14"/>
        <v/>
      </c>
      <c r="I492" s="10" t="str">
        <f t="shared" si="15"/>
        <v/>
      </c>
      <c r="L492" s="2"/>
      <c r="M492" s="2"/>
      <c r="N492" s="2"/>
    </row>
    <row r="493" spans="1:14" ht="30" customHeight="1" x14ac:dyDescent="0.35">
      <c r="A493" t="s">
        <v>1046</v>
      </c>
      <c r="B493" t="s">
        <v>1047</v>
      </c>
      <c r="C493" t="s">
        <v>51</v>
      </c>
      <c r="D493" t="s">
        <v>50</v>
      </c>
      <c r="E493" s="2">
        <v>68417.64</v>
      </c>
      <c r="F493" s="2"/>
      <c r="G493" s="2"/>
      <c r="H493" s="8" t="str">
        <f t="shared" ref="H493:H555" si="16">IF(ISBLANK(F493), "",(F493+G493))</f>
        <v/>
      </c>
      <c r="I493" s="10" t="str">
        <f t="shared" ref="I493:I555" si="17">IF(ISBLANK(F493), "", E493/H493)</f>
        <v/>
      </c>
      <c r="L493" s="2"/>
      <c r="M493" s="2"/>
      <c r="N493" s="2"/>
    </row>
    <row r="494" spans="1:14" ht="30" customHeight="1" x14ac:dyDescent="0.35">
      <c r="A494" t="s">
        <v>1048</v>
      </c>
      <c r="B494" t="s">
        <v>1049</v>
      </c>
      <c r="C494" t="s">
        <v>2224</v>
      </c>
      <c r="D494" t="s">
        <v>1673</v>
      </c>
      <c r="E494" s="2">
        <v>383373.63</v>
      </c>
      <c r="F494" s="2">
        <v>5728868.54</v>
      </c>
      <c r="G494" s="2"/>
      <c r="H494" s="8">
        <f t="shared" si="16"/>
        <v>5728868.54</v>
      </c>
      <c r="I494" s="10">
        <f t="shared" si="17"/>
        <v>6.6919606781551316E-2</v>
      </c>
      <c r="L494" s="2"/>
      <c r="M494" s="2"/>
      <c r="N494" s="2"/>
    </row>
    <row r="495" spans="1:14" ht="30" customHeight="1" x14ac:dyDescent="0.35">
      <c r="A495" t="s">
        <v>1050</v>
      </c>
      <c r="B495" t="s">
        <v>1051</v>
      </c>
      <c r="C495" t="s">
        <v>51</v>
      </c>
      <c r="D495" t="s">
        <v>50</v>
      </c>
      <c r="E495" s="2">
        <v>33440.92</v>
      </c>
      <c r="F495" s="2"/>
      <c r="G495" s="2"/>
      <c r="H495" s="8" t="str">
        <f t="shared" si="16"/>
        <v/>
      </c>
      <c r="I495" s="10" t="str">
        <f t="shared" si="17"/>
        <v/>
      </c>
      <c r="L495" s="2"/>
      <c r="M495" s="2"/>
      <c r="N495" s="2"/>
    </row>
    <row r="496" spans="1:14" ht="30" customHeight="1" x14ac:dyDescent="0.35">
      <c r="A496" t="s">
        <v>1052</v>
      </c>
      <c r="B496" t="s">
        <v>1053</v>
      </c>
      <c r="C496" t="s">
        <v>33</v>
      </c>
      <c r="D496" t="s">
        <v>32</v>
      </c>
      <c r="E496" s="2">
        <v>11780158.359999999</v>
      </c>
      <c r="F496" s="2"/>
      <c r="G496" s="2"/>
      <c r="H496" s="8" t="str">
        <f t="shared" si="16"/>
        <v/>
      </c>
      <c r="I496" s="10" t="str">
        <f t="shared" si="17"/>
        <v/>
      </c>
      <c r="L496" s="2"/>
      <c r="M496" s="2"/>
      <c r="N496" s="2"/>
    </row>
    <row r="497" spans="1:14" ht="30" customHeight="1" x14ac:dyDescent="0.35">
      <c r="A497" t="s">
        <v>1054</v>
      </c>
      <c r="B497" t="s">
        <v>1055</v>
      </c>
      <c r="C497" t="s">
        <v>51</v>
      </c>
      <c r="D497" t="s">
        <v>50</v>
      </c>
      <c r="E497" s="2">
        <v>94041.43</v>
      </c>
      <c r="F497" s="2"/>
      <c r="G497" s="2"/>
      <c r="H497" s="8" t="str">
        <f t="shared" si="16"/>
        <v/>
      </c>
      <c r="I497" s="10" t="str">
        <f t="shared" si="17"/>
        <v/>
      </c>
      <c r="L497" s="2"/>
      <c r="M497" s="2"/>
      <c r="N497" s="2"/>
    </row>
    <row r="498" spans="1:14" ht="30" customHeight="1" x14ac:dyDescent="0.35">
      <c r="A498" t="s">
        <v>1056</v>
      </c>
      <c r="B498" t="s">
        <v>1057</v>
      </c>
      <c r="C498" t="s">
        <v>77</v>
      </c>
      <c r="D498" t="s">
        <v>76</v>
      </c>
      <c r="E498" s="2">
        <v>54598.05</v>
      </c>
      <c r="F498" s="2"/>
      <c r="G498" s="2"/>
      <c r="H498" s="8" t="str">
        <f t="shared" si="16"/>
        <v/>
      </c>
      <c r="I498" s="10" t="str">
        <f t="shared" si="17"/>
        <v/>
      </c>
      <c r="L498" s="2"/>
      <c r="M498" s="2"/>
      <c r="N498" s="2"/>
    </row>
    <row r="499" spans="1:14" ht="30" customHeight="1" x14ac:dyDescent="0.35">
      <c r="A499" t="s">
        <v>1058</v>
      </c>
      <c r="B499" t="s">
        <v>1059</v>
      </c>
      <c r="C499" t="s">
        <v>77</v>
      </c>
      <c r="D499" t="s">
        <v>76</v>
      </c>
      <c r="E499" s="2">
        <v>82669.62</v>
      </c>
      <c r="F499" s="2"/>
      <c r="G499" s="2"/>
      <c r="H499" s="8" t="str">
        <f t="shared" si="16"/>
        <v/>
      </c>
      <c r="I499" s="10" t="str">
        <f t="shared" si="17"/>
        <v/>
      </c>
      <c r="L499" s="2"/>
      <c r="M499" s="2"/>
      <c r="N499" s="2"/>
    </row>
    <row r="500" spans="1:14" ht="30" customHeight="1" x14ac:dyDescent="0.35">
      <c r="A500" t="s">
        <v>1060</v>
      </c>
      <c r="B500" t="s">
        <v>1061</v>
      </c>
      <c r="C500" t="s">
        <v>2262</v>
      </c>
      <c r="D500" t="s">
        <v>1518</v>
      </c>
      <c r="E500" s="2">
        <v>638284.66</v>
      </c>
      <c r="F500" s="2">
        <v>1511750.63</v>
      </c>
      <c r="G500" s="2">
        <v>1875879.53</v>
      </c>
      <c r="H500" s="8">
        <f t="shared" si="16"/>
        <v>3387630.16</v>
      </c>
      <c r="I500" s="10">
        <f t="shared" si="17"/>
        <v>0.18841627623246807</v>
      </c>
      <c r="L500" s="2"/>
      <c r="M500" s="2"/>
      <c r="N500" s="2"/>
    </row>
    <row r="501" spans="1:14" ht="30" customHeight="1" x14ac:dyDescent="0.35">
      <c r="A501" t="s">
        <v>1062</v>
      </c>
      <c r="B501" t="s">
        <v>1063</v>
      </c>
      <c r="C501" t="s">
        <v>51</v>
      </c>
      <c r="D501" t="s">
        <v>50</v>
      </c>
      <c r="E501" s="2">
        <v>217522.32</v>
      </c>
      <c r="F501" s="2"/>
      <c r="G501" s="2"/>
      <c r="H501" s="8" t="str">
        <f t="shared" si="16"/>
        <v/>
      </c>
      <c r="I501" s="10" t="str">
        <f t="shared" si="17"/>
        <v/>
      </c>
      <c r="L501" s="2"/>
      <c r="M501" s="2"/>
      <c r="N501" s="2"/>
    </row>
    <row r="502" spans="1:14" ht="30" customHeight="1" x14ac:dyDescent="0.35">
      <c r="A502" t="s">
        <v>1064</v>
      </c>
      <c r="B502" t="s">
        <v>1065</v>
      </c>
      <c r="C502" t="s">
        <v>19</v>
      </c>
      <c r="D502" t="s">
        <v>18</v>
      </c>
      <c r="E502" s="2">
        <v>226316.24</v>
      </c>
      <c r="F502" s="2"/>
      <c r="G502" s="2"/>
      <c r="H502" s="8" t="str">
        <f t="shared" si="16"/>
        <v/>
      </c>
      <c r="I502" s="10" t="str">
        <f t="shared" si="17"/>
        <v/>
      </c>
      <c r="L502" s="2"/>
      <c r="M502" s="2"/>
      <c r="N502" s="2"/>
    </row>
    <row r="503" spans="1:14" ht="30" customHeight="1" x14ac:dyDescent="0.35">
      <c r="A503" t="s">
        <v>2326</v>
      </c>
      <c r="B503" t="s">
        <v>2327</v>
      </c>
      <c r="C503" t="s">
        <v>2225</v>
      </c>
      <c r="D503" t="s">
        <v>308</v>
      </c>
      <c r="E503" s="2">
        <v>526.21</v>
      </c>
      <c r="F503" s="2"/>
      <c r="G503" s="2"/>
      <c r="H503" s="8" t="str">
        <f t="shared" si="16"/>
        <v/>
      </c>
      <c r="I503" s="10" t="str">
        <f t="shared" si="17"/>
        <v/>
      </c>
      <c r="L503" s="2"/>
      <c r="M503" s="2"/>
      <c r="N503" s="2"/>
    </row>
    <row r="504" spans="1:14" ht="30" customHeight="1" x14ac:dyDescent="0.35">
      <c r="A504" t="s">
        <v>1066</v>
      </c>
      <c r="B504" t="s">
        <v>1067</v>
      </c>
      <c r="C504" t="s">
        <v>2224</v>
      </c>
      <c r="D504" t="s">
        <v>1673</v>
      </c>
      <c r="E504" s="2">
        <v>60121.58</v>
      </c>
      <c r="F504" s="2">
        <v>2653682.41</v>
      </c>
      <c r="G504" s="2">
        <v>1132266.7</v>
      </c>
      <c r="H504" s="8">
        <f t="shared" si="16"/>
        <v>3785949.1100000003</v>
      </c>
      <c r="I504" s="10">
        <f t="shared" si="17"/>
        <v>1.5880187042450762E-2</v>
      </c>
      <c r="L504" s="2"/>
      <c r="M504" s="2"/>
      <c r="N504" s="2"/>
    </row>
    <row r="505" spans="1:14" ht="30" customHeight="1" x14ac:dyDescent="0.35">
      <c r="A505" t="s">
        <v>1068</v>
      </c>
      <c r="B505" t="s">
        <v>1069</v>
      </c>
      <c r="C505" t="s">
        <v>51</v>
      </c>
      <c r="D505" t="s">
        <v>50</v>
      </c>
      <c r="E505" s="2">
        <v>75554.789999999994</v>
      </c>
      <c r="F505" s="2"/>
      <c r="G505" s="2"/>
      <c r="H505" s="8" t="str">
        <f t="shared" si="16"/>
        <v/>
      </c>
      <c r="I505" s="10" t="str">
        <f t="shared" si="17"/>
        <v/>
      </c>
      <c r="L505" s="2"/>
      <c r="M505" s="2"/>
      <c r="N505" s="2"/>
    </row>
    <row r="506" spans="1:14" ht="30" customHeight="1" x14ac:dyDescent="0.35">
      <c r="A506" t="s">
        <v>1070</v>
      </c>
      <c r="B506" t="s">
        <v>1071</v>
      </c>
      <c r="C506" t="s">
        <v>2259</v>
      </c>
      <c r="D506" t="s">
        <v>713</v>
      </c>
      <c r="E506" s="2">
        <v>1388816.89</v>
      </c>
      <c r="F506" s="2"/>
      <c r="G506" s="2"/>
      <c r="H506" s="8" t="str">
        <f t="shared" si="16"/>
        <v/>
      </c>
      <c r="I506" s="10" t="str">
        <f t="shared" si="17"/>
        <v/>
      </c>
      <c r="L506" s="2"/>
      <c r="M506" s="2"/>
      <c r="N506" s="2"/>
    </row>
    <row r="507" spans="1:14" ht="30" customHeight="1" x14ac:dyDescent="0.35">
      <c r="A507" t="s">
        <v>1072</v>
      </c>
      <c r="B507" t="s">
        <v>1073</v>
      </c>
      <c r="C507" t="s">
        <v>2263</v>
      </c>
      <c r="D507" t="s">
        <v>1233</v>
      </c>
      <c r="E507" s="2">
        <v>8467</v>
      </c>
      <c r="F507" s="2">
        <v>34778.57</v>
      </c>
      <c r="G507" s="2">
        <v>221.43</v>
      </c>
      <c r="H507" s="8">
        <f t="shared" si="16"/>
        <v>35000</v>
      </c>
      <c r="I507" s="10">
        <f t="shared" si="17"/>
        <v>0.24191428571428572</v>
      </c>
      <c r="L507" s="2"/>
      <c r="M507" s="2"/>
      <c r="N507" s="2"/>
    </row>
    <row r="508" spans="1:14" ht="30" customHeight="1" x14ac:dyDescent="0.35">
      <c r="A508" t="s">
        <v>1074</v>
      </c>
      <c r="B508" t="s">
        <v>1075</v>
      </c>
      <c r="C508" t="s">
        <v>2259</v>
      </c>
      <c r="D508" t="s">
        <v>713</v>
      </c>
      <c r="E508" s="2">
        <v>284055.5</v>
      </c>
      <c r="F508" s="2"/>
      <c r="G508" s="2"/>
      <c r="H508" s="8" t="str">
        <f t="shared" si="16"/>
        <v/>
      </c>
      <c r="I508" s="10" t="str">
        <f t="shared" si="17"/>
        <v/>
      </c>
      <c r="L508" s="2"/>
      <c r="M508" s="2"/>
      <c r="N508" s="2"/>
    </row>
    <row r="509" spans="1:14" ht="30" customHeight="1" x14ac:dyDescent="0.35">
      <c r="A509" t="s">
        <v>1076</v>
      </c>
      <c r="B509" t="s">
        <v>1077</v>
      </c>
      <c r="C509" t="s">
        <v>2266</v>
      </c>
      <c r="D509" t="s">
        <v>1560</v>
      </c>
      <c r="E509" s="2">
        <v>1182345.74</v>
      </c>
      <c r="F509" s="2">
        <v>1280535.3500000001</v>
      </c>
      <c r="G509" s="2">
        <v>101928.55</v>
      </c>
      <c r="H509" s="8">
        <f t="shared" si="16"/>
        <v>1382463.9000000001</v>
      </c>
      <c r="I509" s="10">
        <f t="shared" si="17"/>
        <v>0.8552452906726894</v>
      </c>
      <c r="L509" s="2"/>
      <c r="M509" s="2"/>
      <c r="N509" s="2"/>
    </row>
    <row r="510" spans="1:14" ht="30" customHeight="1" x14ac:dyDescent="0.35">
      <c r="A510" t="s">
        <v>1078</v>
      </c>
      <c r="B510" t="s">
        <v>1079</v>
      </c>
      <c r="C510" t="s">
        <v>2263</v>
      </c>
      <c r="D510" t="s">
        <v>1233</v>
      </c>
      <c r="E510" s="2">
        <v>269154.2</v>
      </c>
      <c r="F510" s="2"/>
      <c r="G510" s="2"/>
      <c r="H510" s="8" t="str">
        <f t="shared" si="16"/>
        <v/>
      </c>
      <c r="I510" s="10" t="str">
        <f t="shared" si="17"/>
        <v/>
      </c>
      <c r="L510" s="2"/>
      <c r="M510" s="2"/>
      <c r="N510" s="2"/>
    </row>
    <row r="511" spans="1:14" ht="30" customHeight="1" x14ac:dyDescent="0.35">
      <c r="A511" t="s">
        <v>2328</v>
      </c>
      <c r="B511" t="s">
        <v>2329</v>
      </c>
      <c r="C511" t="s">
        <v>457</v>
      </c>
      <c r="D511" t="s">
        <v>456</v>
      </c>
      <c r="E511" s="2">
        <v>20878.88</v>
      </c>
      <c r="F511" s="2"/>
      <c r="G511" s="2"/>
      <c r="H511" s="8" t="str">
        <f t="shared" si="16"/>
        <v/>
      </c>
      <c r="I511" s="10" t="str">
        <f t="shared" si="17"/>
        <v/>
      </c>
      <c r="L511" s="2"/>
      <c r="M511" s="2"/>
      <c r="N511" s="2"/>
    </row>
    <row r="512" spans="1:14" ht="30" customHeight="1" x14ac:dyDescent="0.35">
      <c r="A512" t="s">
        <v>1080</v>
      </c>
      <c r="B512" t="s">
        <v>1081</v>
      </c>
      <c r="C512" t="s">
        <v>29</v>
      </c>
      <c r="D512" t="s">
        <v>28</v>
      </c>
      <c r="E512" s="2">
        <v>5718.56</v>
      </c>
      <c r="F512" s="2"/>
      <c r="G512" s="2"/>
      <c r="H512" s="8" t="str">
        <f t="shared" si="16"/>
        <v/>
      </c>
      <c r="I512" s="10" t="str">
        <f t="shared" si="17"/>
        <v/>
      </c>
      <c r="L512" s="2"/>
      <c r="M512" s="2"/>
      <c r="N512" s="2"/>
    </row>
    <row r="513" spans="1:14" ht="30" customHeight="1" x14ac:dyDescent="0.35">
      <c r="A513" t="s">
        <v>1082</v>
      </c>
      <c r="B513" t="s">
        <v>1083</v>
      </c>
      <c r="C513" t="s">
        <v>2259</v>
      </c>
      <c r="D513" t="s">
        <v>713</v>
      </c>
      <c r="E513" s="2">
        <v>5368.6</v>
      </c>
      <c r="F513" s="2">
        <v>107186.79</v>
      </c>
      <c r="G513" s="2"/>
      <c r="H513" s="8">
        <f t="shared" si="16"/>
        <v>107186.79</v>
      </c>
      <c r="I513" s="10">
        <f t="shared" si="17"/>
        <v>5.0086395907555405E-2</v>
      </c>
      <c r="L513" s="2"/>
      <c r="M513" s="2"/>
      <c r="N513" s="2"/>
    </row>
    <row r="514" spans="1:14" ht="30" customHeight="1" x14ac:dyDescent="0.35">
      <c r="A514" t="s">
        <v>1084</v>
      </c>
      <c r="B514" t="s">
        <v>1085</v>
      </c>
      <c r="C514" t="s">
        <v>19</v>
      </c>
      <c r="D514" t="s">
        <v>18</v>
      </c>
      <c r="E514" s="2">
        <v>359507.28</v>
      </c>
      <c r="F514" s="2"/>
      <c r="G514" s="2"/>
      <c r="H514" s="8" t="str">
        <f t="shared" si="16"/>
        <v/>
      </c>
      <c r="I514" s="10" t="str">
        <f t="shared" si="17"/>
        <v/>
      </c>
      <c r="L514" s="2"/>
      <c r="M514" s="2"/>
      <c r="N514" s="2"/>
    </row>
    <row r="515" spans="1:14" ht="30" customHeight="1" x14ac:dyDescent="0.35">
      <c r="A515" t="s">
        <v>1086</v>
      </c>
      <c r="B515" t="s">
        <v>1087</v>
      </c>
      <c r="C515" t="s">
        <v>2224</v>
      </c>
      <c r="D515" t="s">
        <v>1673</v>
      </c>
      <c r="E515" s="2">
        <v>27787.99</v>
      </c>
      <c r="F515" s="2">
        <v>1242928.98</v>
      </c>
      <c r="G515" s="2"/>
      <c r="H515" s="8">
        <f t="shared" si="16"/>
        <v>1242928.98</v>
      </c>
      <c r="I515" s="10">
        <f t="shared" si="17"/>
        <v>2.2356860647017824E-2</v>
      </c>
      <c r="L515" s="2"/>
      <c r="M515" s="2"/>
      <c r="N515" s="2"/>
    </row>
    <row r="516" spans="1:14" ht="30" customHeight="1" x14ac:dyDescent="0.35">
      <c r="A516" t="s">
        <v>1088</v>
      </c>
      <c r="B516" t="s">
        <v>1089</v>
      </c>
      <c r="C516" t="s">
        <v>2263</v>
      </c>
      <c r="D516" t="s">
        <v>1233</v>
      </c>
      <c r="E516" s="2">
        <v>96216.03</v>
      </c>
      <c r="F516" s="2"/>
      <c r="G516" s="2"/>
      <c r="H516" s="8" t="str">
        <f t="shared" si="16"/>
        <v/>
      </c>
      <c r="I516" s="10" t="str">
        <f t="shared" si="17"/>
        <v/>
      </c>
      <c r="L516" s="2"/>
      <c r="M516" s="2"/>
      <c r="N516" s="2"/>
    </row>
    <row r="517" spans="1:14" ht="30" customHeight="1" x14ac:dyDescent="0.35">
      <c r="A517" t="s">
        <v>1090</v>
      </c>
      <c r="B517" t="s">
        <v>1091</v>
      </c>
      <c r="C517" t="s">
        <v>465</v>
      </c>
      <c r="D517" t="s">
        <v>464</v>
      </c>
      <c r="E517" s="2">
        <v>1117400.8899999999</v>
      </c>
      <c r="F517" s="2">
        <v>4488788.33</v>
      </c>
      <c r="G517" s="2">
        <v>3050000</v>
      </c>
      <c r="H517" s="8">
        <f t="shared" si="16"/>
        <v>7538788.3300000001</v>
      </c>
      <c r="I517" s="10">
        <f t="shared" si="17"/>
        <v>0.14822022334191201</v>
      </c>
      <c r="L517" s="2"/>
      <c r="M517" s="2"/>
      <c r="N517" s="2"/>
    </row>
    <row r="518" spans="1:14" ht="30" customHeight="1" x14ac:dyDescent="0.35">
      <c r="A518" t="s">
        <v>1092</v>
      </c>
      <c r="B518" t="s">
        <v>1093</v>
      </c>
      <c r="C518" t="s">
        <v>2266</v>
      </c>
      <c r="D518" t="s">
        <v>1560</v>
      </c>
      <c r="E518" s="2">
        <v>288225.68</v>
      </c>
      <c r="F518" s="2">
        <v>348618.29</v>
      </c>
      <c r="G518" s="2">
        <v>960</v>
      </c>
      <c r="H518" s="8">
        <f t="shared" si="16"/>
        <v>349578.29</v>
      </c>
      <c r="I518" s="10">
        <f t="shared" si="17"/>
        <v>0.82449536554458236</v>
      </c>
      <c r="L518" s="2"/>
      <c r="M518" s="2"/>
      <c r="N518" s="2"/>
    </row>
    <row r="519" spans="1:14" ht="30" customHeight="1" x14ac:dyDescent="0.35">
      <c r="A519" t="s">
        <v>1094</v>
      </c>
      <c r="B519" t="s">
        <v>1095</v>
      </c>
      <c r="C519" t="s">
        <v>19</v>
      </c>
      <c r="D519" t="s">
        <v>18</v>
      </c>
      <c r="E519" s="2">
        <v>91083.69</v>
      </c>
      <c r="F519" s="2"/>
      <c r="G519" s="2"/>
      <c r="H519" s="8" t="str">
        <f t="shared" si="16"/>
        <v/>
      </c>
      <c r="I519" s="10" t="str">
        <f t="shared" si="17"/>
        <v/>
      </c>
      <c r="L519" s="2"/>
      <c r="M519" s="2"/>
      <c r="N519" s="2"/>
    </row>
    <row r="520" spans="1:14" ht="30" customHeight="1" x14ac:dyDescent="0.35">
      <c r="A520" t="s">
        <v>1096</v>
      </c>
      <c r="B520" t="s">
        <v>1097</v>
      </c>
      <c r="C520" t="s">
        <v>19</v>
      </c>
      <c r="D520" t="s">
        <v>18</v>
      </c>
      <c r="E520" s="2">
        <v>100576.39</v>
      </c>
      <c r="F520" s="2"/>
      <c r="G520" s="2"/>
      <c r="H520" s="8" t="str">
        <f t="shared" si="16"/>
        <v/>
      </c>
      <c r="I520" s="10" t="str">
        <f t="shared" si="17"/>
        <v/>
      </c>
      <c r="L520" s="2"/>
      <c r="M520" s="2"/>
      <c r="N520" s="2"/>
    </row>
    <row r="521" spans="1:14" ht="30" customHeight="1" x14ac:dyDescent="0.35">
      <c r="A521" t="s">
        <v>1098</v>
      </c>
      <c r="B521" t="s">
        <v>1099</v>
      </c>
      <c r="C521" t="s">
        <v>465</v>
      </c>
      <c r="D521" t="s">
        <v>464</v>
      </c>
      <c r="E521" s="2">
        <v>415259.39</v>
      </c>
      <c r="F521" s="2">
        <v>6934313.0800000001</v>
      </c>
      <c r="G521" s="2">
        <v>636040</v>
      </c>
      <c r="H521" s="8">
        <f t="shared" si="16"/>
        <v>7570353.0800000001</v>
      </c>
      <c r="I521" s="10">
        <f t="shared" si="17"/>
        <v>5.485337151540097E-2</v>
      </c>
      <c r="L521" s="2"/>
      <c r="M521" s="2"/>
      <c r="N521" s="2"/>
    </row>
    <row r="522" spans="1:14" ht="30" customHeight="1" x14ac:dyDescent="0.35">
      <c r="A522" t="s">
        <v>1100</v>
      </c>
      <c r="B522" t="s">
        <v>1101</v>
      </c>
      <c r="C522" t="s">
        <v>2259</v>
      </c>
      <c r="D522" t="s">
        <v>713</v>
      </c>
      <c r="E522" s="2">
        <v>184521.62</v>
      </c>
      <c r="F522" s="2"/>
      <c r="G522" s="2"/>
      <c r="H522" s="8" t="str">
        <f t="shared" si="16"/>
        <v/>
      </c>
      <c r="I522" s="10" t="str">
        <f t="shared" si="17"/>
        <v/>
      </c>
      <c r="L522" s="2"/>
      <c r="M522" s="2"/>
      <c r="N522" s="2"/>
    </row>
    <row r="523" spans="1:14" ht="30" customHeight="1" x14ac:dyDescent="0.35">
      <c r="A523" t="s">
        <v>1102</v>
      </c>
      <c r="B523" t="s">
        <v>1103</v>
      </c>
      <c r="C523" t="s">
        <v>2263</v>
      </c>
      <c r="D523" t="s">
        <v>1233</v>
      </c>
      <c r="E523" s="2">
        <v>14232.81</v>
      </c>
      <c r="F523" s="2"/>
      <c r="G523" s="2"/>
      <c r="H523" s="8" t="str">
        <f t="shared" si="16"/>
        <v/>
      </c>
      <c r="I523" s="10" t="str">
        <f t="shared" si="17"/>
        <v/>
      </c>
      <c r="L523" s="2"/>
      <c r="M523" s="2"/>
      <c r="N523" s="2"/>
    </row>
    <row r="524" spans="1:14" ht="30" customHeight="1" x14ac:dyDescent="0.35">
      <c r="A524" t="s">
        <v>1104</v>
      </c>
      <c r="B524" t="s">
        <v>1105</v>
      </c>
      <c r="C524" t="s">
        <v>2225</v>
      </c>
      <c r="D524" t="s">
        <v>308</v>
      </c>
      <c r="E524" s="2">
        <v>190232.17</v>
      </c>
      <c r="F524" s="2"/>
      <c r="G524" s="2"/>
      <c r="H524" s="8" t="str">
        <f t="shared" si="16"/>
        <v/>
      </c>
      <c r="I524" s="10" t="str">
        <f t="shared" si="17"/>
        <v/>
      </c>
      <c r="L524" s="2"/>
      <c r="M524" s="2"/>
      <c r="N524" s="2"/>
    </row>
    <row r="525" spans="1:14" ht="30" customHeight="1" x14ac:dyDescent="0.35">
      <c r="A525" t="s">
        <v>1106</v>
      </c>
      <c r="B525" t="s">
        <v>1107</v>
      </c>
      <c r="C525" t="s">
        <v>77</v>
      </c>
      <c r="D525" t="s">
        <v>76</v>
      </c>
      <c r="E525" s="2">
        <v>64562.59</v>
      </c>
      <c r="F525" s="2"/>
      <c r="G525" s="2"/>
      <c r="H525" s="8" t="str">
        <f t="shared" si="16"/>
        <v/>
      </c>
      <c r="I525" s="10" t="str">
        <f t="shared" si="17"/>
        <v/>
      </c>
      <c r="L525" s="2"/>
      <c r="M525" s="2"/>
      <c r="N525" s="2"/>
    </row>
    <row r="526" spans="1:14" ht="30" customHeight="1" x14ac:dyDescent="0.35">
      <c r="A526" t="s">
        <v>1108</v>
      </c>
      <c r="B526" t="s">
        <v>1109</v>
      </c>
      <c r="C526" t="s">
        <v>77</v>
      </c>
      <c r="D526" t="s">
        <v>76</v>
      </c>
      <c r="E526" s="2">
        <v>66369.45</v>
      </c>
      <c r="F526" s="2">
        <v>0</v>
      </c>
      <c r="G526" s="2">
        <v>1000</v>
      </c>
      <c r="H526" s="8">
        <f t="shared" si="16"/>
        <v>1000</v>
      </c>
      <c r="I526" s="10">
        <f t="shared" si="17"/>
        <v>66.369450000000001</v>
      </c>
      <c r="L526" s="2"/>
      <c r="M526" s="2"/>
      <c r="N526" s="2"/>
    </row>
    <row r="527" spans="1:14" ht="30" customHeight="1" x14ac:dyDescent="0.35">
      <c r="A527" t="s">
        <v>1110</v>
      </c>
      <c r="B527" t="s">
        <v>1111</v>
      </c>
      <c r="C527" t="s">
        <v>51</v>
      </c>
      <c r="D527" t="s">
        <v>50</v>
      </c>
      <c r="E527" s="2">
        <v>393574.42</v>
      </c>
      <c r="F527" s="2"/>
      <c r="G527" s="2"/>
      <c r="H527" s="8" t="str">
        <f t="shared" si="16"/>
        <v/>
      </c>
      <c r="I527" s="10" t="str">
        <f t="shared" si="17"/>
        <v/>
      </c>
      <c r="L527" s="2"/>
      <c r="M527" s="2"/>
      <c r="N527" s="2"/>
    </row>
    <row r="528" spans="1:14" ht="30" customHeight="1" x14ac:dyDescent="0.35">
      <c r="A528" t="s">
        <v>1112</v>
      </c>
      <c r="B528" t="s">
        <v>1113</v>
      </c>
      <c r="C528" t="s">
        <v>51</v>
      </c>
      <c r="D528" t="s">
        <v>50</v>
      </c>
      <c r="E528" s="2">
        <v>22890.15</v>
      </c>
      <c r="F528" s="2"/>
      <c r="G528" s="2"/>
      <c r="H528" s="8" t="str">
        <f t="shared" si="16"/>
        <v/>
      </c>
      <c r="I528" s="10" t="str">
        <f t="shared" si="17"/>
        <v/>
      </c>
      <c r="L528" s="2"/>
      <c r="M528" s="2"/>
      <c r="N528" s="2"/>
    </row>
    <row r="529" spans="1:14" ht="30" customHeight="1" x14ac:dyDescent="0.35">
      <c r="A529" t="s">
        <v>1114</v>
      </c>
      <c r="B529" t="s">
        <v>1115</v>
      </c>
      <c r="C529" t="s">
        <v>2225</v>
      </c>
      <c r="D529" t="s">
        <v>308</v>
      </c>
      <c r="E529" s="2">
        <v>52139.69</v>
      </c>
      <c r="F529" s="2"/>
      <c r="G529" s="2"/>
      <c r="H529" s="8" t="str">
        <f t="shared" si="16"/>
        <v/>
      </c>
      <c r="I529" s="10" t="str">
        <f t="shared" si="17"/>
        <v/>
      </c>
      <c r="L529" s="2"/>
      <c r="M529" s="2"/>
      <c r="N529" s="2"/>
    </row>
    <row r="530" spans="1:14" ht="30" customHeight="1" x14ac:dyDescent="0.35">
      <c r="A530" t="s">
        <v>1116</v>
      </c>
      <c r="B530" t="s">
        <v>1117</v>
      </c>
      <c r="C530" t="s">
        <v>2266</v>
      </c>
      <c r="D530" t="s">
        <v>1560</v>
      </c>
      <c r="E530" s="2">
        <v>3790</v>
      </c>
      <c r="F530" s="2">
        <v>87618.29</v>
      </c>
      <c r="G530" s="2"/>
      <c r="H530" s="8">
        <f t="shared" si="16"/>
        <v>87618.29</v>
      </c>
      <c r="I530" s="10">
        <f t="shared" si="17"/>
        <v>4.3255808804303304E-2</v>
      </c>
      <c r="L530" s="2"/>
      <c r="M530" s="2"/>
      <c r="N530" s="2"/>
    </row>
    <row r="531" spans="1:14" ht="30" customHeight="1" x14ac:dyDescent="0.35">
      <c r="A531" t="s">
        <v>1118</v>
      </c>
      <c r="B531" t="s">
        <v>1119</v>
      </c>
      <c r="C531" t="s">
        <v>2259</v>
      </c>
      <c r="D531" t="s">
        <v>713</v>
      </c>
      <c r="E531" s="2">
        <v>229400.33</v>
      </c>
      <c r="F531" s="2"/>
      <c r="G531" s="2"/>
      <c r="H531" s="8" t="str">
        <f t="shared" si="16"/>
        <v/>
      </c>
      <c r="I531" s="10" t="str">
        <f t="shared" si="17"/>
        <v/>
      </c>
      <c r="L531" s="2"/>
      <c r="M531" s="2"/>
      <c r="N531" s="2"/>
    </row>
    <row r="532" spans="1:14" ht="30" customHeight="1" x14ac:dyDescent="0.35">
      <c r="A532" t="s">
        <v>1120</v>
      </c>
      <c r="B532" t="s">
        <v>1121</v>
      </c>
      <c r="C532" t="s">
        <v>465</v>
      </c>
      <c r="D532" t="s">
        <v>464</v>
      </c>
      <c r="E532" s="2">
        <v>578223.86</v>
      </c>
      <c r="F532" s="2">
        <v>787057.96</v>
      </c>
      <c r="G532" s="2">
        <v>1498817.36</v>
      </c>
      <c r="H532" s="8">
        <f t="shared" si="16"/>
        <v>2285875.3200000003</v>
      </c>
      <c r="I532" s="10">
        <f t="shared" si="17"/>
        <v>0.25295511742958926</v>
      </c>
      <c r="L532" s="2"/>
      <c r="M532" s="2"/>
      <c r="N532" s="2"/>
    </row>
    <row r="533" spans="1:14" ht="30" customHeight="1" x14ac:dyDescent="0.35">
      <c r="A533" t="s">
        <v>1122</v>
      </c>
      <c r="B533" t="s">
        <v>1123</v>
      </c>
      <c r="C533" t="s">
        <v>29</v>
      </c>
      <c r="D533" t="s">
        <v>28</v>
      </c>
      <c r="E533" s="2">
        <v>977480.91</v>
      </c>
      <c r="F533" s="2"/>
      <c r="G533" s="2"/>
      <c r="H533" s="8" t="str">
        <f t="shared" si="16"/>
        <v/>
      </c>
      <c r="I533" s="10" t="str">
        <f t="shared" si="17"/>
        <v/>
      </c>
      <c r="L533" s="2"/>
      <c r="M533" s="2"/>
      <c r="N533" s="2"/>
    </row>
    <row r="534" spans="1:14" ht="30" customHeight="1" x14ac:dyDescent="0.35">
      <c r="A534" t="s">
        <v>1124</v>
      </c>
      <c r="B534" t="s">
        <v>1125</v>
      </c>
      <c r="C534" t="s">
        <v>101</v>
      </c>
      <c r="D534" t="s">
        <v>100</v>
      </c>
      <c r="E534" s="2">
        <v>2218538.25</v>
      </c>
      <c r="F534" s="2">
        <v>144256.26</v>
      </c>
      <c r="G534" s="2"/>
      <c r="H534" s="8">
        <f t="shared" si="16"/>
        <v>144256.26</v>
      </c>
      <c r="I534" s="10">
        <f t="shared" si="17"/>
        <v>15.379147151049111</v>
      </c>
      <c r="L534" s="2"/>
      <c r="M534" s="2"/>
      <c r="N534" s="2"/>
    </row>
    <row r="535" spans="1:14" ht="30" customHeight="1" x14ac:dyDescent="0.35">
      <c r="A535" t="s">
        <v>1126</v>
      </c>
      <c r="B535" t="s">
        <v>1127</v>
      </c>
      <c r="C535" t="s">
        <v>19</v>
      </c>
      <c r="D535" t="s">
        <v>18</v>
      </c>
      <c r="E535" s="2">
        <v>43860.61</v>
      </c>
      <c r="F535" s="2">
        <v>32074.21</v>
      </c>
      <c r="G535" s="2"/>
      <c r="H535" s="8">
        <f t="shared" si="16"/>
        <v>32074.21</v>
      </c>
      <c r="I535" s="10">
        <f t="shared" si="17"/>
        <v>1.3674728075921434</v>
      </c>
      <c r="L535" s="2"/>
      <c r="M535" s="2"/>
      <c r="N535" s="2"/>
    </row>
    <row r="536" spans="1:14" ht="30" customHeight="1" x14ac:dyDescent="0.35">
      <c r="A536" t="s">
        <v>1128</v>
      </c>
      <c r="B536" t="s">
        <v>1129</v>
      </c>
      <c r="C536" t="s">
        <v>19</v>
      </c>
      <c r="D536" t="s">
        <v>18</v>
      </c>
      <c r="E536" s="2">
        <v>262985.57</v>
      </c>
      <c r="F536" s="2"/>
      <c r="G536" s="2"/>
      <c r="H536" s="8" t="str">
        <f t="shared" si="16"/>
        <v/>
      </c>
      <c r="I536" s="10" t="str">
        <f t="shared" si="17"/>
        <v/>
      </c>
      <c r="L536" s="2"/>
      <c r="M536" s="2"/>
      <c r="N536" s="2"/>
    </row>
    <row r="537" spans="1:14" ht="30" customHeight="1" x14ac:dyDescent="0.35">
      <c r="A537" t="s">
        <v>1130</v>
      </c>
      <c r="B537" t="s">
        <v>1131</v>
      </c>
      <c r="C537" t="s">
        <v>19</v>
      </c>
      <c r="D537" t="s">
        <v>18</v>
      </c>
      <c r="E537" s="2">
        <v>43121.71</v>
      </c>
      <c r="F537" s="2"/>
      <c r="G537" s="2"/>
      <c r="H537" s="8" t="str">
        <f t="shared" si="16"/>
        <v/>
      </c>
      <c r="I537" s="10" t="str">
        <f t="shared" si="17"/>
        <v/>
      </c>
      <c r="L537" s="2"/>
      <c r="M537" s="2"/>
      <c r="N537" s="2"/>
    </row>
    <row r="538" spans="1:14" ht="30" customHeight="1" x14ac:dyDescent="0.35">
      <c r="A538" t="s">
        <v>1132</v>
      </c>
      <c r="B538" t="s">
        <v>1133</v>
      </c>
      <c r="C538" t="s">
        <v>19</v>
      </c>
      <c r="D538" t="s">
        <v>18</v>
      </c>
      <c r="E538" s="2">
        <v>229796.03</v>
      </c>
      <c r="F538" s="2"/>
      <c r="G538" s="2"/>
      <c r="H538" s="8" t="str">
        <f t="shared" si="16"/>
        <v/>
      </c>
      <c r="I538" s="10" t="str">
        <f t="shared" si="17"/>
        <v/>
      </c>
      <c r="L538" s="2"/>
      <c r="M538" s="2"/>
      <c r="N538" s="2"/>
    </row>
    <row r="539" spans="1:14" ht="30" customHeight="1" x14ac:dyDescent="0.35">
      <c r="A539" t="s">
        <v>1134</v>
      </c>
      <c r="B539" t="s">
        <v>1135</v>
      </c>
      <c r="C539" t="s">
        <v>2263</v>
      </c>
      <c r="D539" t="s">
        <v>1233</v>
      </c>
      <c r="E539" s="2">
        <v>74003.009999999995</v>
      </c>
      <c r="F539" s="2"/>
      <c r="G539" s="2"/>
      <c r="H539" s="8" t="str">
        <f t="shared" si="16"/>
        <v/>
      </c>
      <c r="I539" s="10" t="str">
        <f t="shared" si="17"/>
        <v/>
      </c>
      <c r="L539" s="2"/>
      <c r="M539" s="2"/>
      <c r="N539" s="2"/>
    </row>
    <row r="540" spans="1:14" ht="30" customHeight="1" x14ac:dyDescent="0.35">
      <c r="A540" t="s">
        <v>1136</v>
      </c>
      <c r="B540" t="s">
        <v>1137</v>
      </c>
      <c r="C540" t="s">
        <v>19</v>
      </c>
      <c r="D540" t="s">
        <v>18</v>
      </c>
      <c r="E540" s="2">
        <v>185871.75</v>
      </c>
      <c r="F540" s="2"/>
      <c r="G540" s="2"/>
      <c r="H540" s="8" t="str">
        <f t="shared" si="16"/>
        <v/>
      </c>
      <c r="I540" s="10" t="str">
        <f t="shared" si="17"/>
        <v/>
      </c>
      <c r="L540" s="2"/>
      <c r="M540" s="2"/>
      <c r="N540" s="2"/>
    </row>
    <row r="541" spans="1:14" ht="30" customHeight="1" x14ac:dyDescent="0.35">
      <c r="A541" t="s">
        <v>1138</v>
      </c>
      <c r="B541" t="s">
        <v>1139</v>
      </c>
      <c r="C541" t="s">
        <v>19</v>
      </c>
      <c r="D541" t="s">
        <v>18</v>
      </c>
      <c r="E541" s="2">
        <v>377996.99</v>
      </c>
      <c r="F541" s="2">
        <v>0</v>
      </c>
      <c r="G541" s="2"/>
      <c r="H541" s="8">
        <f t="shared" si="16"/>
        <v>0</v>
      </c>
      <c r="I541" s="10" t="e">
        <f t="shared" si="17"/>
        <v>#DIV/0!</v>
      </c>
      <c r="L541" s="2"/>
      <c r="M541" s="2"/>
      <c r="N541" s="2"/>
    </row>
    <row r="542" spans="1:14" ht="30" customHeight="1" x14ac:dyDescent="0.35">
      <c r="A542" t="s">
        <v>1140</v>
      </c>
      <c r="B542" t="s">
        <v>1141</v>
      </c>
      <c r="C542" t="s">
        <v>2266</v>
      </c>
      <c r="D542" t="s">
        <v>1560</v>
      </c>
      <c r="E542" s="2">
        <v>3597.77</v>
      </c>
      <c r="F542" s="2">
        <v>1262590.03</v>
      </c>
      <c r="G542" s="2">
        <v>3057.53</v>
      </c>
      <c r="H542" s="8">
        <f t="shared" si="16"/>
        <v>1265647.56</v>
      </c>
      <c r="I542" s="10">
        <f t="shared" si="17"/>
        <v>2.8426317986975772E-3</v>
      </c>
      <c r="L542" s="2"/>
      <c r="M542" s="2"/>
      <c r="N542" s="2"/>
    </row>
    <row r="543" spans="1:14" ht="30" customHeight="1" x14ac:dyDescent="0.35">
      <c r="A543" t="s">
        <v>1142</v>
      </c>
      <c r="B543" t="s">
        <v>1143</v>
      </c>
      <c r="C543" t="s">
        <v>2259</v>
      </c>
      <c r="D543" t="s">
        <v>713</v>
      </c>
      <c r="E543" s="2">
        <v>107348.35</v>
      </c>
      <c r="F543" s="2"/>
      <c r="G543" s="2"/>
      <c r="H543" s="8" t="str">
        <f t="shared" si="16"/>
        <v/>
      </c>
      <c r="I543" s="10" t="str">
        <f t="shared" si="17"/>
        <v/>
      </c>
      <c r="L543" s="2"/>
      <c r="M543" s="2"/>
      <c r="N543" s="2"/>
    </row>
    <row r="544" spans="1:14" ht="30" customHeight="1" x14ac:dyDescent="0.35">
      <c r="A544" t="s">
        <v>1144</v>
      </c>
      <c r="B544" t="s">
        <v>1145</v>
      </c>
      <c r="C544" t="s">
        <v>29</v>
      </c>
      <c r="D544" t="s">
        <v>28</v>
      </c>
      <c r="E544" s="2">
        <v>10301.27</v>
      </c>
      <c r="F544" s="2"/>
      <c r="G544" s="2"/>
      <c r="H544" s="8" t="str">
        <f t="shared" si="16"/>
        <v/>
      </c>
      <c r="I544" s="10" t="str">
        <f t="shared" si="17"/>
        <v/>
      </c>
      <c r="L544" s="2"/>
      <c r="M544" s="2"/>
      <c r="N544" s="2"/>
    </row>
    <row r="545" spans="1:14" ht="30" customHeight="1" x14ac:dyDescent="0.35">
      <c r="A545" t="s">
        <v>1146</v>
      </c>
      <c r="B545" t="s">
        <v>1147</v>
      </c>
      <c r="C545" t="s">
        <v>51</v>
      </c>
      <c r="D545" t="s">
        <v>50</v>
      </c>
      <c r="E545" s="2">
        <v>198801.8</v>
      </c>
      <c r="F545" s="2"/>
      <c r="G545" s="2"/>
      <c r="H545" s="8" t="str">
        <f t="shared" si="16"/>
        <v/>
      </c>
      <c r="I545" s="10" t="str">
        <f t="shared" si="17"/>
        <v/>
      </c>
      <c r="L545" s="2"/>
      <c r="M545" s="2"/>
      <c r="N545" s="2"/>
    </row>
    <row r="546" spans="1:14" ht="30" customHeight="1" x14ac:dyDescent="0.35">
      <c r="A546" t="s">
        <v>1148</v>
      </c>
      <c r="B546" t="s">
        <v>1149</v>
      </c>
      <c r="C546" t="s">
        <v>2225</v>
      </c>
      <c r="D546" t="s">
        <v>308</v>
      </c>
      <c r="E546" s="2">
        <v>32142.52</v>
      </c>
      <c r="F546" s="2"/>
      <c r="G546" s="2"/>
      <c r="H546" s="8" t="str">
        <f t="shared" si="16"/>
        <v/>
      </c>
      <c r="I546" s="10" t="str">
        <f t="shared" si="17"/>
        <v/>
      </c>
      <c r="L546" s="2"/>
      <c r="M546" s="2"/>
      <c r="N546" s="2"/>
    </row>
    <row r="547" spans="1:14" ht="30" customHeight="1" x14ac:dyDescent="0.35">
      <c r="A547" t="s">
        <v>1150</v>
      </c>
      <c r="B547" t="s">
        <v>1151</v>
      </c>
      <c r="C547" t="s">
        <v>2259</v>
      </c>
      <c r="D547" t="s">
        <v>713</v>
      </c>
      <c r="E547" s="2">
        <v>80204.28</v>
      </c>
      <c r="F547" s="2"/>
      <c r="G547" s="2"/>
      <c r="H547" s="8" t="str">
        <f t="shared" si="16"/>
        <v/>
      </c>
      <c r="I547" s="10" t="str">
        <f t="shared" si="17"/>
        <v/>
      </c>
      <c r="L547" s="2"/>
      <c r="M547" s="2"/>
      <c r="N547" s="2"/>
    </row>
    <row r="548" spans="1:14" ht="30" customHeight="1" x14ac:dyDescent="0.35">
      <c r="A548" t="s">
        <v>1152</v>
      </c>
      <c r="B548" t="s">
        <v>1153</v>
      </c>
      <c r="C548" t="s">
        <v>51</v>
      </c>
      <c r="D548" t="s">
        <v>50</v>
      </c>
      <c r="E548" s="2">
        <v>214912.1</v>
      </c>
      <c r="F548" s="2"/>
      <c r="G548" s="2"/>
      <c r="H548" s="8" t="str">
        <f t="shared" si="16"/>
        <v/>
      </c>
      <c r="I548" s="10" t="str">
        <f t="shared" si="17"/>
        <v/>
      </c>
      <c r="L548" s="2"/>
      <c r="M548" s="2"/>
      <c r="N548" s="2"/>
    </row>
    <row r="549" spans="1:14" ht="30" customHeight="1" x14ac:dyDescent="0.35">
      <c r="A549" t="s">
        <v>1154</v>
      </c>
      <c r="B549" t="s">
        <v>1155</v>
      </c>
      <c r="C549" t="s">
        <v>2259</v>
      </c>
      <c r="D549" t="s">
        <v>713</v>
      </c>
      <c r="E549" s="2">
        <v>148850.73000000001</v>
      </c>
      <c r="F549" s="2"/>
      <c r="G549" s="2"/>
      <c r="H549" s="8" t="str">
        <f t="shared" si="16"/>
        <v/>
      </c>
      <c r="I549" s="10" t="str">
        <f t="shared" si="17"/>
        <v/>
      </c>
      <c r="L549" s="2"/>
      <c r="M549" s="2"/>
      <c r="N549" s="2"/>
    </row>
    <row r="550" spans="1:14" ht="30" customHeight="1" x14ac:dyDescent="0.35">
      <c r="A550" t="s">
        <v>1156</v>
      </c>
      <c r="B550" t="s">
        <v>1157</v>
      </c>
      <c r="C550" t="s">
        <v>2225</v>
      </c>
      <c r="D550" t="s">
        <v>308</v>
      </c>
      <c r="E550" s="2">
        <v>110017.51</v>
      </c>
      <c r="F550" s="2"/>
      <c r="G550" s="2"/>
      <c r="H550" s="8" t="str">
        <f t="shared" si="16"/>
        <v/>
      </c>
      <c r="I550" s="10" t="str">
        <f t="shared" si="17"/>
        <v/>
      </c>
      <c r="L550" s="2"/>
      <c r="M550" s="2"/>
      <c r="N550" s="2"/>
    </row>
    <row r="551" spans="1:14" ht="30" customHeight="1" x14ac:dyDescent="0.35">
      <c r="A551" t="s">
        <v>1158</v>
      </c>
      <c r="B551" t="s">
        <v>1159</v>
      </c>
      <c r="C551" t="s">
        <v>51</v>
      </c>
      <c r="D551" t="s">
        <v>50</v>
      </c>
      <c r="E551" s="2">
        <v>5144.16</v>
      </c>
      <c r="F551" s="2"/>
      <c r="G551" s="2"/>
      <c r="H551" s="8" t="str">
        <f t="shared" si="16"/>
        <v/>
      </c>
      <c r="I551" s="10" t="str">
        <f t="shared" si="17"/>
        <v/>
      </c>
      <c r="L551" s="2"/>
      <c r="M551" s="2"/>
      <c r="N551" s="2"/>
    </row>
    <row r="552" spans="1:14" ht="30" customHeight="1" x14ac:dyDescent="0.35">
      <c r="A552" t="s">
        <v>1160</v>
      </c>
      <c r="B552" t="s">
        <v>1161</v>
      </c>
      <c r="C552" t="s">
        <v>465</v>
      </c>
      <c r="D552" t="s">
        <v>464</v>
      </c>
      <c r="E552" s="2">
        <v>594387.81000000006</v>
      </c>
      <c r="F552" s="2">
        <v>1242652.18</v>
      </c>
      <c r="G552" s="2">
        <v>500000</v>
      </c>
      <c r="H552" s="8">
        <f t="shared" si="16"/>
        <v>1742652.18</v>
      </c>
      <c r="I552" s="10">
        <f t="shared" si="17"/>
        <v>0.34108229790295852</v>
      </c>
      <c r="L552" s="2"/>
      <c r="M552" s="2"/>
      <c r="N552" s="2"/>
    </row>
    <row r="553" spans="1:14" ht="30" customHeight="1" x14ac:dyDescent="0.35">
      <c r="A553" t="s">
        <v>1162</v>
      </c>
      <c r="B553" t="s">
        <v>1163</v>
      </c>
      <c r="C553" t="s">
        <v>2259</v>
      </c>
      <c r="D553" t="s">
        <v>713</v>
      </c>
      <c r="E553" s="2">
        <v>715202.62</v>
      </c>
      <c r="F553" s="2">
        <v>0</v>
      </c>
      <c r="G553" s="2"/>
      <c r="H553" s="8">
        <f t="shared" si="16"/>
        <v>0</v>
      </c>
      <c r="I553" s="10" t="e">
        <f t="shared" si="17"/>
        <v>#DIV/0!</v>
      </c>
      <c r="L553" s="2"/>
      <c r="M553" s="2"/>
      <c r="N553" s="2"/>
    </row>
    <row r="554" spans="1:14" ht="30" customHeight="1" x14ac:dyDescent="0.35">
      <c r="A554" t="s">
        <v>1164</v>
      </c>
      <c r="B554" t="s">
        <v>1165</v>
      </c>
      <c r="C554" t="s">
        <v>51</v>
      </c>
      <c r="D554" t="s">
        <v>50</v>
      </c>
      <c r="E554" s="2">
        <v>64705.87</v>
      </c>
      <c r="F554" s="2"/>
      <c r="G554" s="2"/>
      <c r="H554" s="8" t="str">
        <f t="shared" si="16"/>
        <v/>
      </c>
      <c r="I554" s="10" t="str">
        <f t="shared" si="17"/>
        <v/>
      </c>
      <c r="L554" s="2"/>
      <c r="M554" s="2"/>
      <c r="N554" s="2"/>
    </row>
    <row r="555" spans="1:14" ht="30" customHeight="1" x14ac:dyDescent="0.35">
      <c r="A555" t="s">
        <v>1166</v>
      </c>
      <c r="B555" t="s">
        <v>1167</v>
      </c>
      <c r="C555" t="s">
        <v>19</v>
      </c>
      <c r="D555" t="s">
        <v>18</v>
      </c>
      <c r="E555" s="2">
        <v>1508001.52</v>
      </c>
      <c r="F555" s="2"/>
      <c r="G555" s="2"/>
      <c r="H555" s="8" t="str">
        <f t="shared" si="16"/>
        <v/>
      </c>
      <c r="I555" s="10" t="str">
        <f t="shared" si="17"/>
        <v/>
      </c>
      <c r="L555" s="2"/>
      <c r="M555" s="2"/>
      <c r="N555" s="2"/>
    </row>
    <row r="556" spans="1:14" ht="30" customHeight="1" x14ac:dyDescent="0.35">
      <c r="A556" t="s">
        <v>1168</v>
      </c>
      <c r="B556" t="s">
        <v>1169</v>
      </c>
      <c r="C556" t="s">
        <v>465</v>
      </c>
      <c r="D556" t="s">
        <v>464</v>
      </c>
      <c r="E556" s="2">
        <v>322953</v>
      </c>
      <c r="F556" s="2">
        <v>8145000.1100000003</v>
      </c>
      <c r="G556" s="2">
        <v>332987.59999999998</v>
      </c>
      <c r="H556" s="8">
        <f t="shared" ref="H556:H616" si="18">IF(ISBLANK(F556), "",(F556+G556))</f>
        <v>8477987.7100000009</v>
      </c>
      <c r="I556" s="10">
        <f t="shared" ref="I556:I616" si="19">IF(ISBLANK(F556), "", E556/H556)</f>
        <v>3.809311962307621E-2</v>
      </c>
      <c r="L556" s="2"/>
      <c r="M556" s="2"/>
      <c r="N556" s="2"/>
    </row>
    <row r="557" spans="1:14" ht="30" customHeight="1" x14ac:dyDescent="0.35">
      <c r="A557" t="s">
        <v>1170</v>
      </c>
      <c r="B557" t="s">
        <v>1171</v>
      </c>
      <c r="C557" t="s">
        <v>2259</v>
      </c>
      <c r="D557" t="s">
        <v>713</v>
      </c>
      <c r="E557" s="2">
        <v>12026.14</v>
      </c>
      <c r="F557" s="2"/>
      <c r="G557" s="2"/>
      <c r="H557" s="8" t="str">
        <f t="shared" si="18"/>
        <v/>
      </c>
      <c r="I557" s="10" t="str">
        <f t="shared" si="19"/>
        <v/>
      </c>
      <c r="L557" s="2"/>
      <c r="M557" s="2"/>
      <c r="N557" s="2"/>
    </row>
    <row r="558" spans="1:14" ht="30" customHeight="1" x14ac:dyDescent="0.35">
      <c r="A558" t="s">
        <v>312</v>
      </c>
      <c r="B558" t="s">
        <v>1172</v>
      </c>
      <c r="C558" t="s">
        <v>77</v>
      </c>
      <c r="D558" t="s">
        <v>76</v>
      </c>
      <c r="E558" s="2">
        <v>1488013.7</v>
      </c>
      <c r="F558" s="2"/>
      <c r="G558" s="2"/>
      <c r="H558" s="8" t="str">
        <f t="shared" si="18"/>
        <v/>
      </c>
      <c r="I558" s="10" t="str">
        <f t="shared" si="19"/>
        <v/>
      </c>
      <c r="L558" s="2"/>
      <c r="M558" s="2"/>
      <c r="N558" s="2"/>
    </row>
    <row r="559" spans="1:14" ht="30" customHeight="1" x14ac:dyDescent="0.35">
      <c r="A559" t="s">
        <v>1173</v>
      </c>
      <c r="B559" t="s">
        <v>1174</v>
      </c>
      <c r="C559" t="s">
        <v>2263</v>
      </c>
      <c r="D559" t="s">
        <v>1233</v>
      </c>
      <c r="E559" s="2">
        <v>931799.62</v>
      </c>
      <c r="F559" s="2"/>
      <c r="G559" s="2"/>
      <c r="H559" s="8" t="str">
        <f t="shared" si="18"/>
        <v/>
      </c>
      <c r="I559" s="10" t="str">
        <f t="shared" si="19"/>
        <v/>
      </c>
      <c r="L559" s="2"/>
      <c r="M559" s="2"/>
      <c r="N559" s="2"/>
    </row>
    <row r="560" spans="1:14" ht="30" customHeight="1" x14ac:dyDescent="0.35">
      <c r="A560" t="s">
        <v>1175</v>
      </c>
      <c r="B560" t="s">
        <v>1176</v>
      </c>
      <c r="C560" t="s">
        <v>2263</v>
      </c>
      <c r="D560" t="s">
        <v>1233</v>
      </c>
      <c r="E560" s="2">
        <v>1041663.05</v>
      </c>
      <c r="F560" s="2"/>
      <c r="G560" s="2"/>
      <c r="H560" s="8" t="str">
        <f t="shared" si="18"/>
        <v/>
      </c>
      <c r="I560" s="10" t="str">
        <f t="shared" si="19"/>
        <v/>
      </c>
      <c r="L560" s="2"/>
      <c r="M560" s="2"/>
      <c r="N560" s="2"/>
    </row>
    <row r="561" spans="1:14" ht="30" customHeight="1" x14ac:dyDescent="0.35">
      <c r="A561" t="s">
        <v>1177</v>
      </c>
      <c r="B561" t="s">
        <v>1178</v>
      </c>
      <c r="C561" t="s">
        <v>465</v>
      </c>
      <c r="D561" t="s">
        <v>464</v>
      </c>
      <c r="E561" s="2">
        <v>177093.32</v>
      </c>
      <c r="F561" s="2">
        <v>2631382.7799999998</v>
      </c>
      <c r="G561" s="2">
        <v>300000</v>
      </c>
      <c r="H561" s="8">
        <f t="shared" si="18"/>
        <v>2931382.78</v>
      </c>
      <c r="I561" s="10">
        <f t="shared" si="19"/>
        <v>6.0412894968292073E-2</v>
      </c>
      <c r="L561" s="2"/>
      <c r="M561" s="2"/>
      <c r="N561" s="2"/>
    </row>
    <row r="562" spans="1:14" ht="30" customHeight="1" x14ac:dyDescent="0.35">
      <c r="A562" t="s">
        <v>1179</v>
      </c>
      <c r="B562" t="s">
        <v>1180</v>
      </c>
      <c r="C562" t="s">
        <v>19</v>
      </c>
      <c r="D562" t="s">
        <v>18</v>
      </c>
      <c r="E562" s="2">
        <v>283774.40999999997</v>
      </c>
      <c r="F562" s="2">
        <v>0</v>
      </c>
      <c r="G562" s="2"/>
      <c r="H562" s="8">
        <f t="shared" si="18"/>
        <v>0</v>
      </c>
      <c r="I562" s="10" t="e">
        <f t="shared" si="19"/>
        <v>#DIV/0!</v>
      </c>
      <c r="L562" s="2"/>
      <c r="M562" s="2"/>
      <c r="N562" s="2"/>
    </row>
    <row r="563" spans="1:14" ht="30" customHeight="1" x14ac:dyDescent="0.35">
      <c r="A563" t="s">
        <v>1181</v>
      </c>
      <c r="B563" t="s">
        <v>1182</v>
      </c>
      <c r="C563" t="s">
        <v>77</v>
      </c>
      <c r="D563" t="s">
        <v>76</v>
      </c>
      <c r="E563" s="2">
        <v>402247.98</v>
      </c>
      <c r="F563" s="2"/>
      <c r="G563" s="2"/>
      <c r="H563" s="8" t="str">
        <f t="shared" si="18"/>
        <v/>
      </c>
      <c r="I563" s="10" t="str">
        <f t="shared" si="19"/>
        <v/>
      </c>
      <c r="L563" s="2"/>
      <c r="M563" s="2"/>
      <c r="N563" s="2"/>
    </row>
    <row r="564" spans="1:14" ht="30" customHeight="1" x14ac:dyDescent="0.35">
      <c r="A564" t="s">
        <v>1183</v>
      </c>
      <c r="B564" t="s">
        <v>1184</v>
      </c>
      <c r="C564" t="s">
        <v>2259</v>
      </c>
      <c r="D564" t="s">
        <v>713</v>
      </c>
      <c r="E564" s="2">
        <v>1132158.47</v>
      </c>
      <c r="F564" s="2"/>
      <c r="G564" s="2"/>
      <c r="H564" s="8" t="str">
        <f t="shared" si="18"/>
        <v/>
      </c>
      <c r="I564" s="10" t="str">
        <f t="shared" si="19"/>
        <v/>
      </c>
      <c r="L564" s="2"/>
      <c r="M564" s="2"/>
      <c r="N564" s="2"/>
    </row>
    <row r="565" spans="1:14" ht="30" customHeight="1" x14ac:dyDescent="0.35">
      <c r="A565" t="s">
        <v>1185</v>
      </c>
      <c r="B565" t="s">
        <v>1186</v>
      </c>
      <c r="C565" t="s">
        <v>101</v>
      </c>
      <c r="D565" t="s">
        <v>100</v>
      </c>
      <c r="E565" s="2">
        <v>887231</v>
      </c>
      <c r="F565" s="2">
        <v>332965.44</v>
      </c>
      <c r="G565" s="2">
        <v>150000</v>
      </c>
      <c r="H565" s="8">
        <f t="shared" si="18"/>
        <v>482965.44</v>
      </c>
      <c r="I565" s="10">
        <f t="shared" si="19"/>
        <v>1.8370486302291111</v>
      </c>
      <c r="L565" s="2"/>
      <c r="M565" s="2"/>
      <c r="N565" s="2"/>
    </row>
    <row r="566" spans="1:14" ht="30" customHeight="1" x14ac:dyDescent="0.35">
      <c r="A566" t="s">
        <v>1187</v>
      </c>
      <c r="B566" t="s">
        <v>1188</v>
      </c>
      <c r="C566" t="s">
        <v>2225</v>
      </c>
      <c r="D566" t="s">
        <v>308</v>
      </c>
      <c r="E566" s="2">
        <v>219959.61</v>
      </c>
      <c r="F566" s="2"/>
      <c r="G566" s="2"/>
      <c r="H566" s="8" t="str">
        <f t="shared" si="18"/>
        <v/>
      </c>
      <c r="I566" s="10" t="str">
        <f t="shared" si="19"/>
        <v/>
      </c>
      <c r="L566" s="2"/>
      <c r="M566" s="2"/>
      <c r="N566" s="2"/>
    </row>
    <row r="567" spans="1:14" ht="30" customHeight="1" x14ac:dyDescent="0.35">
      <c r="A567" t="s">
        <v>1189</v>
      </c>
      <c r="B567" t="s">
        <v>1190</v>
      </c>
      <c r="C567" t="s">
        <v>15</v>
      </c>
      <c r="D567" t="s">
        <v>14</v>
      </c>
      <c r="E567" s="2">
        <v>445818.42</v>
      </c>
      <c r="F567" s="2">
        <v>2718268.77</v>
      </c>
      <c r="G567" s="2">
        <v>644641.31000000006</v>
      </c>
      <c r="H567" s="8">
        <f t="shared" si="18"/>
        <v>3362910.08</v>
      </c>
      <c r="I567" s="10">
        <f t="shared" si="19"/>
        <v>0.13256923598742193</v>
      </c>
      <c r="L567" s="2"/>
      <c r="M567" s="2"/>
      <c r="N567" s="2"/>
    </row>
    <row r="568" spans="1:14" ht="30" customHeight="1" x14ac:dyDescent="0.35">
      <c r="A568" t="s">
        <v>1191</v>
      </c>
      <c r="B568" t="s">
        <v>1192</v>
      </c>
      <c r="C568" t="s">
        <v>2263</v>
      </c>
      <c r="D568" t="s">
        <v>1233</v>
      </c>
      <c r="E568" s="2">
        <v>638357.79</v>
      </c>
      <c r="F568" s="2"/>
      <c r="G568" s="2"/>
      <c r="H568" s="8" t="str">
        <f t="shared" si="18"/>
        <v/>
      </c>
      <c r="I568" s="10" t="str">
        <f t="shared" si="19"/>
        <v/>
      </c>
      <c r="L568" s="2"/>
      <c r="M568" s="2"/>
      <c r="N568" s="2"/>
    </row>
    <row r="569" spans="1:14" ht="30" customHeight="1" x14ac:dyDescent="0.35">
      <c r="A569" t="s">
        <v>1193</v>
      </c>
      <c r="B569" t="s">
        <v>1194</v>
      </c>
      <c r="C569" t="s">
        <v>2259</v>
      </c>
      <c r="D569" t="s">
        <v>713</v>
      </c>
      <c r="E569" s="2">
        <v>268419.49</v>
      </c>
      <c r="F569" s="2"/>
      <c r="G569" s="2"/>
      <c r="H569" s="8" t="str">
        <f t="shared" si="18"/>
        <v/>
      </c>
      <c r="I569" s="10" t="str">
        <f t="shared" si="19"/>
        <v/>
      </c>
      <c r="L569" s="2"/>
      <c r="M569" s="2"/>
      <c r="N569" s="2"/>
    </row>
    <row r="570" spans="1:14" ht="30" customHeight="1" x14ac:dyDescent="0.35">
      <c r="A570" t="s">
        <v>1195</v>
      </c>
      <c r="B570" t="s">
        <v>1196</v>
      </c>
      <c r="C570" t="s">
        <v>19</v>
      </c>
      <c r="D570" t="s">
        <v>18</v>
      </c>
      <c r="E570" s="2">
        <v>109241.44</v>
      </c>
      <c r="F570" s="2">
        <v>0</v>
      </c>
      <c r="G570" s="2">
        <v>250000</v>
      </c>
      <c r="H570" s="8">
        <f t="shared" si="18"/>
        <v>250000</v>
      </c>
      <c r="I570" s="10">
        <f t="shared" si="19"/>
        <v>0.43696576000000004</v>
      </c>
      <c r="L570" s="2"/>
      <c r="M570" s="2"/>
      <c r="N570" s="2"/>
    </row>
    <row r="571" spans="1:14" ht="30" customHeight="1" x14ac:dyDescent="0.35">
      <c r="A571" t="s">
        <v>1197</v>
      </c>
      <c r="B571" t="s">
        <v>1198</v>
      </c>
      <c r="C571" t="s">
        <v>385</v>
      </c>
      <c r="D571" t="s">
        <v>384</v>
      </c>
      <c r="E571" s="2">
        <v>29361.29</v>
      </c>
      <c r="F571" s="2">
        <v>0</v>
      </c>
      <c r="G571" s="2">
        <v>149500</v>
      </c>
      <c r="H571" s="8">
        <f t="shared" si="18"/>
        <v>149500</v>
      </c>
      <c r="I571" s="10">
        <f t="shared" si="19"/>
        <v>0.19639658862876255</v>
      </c>
      <c r="L571" s="2"/>
      <c r="M571" s="2"/>
      <c r="N571" s="2"/>
    </row>
    <row r="572" spans="1:14" ht="30" customHeight="1" x14ac:dyDescent="0.35">
      <c r="A572" t="s">
        <v>1199</v>
      </c>
      <c r="B572" t="s">
        <v>1200</v>
      </c>
      <c r="C572" t="s">
        <v>33</v>
      </c>
      <c r="D572" t="s">
        <v>32</v>
      </c>
      <c r="E572" s="2">
        <v>54192.2</v>
      </c>
      <c r="F572" s="2"/>
      <c r="G572" s="2"/>
      <c r="H572" s="8" t="str">
        <f t="shared" si="18"/>
        <v/>
      </c>
      <c r="I572" s="10" t="str">
        <f t="shared" si="19"/>
        <v/>
      </c>
      <c r="L572" s="2"/>
      <c r="M572" s="2"/>
      <c r="N572" s="2"/>
    </row>
    <row r="573" spans="1:14" ht="30" customHeight="1" x14ac:dyDescent="0.35">
      <c r="A573" t="s">
        <v>1201</v>
      </c>
      <c r="B573" t="s">
        <v>1202</v>
      </c>
      <c r="C573" t="s">
        <v>457</v>
      </c>
      <c r="D573" t="s">
        <v>456</v>
      </c>
      <c r="E573" s="2">
        <v>4428462.95</v>
      </c>
      <c r="F573" s="2">
        <v>4193754.55</v>
      </c>
      <c r="G573" s="2">
        <v>2280290.1</v>
      </c>
      <c r="H573" s="8">
        <f t="shared" si="18"/>
        <v>6474044.6500000004</v>
      </c>
      <c r="I573" s="10">
        <f t="shared" si="19"/>
        <v>0.68403342723315941</v>
      </c>
      <c r="L573" s="2"/>
      <c r="M573" s="2"/>
      <c r="N573" s="2"/>
    </row>
    <row r="574" spans="1:14" ht="30" customHeight="1" x14ac:dyDescent="0.35">
      <c r="A574" t="s">
        <v>1203</v>
      </c>
      <c r="B574" t="s">
        <v>1204</v>
      </c>
      <c r="C574" t="s">
        <v>385</v>
      </c>
      <c r="D574" t="s">
        <v>384</v>
      </c>
      <c r="E574" s="2">
        <v>202900.83</v>
      </c>
      <c r="F574" s="2"/>
      <c r="G574" s="2"/>
      <c r="H574" s="8" t="str">
        <f t="shared" si="18"/>
        <v/>
      </c>
      <c r="I574" s="10" t="str">
        <f t="shared" si="19"/>
        <v/>
      </c>
      <c r="L574" s="2"/>
      <c r="M574" s="2"/>
      <c r="N574" s="2"/>
    </row>
    <row r="575" spans="1:14" ht="30" customHeight="1" x14ac:dyDescent="0.35">
      <c r="A575" t="s">
        <v>1205</v>
      </c>
      <c r="B575" t="s">
        <v>1206</v>
      </c>
      <c r="C575" t="s">
        <v>101</v>
      </c>
      <c r="D575" t="s">
        <v>100</v>
      </c>
      <c r="E575" s="2">
        <v>124231.72</v>
      </c>
      <c r="F575" s="2">
        <v>1216371.93</v>
      </c>
      <c r="G575" s="2"/>
      <c r="H575" s="8">
        <f t="shared" si="18"/>
        <v>1216371.93</v>
      </c>
      <c r="I575" s="10">
        <f t="shared" si="19"/>
        <v>0.10213300466412441</v>
      </c>
      <c r="L575" s="2"/>
      <c r="M575" s="2"/>
      <c r="N575" s="2"/>
    </row>
    <row r="576" spans="1:14" ht="30" customHeight="1" x14ac:dyDescent="0.35">
      <c r="A576" t="s">
        <v>1207</v>
      </c>
      <c r="B576" t="s">
        <v>1208</v>
      </c>
      <c r="C576" t="s">
        <v>2266</v>
      </c>
      <c r="D576" t="s">
        <v>1560</v>
      </c>
      <c r="E576" s="2">
        <v>208406.35</v>
      </c>
      <c r="F576" s="2">
        <v>0</v>
      </c>
      <c r="G576" s="2">
        <v>500000</v>
      </c>
      <c r="H576" s="8">
        <f t="shared" si="18"/>
        <v>500000</v>
      </c>
      <c r="I576" s="10">
        <f t="shared" si="19"/>
        <v>0.41681270000000004</v>
      </c>
      <c r="L576" s="2"/>
      <c r="M576" s="2"/>
      <c r="N576" s="2"/>
    </row>
    <row r="577" spans="1:14" ht="30" customHeight="1" x14ac:dyDescent="0.35">
      <c r="A577" t="s">
        <v>1209</v>
      </c>
      <c r="B577" t="s">
        <v>1210</v>
      </c>
      <c r="C577" t="s">
        <v>29</v>
      </c>
      <c r="D577" t="s">
        <v>28</v>
      </c>
      <c r="E577" s="2">
        <v>304746.05</v>
      </c>
      <c r="F577" s="2"/>
      <c r="G577" s="2"/>
      <c r="H577" s="8" t="str">
        <f t="shared" si="18"/>
        <v/>
      </c>
      <c r="I577" s="10" t="str">
        <f t="shared" si="19"/>
        <v/>
      </c>
      <c r="L577" s="2"/>
      <c r="M577" s="2"/>
      <c r="N577" s="2"/>
    </row>
    <row r="578" spans="1:14" ht="30" customHeight="1" x14ac:dyDescent="0.35">
      <c r="A578" t="s">
        <v>1211</v>
      </c>
      <c r="B578" t="s">
        <v>1212</v>
      </c>
      <c r="C578" t="s">
        <v>33</v>
      </c>
      <c r="D578" t="s">
        <v>32</v>
      </c>
      <c r="E578" s="2">
        <v>65242.97</v>
      </c>
      <c r="F578" s="2"/>
      <c r="G578" s="2"/>
      <c r="H578" s="8" t="str">
        <f t="shared" si="18"/>
        <v/>
      </c>
      <c r="I578" s="10" t="str">
        <f t="shared" si="19"/>
        <v/>
      </c>
      <c r="L578" s="2"/>
      <c r="M578" s="2"/>
      <c r="N578" s="2"/>
    </row>
    <row r="579" spans="1:14" ht="30" customHeight="1" x14ac:dyDescent="0.35">
      <c r="A579" t="s">
        <v>1213</v>
      </c>
      <c r="B579" t="s">
        <v>1214</v>
      </c>
      <c r="C579" t="s">
        <v>465</v>
      </c>
      <c r="D579" t="s">
        <v>464</v>
      </c>
      <c r="E579" s="2">
        <v>109634.07</v>
      </c>
      <c r="F579" s="2">
        <v>824116.67</v>
      </c>
      <c r="G579" s="2">
        <v>133500</v>
      </c>
      <c r="H579" s="8">
        <f t="shared" si="18"/>
        <v>957616.67</v>
      </c>
      <c r="I579" s="10">
        <f t="shared" si="19"/>
        <v>0.11448638420214635</v>
      </c>
      <c r="L579" s="2"/>
      <c r="M579" s="2"/>
      <c r="N579" s="2"/>
    </row>
    <row r="580" spans="1:14" ht="30" customHeight="1" x14ac:dyDescent="0.35">
      <c r="A580" t="s">
        <v>1215</v>
      </c>
      <c r="B580" t="s">
        <v>1216</v>
      </c>
      <c r="C580" t="s">
        <v>19</v>
      </c>
      <c r="D580" t="s">
        <v>18</v>
      </c>
      <c r="E580" s="2">
        <v>8305.0499999999993</v>
      </c>
      <c r="F580" s="2">
        <v>0</v>
      </c>
      <c r="G580" s="2">
        <v>500</v>
      </c>
      <c r="H580" s="8">
        <f t="shared" si="18"/>
        <v>500</v>
      </c>
      <c r="I580" s="10">
        <f t="shared" si="19"/>
        <v>16.610099999999999</v>
      </c>
      <c r="L580" s="2"/>
      <c r="M580" s="2"/>
      <c r="N580" s="2"/>
    </row>
    <row r="581" spans="1:14" ht="30" customHeight="1" x14ac:dyDescent="0.35">
      <c r="A581" t="s">
        <v>1217</v>
      </c>
      <c r="B581" t="s">
        <v>1218</v>
      </c>
      <c r="C581" t="s">
        <v>2263</v>
      </c>
      <c r="D581" t="s">
        <v>1233</v>
      </c>
      <c r="E581" s="2">
        <v>222241.71</v>
      </c>
      <c r="F581" s="2"/>
      <c r="G581" s="2"/>
      <c r="H581" s="8" t="str">
        <f t="shared" si="18"/>
        <v/>
      </c>
      <c r="I581" s="10" t="str">
        <f t="shared" si="19"/>
        <v/>
      </c>
      <c r="L581" s="2"/>
      <c r="M581" s="2"/>
      <c r="N581" s="2"/>
    </row>
    <row r="582" spans="1:14" ht="30" customHeight="1" x14ac:dyDescent="0.35">
      <c r="A582" t="s">
        <v>1219</v>
      </c>
      <c r="B582" t="s">
        <v>1220</v>
      </c>
      <c r="C582" t="s">
        <v>29</v>
      </c>
      <c r="D582" t="s">
        <v>28</v>
      </c>
      <c r="E582" s="2">
        <v>1286965.1100000001</v>
      </c>
      <c r="F582" s="2"/>
      <c r="G582" s="2"/>
      <c r="H582" s="8" t="str">
        <f t="shared" si="18"/>
        <v/>
      </c>
      <c r="I582" s="10" t="str">
        <f t="shared" si="19"/>
        <v/>
      </c>
      <c r="L582" s="2"/>
      <c r="M582" s="2"/>
      <c r="N582" s="2"/>
    </row>
    <row r="583" spans="1:14" ht="30" customHeight="1" x14ac:dyDescent="0.35">
      <c r="A583" t="s">
        <v>1221</v>
      </c>
      <c r="B583" t="s">
        <v>1222</v>
      </c>
      <c r="C583" t="s">
        <v>29</v>
      </c>
      <c r="D583" t="s">
        <v>28</v>
      </c>
      <c r="E583" s="2">
        <v>68884.009999999995</v>
      </c>
      <c r="F583" s="2"/>
      <c r="G583" s="2"/>
      <c r="H583" s="8" t="str">
        <f t="shared" si="18"/>
        <v/>
      </c>
      <c r="I583" s="10" t="str">
        <f t="shared" si="19"/>
        <v/>
      </c>
      <c r="L583" s="2"/>
      <c r="M583" s="2"/>
      <c r="N583" s="2"/>
    </row>
    <row r="584" spans="1:14" ht="30" customHeight="1" x14ac:dyDescent="0.35">
      <c r="A584" t="s">
        <v>1223</v>
      </c>
      <c r="B584" t="s">
        <v>1224</v>
      </c>
      <c r="C584" t="s">
        <v>2263</v>
      </c>
      <c r="D584" t="s">
        <v>1233</v>
      </c>
      <c r="E584" s="2">
        <v>59386.33</v>
      </c>
      <c r="F584" s="2"/>
      <c r="G584" s="2"/>
      <c r="H584" s="8" t="str">
        <f t="shared" si="18"/>
        <v/>
      </c>
      <c r="I584" s="10" t="str">
        <f t="shared" si="19"/>
        <v/>
      </c>
      <c r="L584" s="2"/>
      <c r="M584" s="2"/>
      <c r="N584" s="2"/>
    </row>
    <row r="585" spans="1:14" ht="30" customHeight="1" x14ac:dyDescent="0.35">
      <c r="A585" t="s">
        <v>1225</v>
      </c>
      <c r="B585" t="s">
        <v>1226</v>
      </c>
      <c r="C585" t="s">
        <v>33</v>
      </c>
      <c r="D585" t="s">
        <v>32</v>
      </c>
      <c r="E585" s="2">
        <v>257971.91</v>
      </c>
      <c r="F585" s="2"/>
      <c r="G585" s="2"/>
      <c r="H585" s="8" t="str">
        <f t="shared" si="18"/>
        <v/>
      </c>
      <c r="I585" s="10" t="str">
        <f t="shared" si="19"/>
        <v/>
      </c>
      <c r="L585" s="2"/>
      <c r="M585" s="2"/>
      <c r="N585" s="2"/>
    </row>
    <row r="586" spans="1:14" ht="30" customHeight="1" x14ac:dyDescent="0.35">
      <c r="A586" t="s">
        <v>1227</v>
      </c>
      <c r="B586" t="s">
        <v>1228</v>
      </c>
      <c r="C586" t="s">
        <v>51</v>
      </c>
      <c r="D586" t="s">
        <v>50</v>
      </c>
      <c r="E586" s="2">
        <v>65981.240000000005</v>
      </c>
      <c r="F586" s="2"/>
      <c r="G586" s="2"/>
      <c r="H586" s="8" t="str">
        <f t="shared" si="18"/>
        <v/>
      </c>
      <c r="I586" s="10" t="str">
        <f t="shared" si="19"/>
        <v/>
      </c>
      <c r="L586" s="2"/>
      <c r="M586" s="2"/>
      <c r="N586" s="2"/>
    </row>
    <row r="587" spans="1:14" ht="30" customHeight="1" x14ac:dyDescent="0.35">
      <c r="A587" t="s">
        <v>1229</v>
      </c>
      <c r="B587" t="s">
        <v>1230</v>
      </c>
      <c r="C587" t="s">
        <v>29</v>
      </c>
      <c r="D587" t="s">
        <v>28</v>
      </c>
      <c r="E587" s="2">
        <v>14483.28</v>
      </c>
      <c r="F587" s="2"/>
      <c r="G587" s="2"/>
      <c r="H587" s="8" t="str">
        <f t="shared" si="18"/>
        <v/>
      </c>
      <c r="I587" s="10" t="str">
        <f t="shared" si="19"/>
        <v/>
      </c>
      <c r="L587" s="2"/>
      <c r="M587" s="2"/>
      <c r="N587" s="2"/>
    </row>
    <row r="588" spans="1:14" ht="30" customHeight="1" x14ac:dyDescent="0.35">
      <c r="A588" t="s">
        <v>1231</v>
      </c>
      <c r="B588" t="s">
        <v>1232</v>
      </c>
      <c r="C588" t="s">
        <v>29</v>
      </c>
      <c r="D588" t="s">
        <v>28</v>
      </c>
      <c r="E588" s="2">
        <v>1961.45</v>
      </c>
      <c r="F588" s="2"/>
      <c r="G588" s="2"/>
      <c r="H588" s="8" t="str">
        <f t="shared" si="18"/>
        <v/>
      </c>
      <c r="I588" s="10" t="str">
        <f t="shared" si="19"/>
        <v/>
      </c>
      <c r="L588" s="2"/>
      <c r="M588" s="2"/>
      <c r="N588" s="2"/>
    </row>
    <row r="589" spans="1:14" ht="30" customHeight="1" x14ac:dyDescent="0.35">
      <c r="A589" t="s">
        <v>1233</v>
      </c>
      <c r="B589" t="s">
        <v>1234</v>
      </c>
      <c r="C589" t="s">
        <v>51</v>
      </c>
      <c r="D589" t="s">
        <v>50</v>
      </c>
      <c r="E589" s="2">
        <v>843884.11</v>
      </c>
      <c r="F589" s="2"/>
      <c r="G589" s="2"/>
      <c r="H589" s="8" t="str">
        <f t="shared" si="18"/>
        <v/>
      </c>
      <c r="I589" s="10" t="str">
        <f t="shared" si="19"/>
        <v/>
      </c>
      <c r="L589" s="2"/>
      <c r="M589" s="2"/>
      <c r="N589" s="2"/>
    </row>
    <row r="590" spans="1:14" ht="30" customHeight="1" x14ac:dyDescent="0.35">
      <c r="A590" t="s">
        <v>40</v>
      </c>
      <c r="B590" t="s">
        <v>1235</v>
      </c>
      <c r="C590" t="s">
        <v>465</v>
      </c>
      <c r="D590" t="s">
        <v>464</v>
      </c>
      <c r="E590" s="2">
        <v>1003663.04</v>
      </c>
      <c r="F590" s="2">
        <v>7918165.9199999999</v>
      </c>
      <c r="G590" s="2"/>
      <c r="H590" s="8">
        <f t="shared" si="18"/>
        <v>7918165.9199999999</v>
      </c>
      <c r="I590" s="10">
        <f t="shared" si="19"/>
        <v>0.1267544845789238</v>
      </c>
      <c r="L590" s="2"/>
      <c r="M590" s="2"/>
      <c r="N590" s="2"/>
    </row>
    <row r="591" spans="1:14" ht="30" customHeight="1" x14ac:dyDescent="0.35">
      <c r="A591" t="s">
        <v>1236</v>
      </c>
      <c r="B591" t="s">
        <v>1237</v>
      </c>
      <c r="C591" t="s">
        <v>19</v>
      </c>
      <c r="D591" t="s">
        <v>18</v>
      </c>
      <c r="E591" s="2">
        <v>122328.01</v>
      </c>
      <c r="F591" s="2"/>
      <c r="G591" s="2"/>
      <c r="H591" s="8" t="str">
        <f t="shared" si="18"/>
        <v/>
      </c>
      <c r="I591" s="10" t="str">
        <f t="shared" si="19"/>
        <v/>
      </c>
      <c r="L591" s="2"/>
      <c r="M591" s="2"/>
      <c r="N591" s="2"/>
    </row>
    <row r="592" spans="1:14" ht="30" customHeight="1" x14ac:dyDescent="0.35">
      <c r="A592" t="s">
        <v>1238</v>
      </c>
      <c r="B592" t="s">
        <v>1239</v>
      </c>
      <c r="C592" t="s">
        <v>33</v>
      </c>
      <c r="D592" t="s">
        <v>32</v>
      </c>
      <c r="E592" s="2"/>
      <c r="F592" s="2">
        <v>0</v>
      </c>
      <c r="G592" s="2"/>
      <c r="H592" s="8">
        <f t="shared" si="18"/>
        <v>0</v>
      </c>
      <c r="I592" s="10" t="e">
        <f t="shared" si="19"/>
        <v>#DIV/0!</v>
      </c>
      <c r="L592" s="2"/>
      <c r="M592" s="2"/>
      <c r="N592" s="2"/>
    </row>
    <row r="593" spans="1:14" ht="30" customHeight="1" x14ac:dyDescent="0.35">
      <c r="A593" t="s">
        <v>1240</v>
      </c>
      <c r="B593" t="s">
        <v>1241</v>
      </c>
      <c r="C593" t="s">
        <v>2263</v>
      </c>
      <c r="D593" t="s">
        <v>1233</v>
      </c>
      <c r="E593" s="2">
        <v>46559.1</v>
      </c>
      <c r="F593" s="2"/>
      <c r="G593" s="2"/>
      <c r="H593" s="8" t="str">
        <f t="shared" si="18"/>
        <v/>
      </c>
      <c r="I593" s="10" t="str">
        <f t="shared" si="19"/>
        <v/>
      </c>
      <c r="L593" s="2"/>
      <c r="M593" s="2"/>
      <c r="N593" s="2"/>
    </row>
    <row r="594" spans="1:14" ht="30" customHeight="1" x14ac:dyDescent="0.35">
      <c r="A594" t="s">
        <v>1242</v>
      </c>
      <c r="B594" t="s">
        <v>1243</v>
      </c>
      <c r="C594" t="s">
        <v>101</v>
      </c>
      <c r="D594" t="s">
        <v>100</v>
      </c>
      <c r="E594" s="2">
        <v>66832.75</v>
      </c>
      <c r="F594" s="2">
        <v>844246.44</v>
      </c>
      <c r="G594" s="2"/>
      <c r="H594" s="8">
        <f t="shared" si="18"/>
        <v>844246.44</v>
      </c>
      <c r="I594" s="10">
        <f t="shared" si="19"/>
        <v>7.9162608017630504E-2</v>
      </c>
      <c r="L594" s="2"/>
      <c r="M594" s="2"/>
      <c r="N594" s="2"/>
    </row>
    <row r="595" spans="1:14" ht="30" customHeight="1" x14ac:dyDescent="0.35">
      <c r="A595" t="s">
        <v>540</v>
      </c>
      <c r="B595" t="s">
        <v>1244</v>
      </c>
      <c r="C595" t="s">
        <v>213</v>
      </c>
      <c r="D595" t="s">
        <v>212</v>
      </c>
      <c r="E595" s="2">
        <v>33262.239999999998</v>
      </c>
      <c r="F595" s="2">
        <v>551982.77</v>
      </c>
      <c r="G595" s="2"/>
      <c r="H595" s="8">
        <f t="shared" si="18"/>
        <v>551982.77</v>
      </c>
      <c r="I595" s="10">
        <f t="shared" si="19"/>
        <v>6.0259562087418048E-2</v>
      </c>
      <c r="L595" s="2"/>
      <c r="M595" s="2"/>
      <c r="N595" s="2"/>
    </row>
    <row r="596" spans="1:14" ht="30" customHeight="1" x14ac:dyDescent="0.35">
      <c r="A596" t="s">
        <v>1245</v>
      </c>
      <c r="B596" t="s">
        <v>1246</v>
      </c>
      <c r="C596" t="s">
        <v>19</v>
      </c>
      <c r="D596" t="s">
        <v>18</v>
      </c>
      <c r="E596" s="2">
        <v>23620.32</v>
      </c>
      <c r="F596" s="2"/>
      <c r="G596" s="2"/>
      <c r="H596" s="8" t="str">
        <f t="shared" si="18"/>
        <v/>
      </c>
      <c r="I596" s="10" t="str">
        <f t="shared" si="19"/>
        <v/>
      </c>
      <c r="L596" s="2"/>
      <c r="M596" s="2"/>
      <c r="N596" s="2"/>
    </row>
    <row r="597" spans="1:14" ht="30" customHeight="1" x14ac:dyDescent="0.35">
      <c r="A597" t="s">
        <v>1247</v>
      </c>
      <c r="B597" t="s">
        <v>1248</v>
      </c>
      <c r="C597" t="s">
        <v>19</v>
      </c>
      <c r="D597" t="s">
        <v>18</v>
      </c>
      <c r="E597" s="2">
        <v>644.73</v>
      </c>
      <c r="F597" s="2"/>
      <c r="G597" s="2"/>
      <c r="H597" s="8" t="str">
        <f t="shared" si="18"/>
        <v/>
      </c>
      <c r="I597" s="10" t="str">
        <f t="shared" si="19"/>
        <v/>
      </c>
      <c r="L597" s="2"/>
      <c r="M597" s="2"/>
      <c r="N597" s="2"/>
    </row>
    <row r="598" spans="1:14" ht="30" customHeight="1" x14ac:dyDescent="0.35">
      <c r="A598" t="s">
        <v>1249</v>
      </c>
      <c r="B598" t="s">
        <v>1250</v>
      </c>
      <c r="C598" t="s">
        <v>51</v>
      </c>
      <c r="D598" t="s">
        <v>50</v>
      </c>
      <c r="E598" s="2"/>
      <c r="F598" s="2">
        <v>29454.45</v>
      </c>
      <c r="G598" s="2"/>
      <c r="H598" s="8">
        <f t="shared" si="18"/>
        <v>29454.45</v>
      </c>
      <c r="I598" s="10">
        <f t="shared" si="19"/>
        <v>0</v>
      </c>
      <c r="L598" s="2"/>
      <c r="M598" s="2"/>
      <c r="N598" s="2"/>
    </row>
    <row r="599" spans="1:14" ht="30" customHeight="1" x14ac:dyDescent="0.35">
      <c r="A599" t="s">
        <v>1251</v>
      </c>
      <c r="B599" t="s">
        <v>1252</v>
      </c>
      <c r="C599" t="s">
        <v>29</v>
      </c>
      <c r="D599" t="s">
        <v>28</v>
      </c>
      <c r="E599" s="2">
        <v>31626.58</v>
      </c>
      <c r="F599" s="2"/>
      <c r="G599" s="2"/>
      <c r="H599" s="8" t="str">
        <f t="shared" si="18"/>
        <v/>
      </c>
      <c r="I599" s="10" t="str">
        <f t="shared" si="19"/>
        <v/>
      </c>
      <c r="L599" s="2"/>
      <c r="M599" s="2"/>
      <c r="N599" s="2"/>
    </row>
    <row r="600" spans="1:14" ht="30" customHeight="1" x14ac:dyDescent="0.35">
      <c r="A600" t="s">
        <v>108</v>
      </c>
      <c r="B600" t="s">
        <v>1253</v>
      </c>
      <c r="C600" t="s">
        <v>121</v>
      </c>
      <c r="D600" t="s">
        <v>120</v>
      </c>
      <c r="E600" s="2"/>
      <c r="F600" s="2">
        <v>0</v>
      </c>
      <c r="G600" s="2"/>
      <c r="H600" s="8">
        <f t="shared" si="18"/>
        <v>0</v>
      </c>
      <c r="I600" s="10" t="e">
        <f t="shared" si="19"/>
        <v>#DIV/0!</v>
      </c>
      <c r="L600" s="2"/>
      <c r="M600" s="2"/>
      <c r="N600" s="2"/>
    </row>
    <row r="601" spans="1:14" ht="30" customHeight="1" x14ac:dyDescent="0.35">
      <c r="A601" t="s">
        <v>1254</v>
      </c>
      <c r="B601" t="s">
        <v>1255</v>
      </c>
      <c r="C601" t="s">
        <v>253</v>
      </c>
      <c r="D601" t="s">
        <v>252</v>
      </c>
      <c r="E601" s="2">
        <v>17987.099999999999</v>
      </c>
      <c r="F601" s="2">
        <v>1459976.18</v>
      </c>
      <c r="G601" s="2"/>
      <c r="H601" s="8">
        <f t="shared" si="18"/>
        <v>1459976.18</v>
      </c>
      <c r="I601" s="10">
        <f t="shared" si="19"/>
        <v>1.2320132510655071E-2</v>
      </c>
      <c r="L601" s="2"/>
      <c r="M601" s="2"/>
      <c r="N601" s="2"/>
    </row>
    <row r="602" spans="1:14" ht="30" customHeight="1" x14ac:dyDescent="0.35">
      <c r="A602" t="s">
        <v>1256</v>
      </c>
      <c r="B602" t="s">
        <v>1257</v>
      </c>
      <c r="C602" t="s">
        <v>41</v>
      </c>
      <c r="D602" t="s">
        <v>40</v>
      </c>
      <c r="E602" s="2">
        <v>100261.28</v>
      </c>
      <c r="F602" s="2">
        <v>75070.83</v>
      </c>
      <c r="G602" s="2"/>
      <c r="H602" s="8">
        <f t="shared" si="18"/>
        <v>75070.83</v>
      </c>
      <c r="I602" s="10">
        <f t="shared" si="19"/>
        <v>1.3355557677995566</v>
      </c>
      <c r="L602" s="2"/>
      <c r="M602" s="2"/>
      <c r="N602" s="2"/>
    </row>
    <row r="603" spans="1:14" ht="30" customHeight="1" x14ac:dyDescent="0.35">
      <c r="A603" t="s">
        <v>1258</v>
      </c>
      <c r="B603" t="s">
        <v>1259</v>
      </c>
      <c r="C603" t="s">
        <v>41</v>
      </c>
      <c r="D603" t="s">
        <v>40</v>
      </c>
      <c r="E603" s="2">
        <v>56837.25</v>
      </c>
      <c r="F603" s="2">
        <v>449844.43</v>
      </c>
      <c r="G603" s="2"/>
      <c r="H603" s="8">
        <f t="shared" si="18"/>
        <v>449844.43</v>
      </c>
      <c r="I603" s="10">
        <f t="shared" si="19"/>
        <v>0.12634868014259953</v>
      </c>
      <c r="L603" s="2"/>
      <c r="M603" s="2"/>
      <c r="N603" s="2"/>
    </row>
    <row r="604" spans="1:14" ht="30" customHeight="1" x14ac:dyDescent="0.35">
      <c r="A604" t="s">
        <v>1260</v>
      </c>
      <c r="B604" t="s">
        <v>1261</v>
      </c>
      <c r="C604" t="s">
        <v>51</v>
      </c>
      <c r="D604" t="s">
        <v>50</v>
      </c>
      <c r="E604" s="2">
        <v>397113.86</v>
      </c>
      <c r="F604" s="2">
        <v>0</v>
      </c>
      <c r="G604" s="2">
        <v>2000</v>
      </c>
      <c r="H604" s="8">
        <f t="shared" si="18"/>
        <v>2000</v>
      </c>
      <c r="I604" s="10">
        <f t="shared" si="19"/>
        <v>198.55692999999999</v>
      </c>
      <c r="L604" s="2"/>
      <c r="M604" s="2"/>
      <c r="N604" s="2"/>
    </row>
    <row r="605" spans="1:14" ht="30" customHeight="1" x14ac:dyDescent="0.35">
      <c r="A605" t="s">
        <v>1262</v>
      </c>
      <c r="B605" t="s">
        <v>1263</v>
      </c>
      <c r="C605" t="s">
        <v>259</v>
      </c>
      <c r="D605" t="s">
        <v>258</v>
      </c>
      <c r="E605" s="2">
        <v>1488</v>
      </c>
      <c r="F605" s="2">
        <v>466923.07</v>
      </c>
      <c r="G605" s="2"/>
      <c r="H605" s="8">
        <f t="shared" si="18"/>
        <v>466923.07</v>
      </c>
      <c r="I605" s="10">
        <f t="shared" si="19"/>
        <v>3.1868204755871239E-3</v>
      </c>
      <c r="L605" s="2"/>
      <c r="M605" s="2"/>
      <c r="N605" s="2"/>
    </row>
    <row r="606" spans="1:14" ht="30" customHeight="1" x14ac:dyDescent="0.35">
      <c r="A606" t="s">
        <v>1264</v>
      </c>
      <c r="B606" t="s">
        <v>1265</v>
      </c>
      <c r="C606" t="s">
        <v>2238</v>
      </c>
      <c r="D606" t="s">
        <v>2239</v>
      </c>
      <c r="E606" s="2">
        <v>84.82</v>
      </c>
      <c r="F606" s="2">
        <v>88272.27</v>
      </c>
      <c r="G606" s="2"/>
      <c r="H606" s="8">
        <f t="shared" si="18"/>
        <v>88272.27</v>
      </c>
      <c r="I606" s="10">
        <f t="shared" si="19"/>
        <v>9.6089066249230922E-4</v>
      </c>
      <c r="L606" s="2"/>
      <c r="M606" s="2"/>
      <c r="N606" s="2"/>
    </row>
    <row r="607" spans="1:14" ht="30" customHeight="1" x14ac:dyDescent="0.35">
      <c r="A607" t="s">
        <v>1266</v>
      </c>
      <c r="B607" t="s">
        <v>1267</v>
      </c>
      <c r="C607" t="s">
        <v>15</v>
      </c>
      <c r="D607" t="s">
        <v>14</v>
      </c>
      <c r="E607" s="2">
        <v>340540.03</v>
      </c>
      <c r="F607" s="2">
        <v>1954987.55</v>
      </c>
      <c r="G607" s="2">
        <v>1045012.45</v>
      </c>
      <c r="H607" s="8">
        <f t="shared" si="18"/>
        <v>3000000</v>
      </c>
      <c r="I607" s="10">
        <f t="shared" si="19"/>
        <v>0.11351334333333334</v>
      </c>
      <c r="L607" s="2"/>
      <c r="M607" s="2"/>
      <c r="N607" s="2"/>
    </row>
    <row r="608" spans="1:14" ht="30" customHeight="1" x14ac:dyDescent="0.35">
      <c r="A608" t="s">
        <v>66</v>
      </c>
      <c r="B608" t="s">
        <v>1268</v>
      </c>
      <c r="C608" t="s">
        <v>101</v>
      </c>
      <c r="D608" t="s">
        <v>100</v>
      </c>
      <c r="E608" s="2">
        <v>33066.81</v>
      </c>
      <c r="F608" s="2">
        <v>673549.25</v>
      </c>
      <c r="G608" s="2">
        <v>312148.68</v>
      </c>
      <c r="H608" s="8">
        <f t="shared" si="18"/>
        <v>985697.92999999993</v>
      </c>
      <c r="I608" s="10">
        <f t="shared" si="19"/>
        <v>3.3546595760833138E-2</v>
      </c>
      <c r="L608" s="2"/>
      <c r="M608" s="2"/>
      <c r="N608" s="2"/>
    </row>
    <row r="609" spans="1:14" ht="30" customHeight="1" x14ac:dyDescent="0.35">
      <c r="A609" t="s">
        <v>184</v>
      </c>
      <c r="B609" t="s">
        <v>1269</v>
      </c>
      <c r="C609" t="s">
        <v>2262</v>
      </c>
      <c r="D609" t="s">
        <v>1518</v>
      </c>
      <c r="E609" s="2">
        <v>44878.080000000002</v>
      </c>
      <c r="F609" s="2"/>
      <c r="G609" s="2"/>
      <c r="H609" s="8" t="str">
        <f t="shared" si="18"/>
        <v/>
      </c>
      <c r="I609" s="10" t="str">
        <f t="shared" si="19"/>
        <v/>
      </c>
      <c r="L609" s="2"/>
      <c r="M609" s="2"/>
      <c r="N609" s="2"/>
    </row>
    <row r="610" spans="1:14" ht="30" customHeight="1" x14ac:dyDescent="0.35">
      <c r="A610" t="s">
        <v>1270</v>
      </c>
      <c r="B610" t="s">
        <v>1271</v>
      </c>
      <c r="C610" t="s">
        <v>2225</v>
      </c>
      <c r="D610" t="s">
        <v>308</v>
      </c>
      <c r="E610" s="2">
        <v>59998.14</v>
      </c>
      <c r="F610" s="2"/>
      <c r="G610" s="2"/>
      <c r="H610" s="8" t="str">
        <f t="shared" si="18"/>
        <v/>
      </c>
      <c r="I610" s="10" t="str">
        <f t="shared" si="19"/>
        <v/>
      </c>
      <c r="L610" s="2"/>
      <c r="M610" s="2"/>
      <c r="N610" s="2"/>
    </row>
    <row r="611" spans="1:14" ht="30" customHeight="1" x14ac:dyDescent="0.35">
      <c r="A611" t="s">
        <v>2226</v>
      </c>
      <c r="B611" t="s">
        <v>2227</v>
      </c>
      <c r="C611" t="s">
        <v>2225</v>
      </c>
      <c r="D611" t="s">
        <v>308</v>
      </c>
      <c r="E611" s="2">
        <v>614.37</v>
      </c>
      <c r="F611" s="2">
        <v>25316.78</v>
      </c>
      <c r="G611" s="2"/>
      <c r="H611" s="8">
        <f t="shared" si="18"/>
        <v>25316.78</v>
      </c>
      <c r="I611" s="10">
        <f t="shared" si="19"/>
        <v>2.4267304135834021E-2</v>
      </c>
      <c r="L611" s="2"/>
      <c r="M611" s="2"/>
      <c r="N611" s="2"/>
    </row>
    <row r="612" spans="1:14" ht="30" customHeight="1" x14ac:dyDescent="0.35">
      <c r="A612" t="s">
        <v>1272</v>
      </c>
      <c r="B612" t="s">
        <v>1273</v>
      </c>
      <c r="C612" t="s">
        <v>101</v>
      </c>
      <c r="D612" t="s">
        <v>100</v>
      </c>
      <c r="E612" s="2">
        <v>172400.79</v>
      </c>
      <c r="F612" s="2">
        <v>1500966.68</v>
      </c>
      <c r="G612" s="2"/>
      <c r="H612" s="8">
        <f t="shared" si="18"/>
        <v>1500966.68</v>
      </c>
      <c r="I612" s="10">
        <f t="shared" si="19"/>
        <v>0.11485983819440949</v>
      </c>
      <c r="L612" s="2"/>
      <c r="M612" s="2"/>
      <c r="N612" s="2"/>
    </row>
    <row r="613" spans="1:14" ht="30" customHeight="1" x14ac:dyDescent="0.35">
      <c r="A613" t="s">
        <v>619</v>
      </c>
      <c r="B613" t="s">
        <v>1274</v>
      </c>
      <c r="C613" t="s">
        <v>2266</v>
      </c>
      <c r="D613" t="s">
        <v>1560</v>
      </c>
      <c r="E613" s="2">
        <v>3095676.62</v>
      </c>
      <c r="F613" s="2"/>
      <c r="G613" s="2"/>
      <c r="H613" s="8" t="str">
        <f t="shared" si="18"/>
        <v/>
      </c>
      <c r="I613" s="10" t="str">
        <f t="shared" si="19"/>
        <v/>
      </c>
      <c r="L613" s="2"/>
      <c r="M613" s="2"/>
      <c r="N613" s="2"/>
    </row>
    <row r="614" spans="1:14" ht="30" customHeight="1" x14ac:dyDescent="0.35">
      <c r="A614" t="s">
        <v>1275</v>
      </c>
      <c r="B614" t="s">
        <v>1276</v>
      </c>
      <c r="C614" t="s">
        <v>2225</v>
      </c>
      <c r="D614" t="s">
        <v>308</v>
      </c>
      <c r="E614" s="2">
        <v>10209.74</v>
      </c>
      <c r="F614" s="2">
        <v>79312.52</v>
      </c>
      <c r="G614" s="2"/>
      <c r="H614" s="8">
        <f t="shared" si="18"/>
        <v>79312.52</v>
      </c>
      <c r="I614" s="10">
        <f t="shared" si="19"/>
        <v>0.12872797384322171</v>
      </c>
      <c r="L614" s="2"/>
      <c r="M614" s="2"/>
      <c r="N614" s="2"/>
    </row>
    <row r="615" spans="1:14" ht="30" customHeight="1" x14ac:dyDescent="0.35">
      <c r="A615" t="s">
        <v>1277</v>
      </c>
      <c r="B615" t="s">
        <v>1278</v>
      </c>
      <c r="C615" t="s">
        <v>465</v>
      </c>
      <c r="D615" t="s">
        <v>464</v>
      </c>
      <c r="E615" s="2">
        <v>238.64</v>
      </c>
      <c r="F615" s="2">
        <v>428548.12</v>
      </c>
      <c r="G615" s="2"/>
      <c r="H615" s="8">
        <f t="shared" si="18"/>
        <v>428548.12</v>
      </c>
      <c r="I615" s="10">
        <f t="shared" si="19"/>
        <v>5.5685695226011028E-4</v>
      </c>
      <c r="L615" s="2"/>
      <c r="M615" s="2"/>
      <c r="N615" s="2"/>
    </row>
    <row r="616" spans="1:14" ht="30" customHeight="1" x14ac:dyDescent="0.35">
      <c r="A616" t="s">
        <v>1279</v>
      </c>
      <c r="B616" t="s">
        <v>1280</v>
      </c>
      <c r="C616" t="s">
        <v>51</v>
      </c>
      <c r="D616" t="s">
        <v>50</v>
      </c>
      <c r="E616" s="2"/>
      <c r="F616" s="2">
        <v>34677.22</v>
      </c>
      <c r="G616" s="2"/>
      <c r="H616" s="8">
        <f t="shared" si="18"/>
        <v>34677.22</v>
      </c>
      <c r="I616" s="10">
        <f t="shared" si="19"/>
        <v>0</v>
      </c>
      <c r="L616" s="2"/>
      <c r="M616" s="2"/>
      <c r="N616" s="2"/>
    </row>
    <row r="617" spans="1:14" ht="30" customHeight="1" x14ac:dyDescent="0.35">
      <c r="A617" t="s">
        <v>1281</v>
      </c>
      <c r="B617" t="s">
        <v>1282</v>
      </c>
      <c r="C617" t="s">
        <v>19</v>
      </c>
      <c r="D617" t="s">
        <v>18</v>
      </c>
      <c r="E617" s="2">
        <v>46247.75</v>
      </c>
      <c r="F617" s="2"/>
      <c r="G617" s="2"/>
      <c r="H617" s="8" t="str">
        <f t="shared" ref="H617:H679" si="20">IF(ISBLANK(F617), "",(F617+G617))</f>
        <v/>
      </c>
      <c r="I617" s="10" t="str">
        <f t="shared" ref="I617:I679" si="21">IF(ISBLANK(F617), "", E617/H617)</f>
        <v/>
      </c>
      <c r="L617" s="2"/>
      <c r="M617" s="2"/>
      <c r="N617" s="2"/>
    </row>
    <row r="618" spans="1:14" ht="30" customHeight="1" x14ac:dyDescent="0.35">
      <c r="A618" t="s">
        <v>1283</v>
      </c>
      <c r="B618" t="s">
        <v>1284</v>
      </c>
      <c r="C618" t="s">
        <v>15</v>
      </c>
      <c r="D618" t="s">
        <v>14</v>
      </c>
      <c r="E618" s="2">
        <v>24440.98</v>
      </c>
      <c r="F618" s="2">
        <v>4578833.88</v>
      </c>
      <c r="G618" s="2"/>
      <c r="H618" s="8">
        <f t="shared" si="20"/>
        <v>4578833.88</v>
      </c>
      <c r="I618" s="10">
        <f t="shared" si="21"/>
        <v>5.3378175842448338E-3</v>
      </c>
      <c r="L618" s="2"/>
      <c r="M618" s="2"/>
      <c r="N618" s="2"/>
    </row>
    <row r="619" spans="1:14" ht="30" customHeight="1" x14ac:dyDescent="0.35">
      <c r="A619" t="s">
        <v>1285</v>
      </c>
      <c r="B619" t="s">
        <v>1286</v>
      </c>
      <c r="C619" t="s">
        <v>15</v>
      </c>
      <c r="D619" t="s">
        <v>14</v>
      </c>
      <c r="E619" s="2">
        <v>53892.19</v>
      </c>
      <c r="F619" s="2">
        <v>2634496</v>
      </c>
      <c r="G619" s="2">
        <v>185975</v>
      </c>
      <c r="H619" s="8">
        <f t="shared" si="20"/>
        <v>2820471</v>
      </c>
      <c r="I619" s="10">
        <f t="shared" si="21"/>
        <v>1.9107514312325848E-2</v>
      </c>
      <c r="L619" s="2"/>
      <c r="M619" s="2"/>
      <c r="N619" s="2"/>
    </row>
    <row r="620" spans="1:14" ht="30" customHeight="1" x14ac:dyDescent="0.35">
      <c r="A620" t="s">
        <v>1287</v>
      </c>
      <c r="B620" t="s">
        <v>1288</v>
      </c>
      <c r="C620" t="s">
        <v>41</v>
      </c>
      <c r="D620" t="s">
        <v>40</v>
      </c>
      <c r="E620" s="2">
        <v>14413.08</v>
      </c>
      <c r="F620" s="2">
        <v>55538.62</v>
      </c>
      <c r="G620" s="2"/>
      <c r="H620" s="8">
        <f t="shared" si="20"/>
        <v>55538.62</v>
      </c>
      <c r="I620" s="10">
        <f t="shared" si="21"/>
        <v>0.25951455041554866</v>
      </c>
      <c r="L620" s="2"/>
      <c r="M620" s="2"/>
      <c r="N620" s="2"/>
    </row>
    <row r="621" spans="1:14" ht="30" customHeight="1" x14ac:dyDescent="0.35">
      <c r="A621" t="s">
        <v>1289</v>
      </c>
      <c r="B621" t="s">
        <v>1290</v>
      </c>
      <c r="C621" t="s">
        <v>2273</v>
      </c>
      <c r="D621" t="s">
        <v>1552</v>
      </c>
      <c r="E621" s="2">
        <v>384043.9</v>
      </c>
      <c r="F621" s="2">
        <v>2585264.0099999998</v>
      </c>
      <c r="G621" s="2">
        <v>420000</v>
      </c>
      <c r="H621" s="8">
        <f t="shared" si="20"/>
        <v>3005264.01</v>
      </c>
      <c r="I621" s="10">
        <f t="shared" si="21"/>
        <v>0.12779040334629371</v>
      </c>
      <c r="L621" s="2"/>
      <c r="M621" s="2"/>
      <c r="N621" s="2"/>
    </row>
    <row r="622" spans="1:14" ht="30" customHeight="1" x14ac:dyDescent="0.35">
      <c r="A622" t="s">
        <v>1291</v>
      </c>
      <c r="B622" t="s">
        <v>1292</v>
      </c>
      <c r="C622" t="s">
        <v>2224</v>
      </c>
      <c r="D622" t="s">
        <v>1673</v>
      </c>
      <c r="E622" s="2"/>
      <c r="F622" s="2">
        <v>340845.16</v>
      </c>
      <c r="G622" s="2"/>
      <c r="H622" s="8">
        <f t="shared" si="20"/>
        <v>340845.16</v>
      </c>
      <c r="I622" s="10">
        <f t="shared" si="21"/>
        <v>0</v>
      </c>
      <c r="L622" s="2"/>
      <c r="M622" s="2"/>
      <c r="N622" s="2"/>
    </row>
    <row r="623" spans="1:14" ht="30" customHeight="1" x14ac:dyDescent="0.35">
      <c r="A623" t="s">
        <v>1293</v>
      </c>
      <c r="B623" t="s">
        <v>1294</v>
      </c>
      <c r="C623" t="s">
        <v>253</v>
      </c>
      <c r="D623" t="s">
        <v>252</v>
      </c>
      <c r="E623" s="2">
        <v>75386.94</v>
      </c>
      <c r="F623" s="2">
        <v>1973572.81</v>
      </c>
      <c r="G623" s="2"/>
      <c r="H623" s="8">
        <f t="shared" si="20"/>
        <v>1973572.81</v>
      </c>
      <c r="I623" s="10">
        <f t="shared" si="21"/>
        <v>3.8198205618773191E-2</v>
      </c>
      <c r="L623" s="2"/>
      <c r="M623" s="2"/>
      <c r="N623" s="2"/>
    </row>
    <row r="624" spans="1:14" ht="30" customHeight="1" x14ac:dyDescent="0.35">
      <c r="A624" t="s">
        <v>1295</v>
      </c>
      <c r="B624" t="s">
        <v>1296</v>
      </c>
      <c r="C624" t="s">
        <v>19</v>
      </c>
      <c r="D624" t="s">
        <v>18</v>
      </c>
      <c r="E624" s="2"/>
      <c r="F624" s="2">
        <v>294435.69</v>
      </c>
      <c r="G624" s="2">
        <v>1564.31</v>
      </c>
      <c r="H624" s="8">
        <f t="shared" si="20"/>
        <v>296000</v>
      </c>
      <c r="I624" s="10">
        <f t="shared" si="21"/>
        <v>0</v>
      </c>
      <c r="L624" s="2"/>
      <c r="M624" s="2"/>
      <c r="N624" s="2"/>
    </row>
    <row r="625" spans="1:14" ht="30" customHeight="1" x14ac:dyDescent="0.35">
      <c r="A625" t="s">
        <v>2330</v>
      </c>
      <c r="B625" t="s">
        <v>2331</v>
      </c>
      <c r="C625" t="s">
        <v>457</v>
      </c>
      <c r="D625" t="s">
        <v>456</v>
      </c>
      <c r="E625" s="2">
        <v>20808.099999999999</v>
      </c>
      <c r="F625" s="2">
        <v>794835.93</v>
      </c>
      <c r="G625" s="2"/>
      <c r="H625" s="8">
        <f t="shared" si="20"/>
        <v>794835.93</v>
      </c>
      <c r="I625" s="10">
        <f t="shared" si="21"/>
        <v>2.6179113468109069E-2</v>
      </c>
      <c r="L625" s="2"/>
      <c r="M625" s="2"/>
      <c r="N625" s="2"/>
    </row>
    <row r="626" spans="1:14" ht="30" customHeight="1" x14ac:dyDescent="0.35">
      <c r="A626" t="s">
        <v>1297</v>
      </c>
      <c r="B626" t="s">
        <v>1298</v>
      </c>
      <c r="C626" t="s">
        <v>51</v>
      </c>
      <c r="D626" t="s">
        <v>50</v>
      </c>
      <c r="E626" s="2">
        <v>226266.47</v>
      </c>
      <c r="F626" s="2"/>
      <c r="G626" s="2"/>
      <c r="H626" s="8" t="str">
        <f t="shared" si="20"/>
        <v/>
      </c>
      <c r="I626" s="10" t="str">
        <f t="shared" si="21"/>
        <v/>
      </c>
      <c r="L626" s="2"/>
      <c r="M626" s="2"/>
      <c r="N626" s="2"/>
    </row>
    <row r="627" spans="1:14" ht="30" customHeight="1" x14ac:dyDescent="0.35">
      <c r="A627" t="s">
        <v>1299</v>
      </c>
      <c r="B627" t="s">
        <v>1300</v>
      </c>
      <c r="C627" t="s">
        <v>15</v>
      </c>
      <c r="D627" t="s">
        <v>14</v>
      </c>
      <c r="E627" s="2">
        <v>442439.1</v>
      </c>
      <c r="F627" s="2">
        <v>2451727.7400000002</v>
      </c>
      <c r="G627" s="2">
        <v>250000</v>
      </c>
      <c r="H627" s="8">
        <f t="shared" si="20"/>
        <v>2701727.74</v>
      </c>
      <c r="I627" s="10">
        <f t="shared" si="21"/>
        <v>0.16376154171626484</v>
      </c>
      <c r="L627" s="2"/>
      <c r="M627" s="2"/>
      <c r="N627" s="2"/>
    </row>
    <row r="628" spans="1:14" ht="30" customHeight="1" x14ac:dyDescent="0.35">
      <c r="A628" t="s">
        <v>1301</v>
      </c>
      <c r="B628" t="s">
        <v>1302</v>
      </c>
      <c r="C628" t="s">
        <v>2273</v>
      </c>
      <c r="D628" t="s">
        <v>1552</v>
      </c>
      <c r="E628" s="2">
        <v>4393685.1500000004</v>
      </c>
      <c r="F628" s="2">
        <v>850116.48</v>
      </c>
      <c r="G628" s="2">
        <v>7099883.5199999996</v>
      </c>
      <c r="H628" s="8">
        <f t="shared" si="20"/>
        <v>7950000</v>
      </c>
      <c r="I628" s="10">
        <f t="shared" si="21"/>
        <v>0.55266479874213836</v>
      </c>
      <c r="L628" s="2"/>
      <c r="M628" s="2"/>
      <c r="N628" s="2"/>
    </row>
    <row r="629" spans="1:14" ht="30" customHeight="1" x14ac:dyDescent="0.35">
      <c r="A629" t="s">
        <v>1303</v>
      </c>
      <c r="B629" t="s">
        <v>1304</v>
      </c>
      <c r="C629" t="s">
        <v>213</v>
      </c>
      <c r="D629" t="s">
        <v>212</v>
      </c>
      <c r="E629" s="2">
        <v>-12224.04</v>
      </c>
      <c r="F629" s="2">
        <v>8721833.9299999997</v>
      </c>
      <c r="G629" s="2">
        <v>0</v>
      </c>
      <c r="H629" s="8">
        <f t="shared" si="20"/>
        <v>8721833.9299999997</v>
      </c>
      <c r="I629" s="10">
        <f t="shared" si="21"/>
        <v>-1.4015446863707942E-3</v>
      </c>
      <c r="L629" s="2"/>
      <c r="M629" s="2"/>
      <c r="N629" s="2"/>
    </row>
    <row r="630" spans="1:14" ht="30" customHeight="1" x14ac:dyDescent="0.35">
      <c r="A630" t="s">
        <v>1305</v>
      </c>
      <c r="B630" t="s">
        <v>1306</v>
      </c>
      <c r="C630" t="s">
        <v>457</v>
      </c>
      <c r="D630" t="s">
        <v>456</v>
      </c>
      <c r="E630" s="2">
        <v>305261.69</v>
      </c>
      <c r="F630" s="2">
        <v>333267.59999999998</v>
      </c>
      <c r="G630" s="2"/>
      <c r="H630" s="8">
        <f t="shared" si="20"/>
        <v>333267.59999999998</v>
      </c>
      <c r="I630" s="10">
        <f t="shared" si="21"/>
        <v>0.91596569843573161</v>
      </c>
      <c r="L630" s="2"/>
      <c r="M630" s="2"/>
      <c r="N630" s="2"/>
    </row>
    <row r="631" spans="1:14" ht="30" customHeight="1" x14ac:dyDescent="0.35">
      <c r="A631" t="s">
        <v>1307</v>
      </c>
      <c r="B631" t="s">
        <v>1308</v>
      </c>
      <c r="C631" t="s">
        <v>385</v>
      </c>
      <c r="D631" t="s">
        <v>384</v>
      </c>
      <c r="E631" s="2">
        <v>31.08</v>
      </c>
      <c r="F631" s="2">
        <v>0</v>
      </c>
      <c r="G631" s="2">
        <v>250000</v>
      </c>
      <c r="H631" s="8">
        <f t="shared" si="20"/>
        <v>250000</v>
      </c>
      <c r="I631" s="10">
        <f t="shared" si="21"/>
        <v>1.2432E-4</v>
      </c>
      <c r="L631" s="2"/>
      <c r="M631" s="2"/>
      <c r="N631" s="2"/>
    </row>
    <row r="632" spans="1:14" ht="30" customHeight="1" x14ac:dyDescent="0.35">
      <c r="A632" t="s">
        <v>1309</v>
      </c>
      <c r="B632" t="s">
        <v>1310</v>
      </c>
      <c r="C632" t="s">
        <v>385</v>
      </c>
      <c r="D632" t="s">
        <v>384</v>
      </c>
      <c r="E632" s="2">
        <v>43044.93</v>
      </c>
      <c r="F632" s="2"/>
      <c r="G632" s="2"/>
      <c r="H632" s="8" t="str">
        <f t="shared" si="20"/>
        <v/>
      </c>
      <c r="I632" s="10" t="str">
        <f t="shared" si="21"/>
        <v/>
      </c>
      <c r="L632" s="2"/>
      <c r="M632" s="2"/>
      <c r="N632" s="2"/>
    </row>
    <row r="633" spans="1:14" ht="30" customHeight="1" x14ac:dyDescent="0.35">
      <c r="A633" t="s">
        <v>1311</v>
      </c>
      <c r="B633" t="s">
        <v>1312</v>
      </c>
      <c r="C633" t="s">
        <v>2266</v>
      </c>
      <c r="D633" t="s">
        <v>1560</v>
      </c>
      <c r="E633" s="2">
        <v>115721.78</v>
      </c>
      <c r="F633" s="2">
        <v>796804.14</v>
      </c>
      <c r="G633" s="2"/>
      <c r="H633" s="8">
        <f t="shared" si="20"/>
        <v>796804.14</v>
      </c>
      <c r="I633" s="10">
        <f t="shared" si="21"/>
        <v>0.14523240303445209</v>
      </c>
      <c r="L633" s="2"/>
      <c r="M633" s="2"/>
      <c r="N633" s="2"/>
    </row>
    <row r="634" spans="1:14" ht="30" customHeight="1" x14ac:dyDescent="0.35">
      <c r="A634" t="s">
        <v>1313</v>
      </c>
      <c r="B634" t="s">
        <v>1314</v>
      </c>
      <c r="C634" t="s">
        <v>77</v>
      </c>
      <c r="D634" t="s">
        <v>76</v>
      </c>
      <c r="E634" s="2">
        <v>130561.26</v>
      </c>
      <c r="F634" s="2"/>
      <c r="G634" s="2"/>
      <c r="H634" s="8" t="str">
        <f t="shared" si="20"/>
        <v/>
      </c>
      <c r="I634" s="10" t="str">
        <f t="shared" si="21"/>
        <v/>
      </c>
      <c r="L634" s="2"/>
      <c r="M634" s="2"/>
      <c r="N634" s="2"/>
    </row>
    <row r="635" spans="1:14" ht="30" customHeight="1" x14ac:dyDescent="0.35">
      <c r="A635" t="s">
        <v>1315</v>
      </c>
      <c r="B635" t="s">
        <v>1316</v>
      </c>
      <c r="C635" t="s">
        <v>465</v>
      </c>
      <c r="D635" t="s">
        <v>464</v>
      </c>
      <c r="E635" s="2">
        <v>9373.9</v>
      </c>
      <c r="F635" s="2">
        <v>1382188</v>
      </c>
      <c r="G635" s="2"/>
      <c r="H635" s="8">
        <f t="shared" si="20"/>
        <v>1382188</v>
      </c>
      <c r="I635" s="10">
        <f t="shared" si="21"/>
        <v>6.7819283628565725E-3</v>
      </c>
      <c r="L635" s="2"/>
      <c r="M635" s="2"/>
      <c r="N635" s="2"/>
    </row>
    <row r="636" spans="1:14" ht="30" customHeight="1" x14ac:dyDescent="0.35">
      <c r="A636" t="s">
        <v>1317</v>
      </c>
      <c r="B636" t="s">
        <v>1318</v>
      </c>
      <c r="C636" t="s">
        <v>2262</v>
      </c>
      <c r="D636" t="s">
        <v>1518</v>
      </c>
      <c r="E636" s="2"/>
      <c r="F636" s="2">
        <v>4938589.53</v>
      </c>
      <c r="G636" s="2">
        <v>1063259.46</v>
      </c>
      <c r="H636" s="8">
        <f t="shared" si="20"/>
        <v>6001848.9900000002</v>
      </c>
      <c r="I636" s="10">
        <f t="shared" si="21"/>
        <v>0</v>
      </c>
      <c r="L636" s="2"/>
      <c r="M636" s="2"/>
      <c r="N636" s="2"/>
    </row>
    <row r="637" spans="1:14" ht="30" customHeight="1" x14ac:dyDescent="0.35">
      <c r="A637" t="s">
        <v>1319</v>
      </c>
      <c r="B637" t="s">
        <v>1320</v>
      </c>
      <c r="C637" t="s">
        <v>2263</v>
      </c>
      <c r="D637" t="s">
        <v>1233</v>
      </c>
      <c r="E637" s="2">
        <v>305984.28999999998</v>
      </c>
      <c r="F637" s="2">
        <v>0</v>
      </c>
      <c r="G637" s="2">
        <v>2000</v>
      </c>
      <c r="H637" s="8">
        <f t="shared" si="20"/>
        <v>2000</v>
      </c>
      <c r="I637" s="10">
        <f t="shared" si="21"/>
        <v>152.99214499999999</v>
      </c>
      <c r="L637" s="2"/>
      <c r="M637" s="2"/>
      <c r="N637" s="2"/>
    </row>
    <row r="638" spans="1:14" ht="30" customHeight="1" x14ac:dyDescent="0.35">
      <c r="A638" t="s">
        <v>1321</v>
      </c>
      <c r="B638" t="s">
        <v>1322</v>
      </c>
      <c r="C638" t="s">
        <v>457</v>
      </c>
      <c r="D638" t="s">
        <v>456</v>
      </c>
      <c r="E638" s="2">
        <v>105198.67</v>
      </c>
      <c r="F638" s="2">
        <v>2233072.71</v>
      </c>
      <c r="G638" s="2">
        <v>0</v>
      </c>
      <c r="H638" s="8">
        <f t="shared" si="20"/>
        <v>2233072.71</v>
      </c>
      <c r="I638" s="10">
        <f t="shared" si="21"/>
        <v>4.7109379613528124E-2</v>
      </c>
      <c r="L638" s="2"/>
      <c r="M638" s="2"/>
      <c r="N638" s="2"/>
    </row>
    <row r="639" spans="1:14" ht="30" customHeight="1" x14ac:dyDescent="0.35">
      <c r="A639" t="s">
        <v>1323</v>
      </c>
      <c r="B639" t="s">
        <v>1324</v>
      </c>
      <c r="C639" t="s">
        <v>253</v>
      </c>
      <c r="D639" t="s">
        <v>252</v>
      </c>
      <c r="E639" s="2">
        <v>907174.98</v>
      </c>
      <c r="F639" s="2">
        <v>268037.28000000003</v>
      </c>
      <c r="G639" s="2">
        <v>3000</v>
      </c>
      <c r="H639" s="8">
        <f t="shared" si="20"/>
        <v>271037.28000000003</v>
      </c>
      <c r="I639" s="10">
        <f t="shared" si="21"/>
        <v>3.3470487159552365</v>
      </c>
      <c r="L639" s="2"/>
      <c r="M639" s="2"/>
      <c r="N639" s="2"/>
    </row>
    <row r="640" spans="1:14" ht="30" customHeight="1" x14ac:dyDescent="0.35">
      <c r="A640" t="s">
        <v>1325</v>
      </c>
      <c r="B640" t="s">
        <v>1326</v>
      </c>
      <c r="C640" t="s">
        <v>457</v>
      </c>
      <c r="D640" t="s">
        <v>456</v>
      </c>
      <c r="E640" s="2">
        <v>85790.95</v>
      </c>
      <c r="F640" s="2">
        <v>1354736.5</v>
      </c>
      <c r="G640" s="2">
        <v>8812.34</v>
      </c>
      <c r="H640" s="8">
        <f t="shared" si="20"/>
        <v>1363548.84</v>
      </c>
      <c r="I640" s="10">
        <f t="shared" si="21"/>
        <v>6.2917401623839159E-2</v>
      </c>
      <c r="L640" s="2"/>
      <c r="M640" s="2"/>
      <c r="N640" s="2"/>
    </row>
    <row r="641" spans="1:14" ht="30" customHeight="1" x14ac:dyDescent="0.35">
      <c r="A641" t="s">
        <v>1327</v>
      </c>
      <c r="B641" t="s">
        <v>1328</v>
      </c>
      <c r="C641" t="s">
        <v>465</v>
      </c>
      <c r="D641" t="s">
        <v>464</v>
      </c>
      <c r="E641" s="2">
        <v>248926.29</v>
      </c>
      <c r="F641" s="2">
        <v>2138436.62</v>
      </c>
      <c r="G641" s="2"/>
      <c r="H641" s="8">
        <f t="shared" si="20"/>
        <v>2138436.62</v>
      </c>
      <c r="I641" s="10">
        <f t="shared" si="21"/>
        <v>0.11640573663576712</v>
      </c>
      <c r="L641" s="2"/>
      <c r="M641" s="2"/>
      <c r="N641" s="2"/>
    </row>
    <row r="642" spans="1:14" ht="30" customHeight="1" x14ac:dyDescent="0.35">
      <c r="A642" t="s">
        <v>1329</v>
      </c>
      <c r="B642" t="s">
        <v>1330</v>
      </c>
      <c r="C642" t="s">
        <v>2224</v>
      </c>
      <c r="D642" t="s">
        <v>1673</v>
      </c>
      <c r="E642" s="2">
        <v>456993.75</v>
      </c>
      <c r="F642" s="2">
        <v>3715915.51</v>
      </c>
      <c r="G642" s="2"/>
      <c r="H642" s="8">
        <f t="shared" si="20"/>
        <v>3715915.51</v>
      </c>
      <c r="I642" s="10">
        <f t="shared" si="21"/>
        <v>0.12298281507482392</v>
      </c>
      <c r="L642" s="2"/>
      <c r="M642" s="2"/>
      <c r="N642" s="2"/>
    </row>
    <row r="643" spans="1:14" ht="30" customHeight="1" x14ac:dyDescent="0.35">
      <c r="A643" t="s">
        <v>1331</v>
      </c>
      <c r="B643" t="s">
        <v>1332</v>
      </c>
      <c r="C643" t="s">
        <v>2263</v>
      </c>
      <c r="D643" t="s">
        <v>1233</v>
      </c>
      <c r="E643" s="2"/>
      <c r="F643" s="2">
        <v>17239.88</v>
      </c>
      <c r="G643" s="2"/>
      <c r="H643" s="8">
        <f t="shared" si="20"/>
        <v>17239.88</v>
      </c>
      <c r="I643" s="10">
        <f t="shared" si="21"/>
        <v>0</v>
      </c>
      <c r="L643" s="2"/>
      <c r="M643" s="2"/>
      <c r="N643" s="2"/>
    </row>
    <row r="644" spans="1:14" ht="30" customHeight="1" x14ac:dyDescent="0.35">
      <c r="A644" t="s">
        <v>1333</v>
      </c>
      <c r="B644" t="s">
        <v>1334</v>
      </c>
      <c r="C644" t="s">
        <v>101</v>
      </c>
      <c r="D644" t="s">
        <v>100</v>
      </c>
      <c r="E644" s="2">
        <v>74587.740000000005</v>
      </c>
      <c r="F644" s="2">
        <v>5143285.03</v>
      </c>
      <c r="G644" s="2"/>
      <c r="H644" s="8">
        <f t="shared" si="20"/>
        <v>5143285.03</v>
      </c>
      <c r="I644" s="10">
        <f t="shared" si="21"/>
        <v>1.4501965099142094E-2</v>
      </c>
      <c r="L644" s="2"/>
      <c r="M644" s="2"/>
      <c r="N644" s="2"/>
    </row>
    <row r="645" spans="1:14" ht="30" customHeight="1" x14ac:dyDescent="0.35">
      <c r="A645" t="s">
        <v>1335</v>
      </c>
      <c r="B645" t="s">
        <v>1336</v>
      </c>
      <c r="C645" t="s">
        <v>2262</v>
      </c>
      <c r="D645" t="s">
        <v>1518</v>
      </c>
      <c r="E645" s="2">
        <v>2887.38</v>
      </c>
      <c r="F645" s="2">
        <v>7134681.9199999999</v>
      </c>
      <c r="G645" s="2">
        <v>1282449.73</v>
      </c>
      <c r="H645" s="8">
        <f t="shared" si="20"/>
        <v>8417131.6500000004</v>
      </c>
      <c r="I645" s="10">
        <f t="shared" si="21"/>
        <v>3.4303609828889868E-4</v>
      </c>
      <c r="L645" s="2"/>
      <c r="M645" s="2"/>
      <c r="N645" s="2"/>
    </row>
    <row r="646" spans="1:14" ht="30" customHeight="1" x14ac:dyDescent="0.35">
      <c r="A646" t="s">
        <v>1337</v>
      </c>
      <c r="B646" t="s">
        <v>1338</v>
      </c>
      <c r="C646" t="s">
        <v>101</v>
      </c>
      <c r="D646" t="s">
        <v>100</v>
      </c>
      <c r="E646" s="2">
        <v>312989.02</v>
      </c>
      <c r="F646" s="2">
        <v>829455.24</v>
      </c>
      <c r="G646" s="2"/>
      <c r="H646" s="8">
        <f t="shared" si="20"/>
        <v>829455.24</v>
      </c>
      <c r="I646" s="10">
        <f t="shared" si="21"/>
        <v>0.37734286903775544</v>
      </c>
      <c r="L646" s="2"/>
      <c r="M646" s="2"/>
      <c r="N646" s="2"/>
    </row>
    <row r="647" spans="1:14" ht="30" customHeight="1" x14ac:dyDescent="0.35">
      <c r="A647" t="s">
        <v>1339</v>
      </c>
      <c r="B647" t="s">
        <v>1340</v>
      </c>
      <c r="C647" t="s">
        <v>253</v>
      </c>
      <c r="D647" t="s">
        <v>252</v>
      </c>
      <c r="E647" s="2">
        <v>164446.97</v>
      </c>
      <c r="F647" s="2">
        <v>648081.14</v>
      </c>
      <c r="G647" s="2"/>
      <c r="H647" s="8">
        <f t="shared" si="20"/>
        <v>648081.14</v>
      </c>
      <c r="I647" s="10">
        <f t="shared" si="21"/>
        <v>0.25374441539835585</v>
      </c>
      <c r="L647" s="2"/>
      <c r="M647" s="2"/>
      <c r="N647" s="2"/>
    </row>
    <row r="648" spans="1:14" ht="30" customHeight="1" x14ac:dyDescent="0.35">
      <c r="A648" t="s">
        <v>1341</v>
      </c>
      <c r="B648" t="s">
        <v>1342</v>
      </c>
      <c r="C648" t="s">
        <v>457</v>
      </c>
      <c r="D648" t="s">
        <v>456</v>
      </c>
      <c r="E648" s="2">
        <v>-8329.3799999999992</v>
      </c>
      <c r="F648" s="2">
        <v>217232.1</v>
      </c>
      <c r="G648" s="2"/>
      <c r="H648" s="8">
        <f t="shared" si="20"/>
        <v>217232.1</v>
      </c>
      <c r="I648" s="10">
        <f t="shared" si="21"/>
        <v>-3.8343228279798421E-2</v>
      </c>
      <c r="L648" s="2"/>
      <c r="M648" s="2"/>
      <c r="N648" s="2"/>
    </row>
    <row r="649" spans="1:14" ht="30" customHeight="1" x14ac:dyDescent="0.35">
      <c r="A649" t="s">
        <v>1343</v>
      </c>
      <c r="B649" t="s">
        <v>1344</v>
      </c>
      <c r="C649" t="s">
        <v>19</v>
      </c>
      <c r="D649" t="s">
        <v>18</v>
      </c>
      <c r="E649" s="2">
        <v>2421.0700000000002</v>
      </c>
      <c r="F649" s="2"/>
      <c r="G649" s="2"/>
      <c r="H649" s="8" t="str">
        <f t="shared" si="20"/>
        <v/>
      </c>
      <c r="I649" s="10" t="str">
        <f t="shared" si="21"/>
        <v/>
      </c>
      <c r="L649" s="2"/>
      <c r="M649" s="2"/>
      <c r="N649" s="2"/>
    </row>
    <row r="650" spans="1:14" ht="30" customHeight="1" x14ac:dyDescent="0.35">
      <c r="A650" t="s">
        <v>1345</v>
      </c>
      <c r="B650" t="s">
        <v>1346</v>
      </c>
      <c r="C650" t="s">
        <v>29</v>
      </c>
      <c r="D650" t="s">
        <v>28</v>
      </c>
      <c r="E650" s="2">
        <v>1910.92</v>
      </c>
      <c r="F650" s="2">
        <v>17107.22</v>
      </c>
      <c r="G650" s="2"/>
      <c r="H650" s="8">
        <f t="shared" si="20"/>
        <v>17107.22</v>
      </c>
      <c r="I650" s="10">
        <f t="shared" si="21"/>
        <v>0.11170254430585448</v>
      </c>
      <c r="L650" s="2"/>
      <c r="M650" s="2"/>
      <c r="N650" s="2"/>
    </row>
    <row r="651" spans="1:14" ht="30" customHeight="1" x14ac:dyDescent="0.35">
      <c r="A651" t="s">
        <v>1347</v>
      </c>
      <c r="B651" t="s">
        <v>1348</v>
      </c>
      <c r="C651" t="s">
        <v>41</v>
      </c>
      <c r="D651" t="s">
        <v>40</v>
      </c>
      <c r="E651" s="2">
        <v>153654.34</v>
      </c>
      <c r="F651" s="2">
        <v>668049.35</v>
      </c>
      <c r="G651" s="2">
        <v>25128.9</v>
      </c>
      <c r="H651" s="8">
        <f t="shared" si="20"/>
        <v>693178.25</v>
      </c>
      <c r="I651" s="10">
        <f t="shared" si="21"/>
        <v>0.22166641841402265</v>
      </c>
      <c r="L651" s="2"/>
      <c r="M651" s="2"/>
      <c r="N651" s="2"/>
    </row>
    <row r="652" spans="1:14" ht="30" customHeight="1" x14ac:dyDescent="0.35">
      <c r="A652" t="s">
        <v>1351</v>
      </c>
      <c r="B652" t="s">
        <v>1352</v>
      </c>
      <c r="C652" t="s">
        <v>41</v>
      </c>
      <c r="D652" t="s">
        <v>40</v>
      </c>
      <c r="E652" s="2">
        <v>72630.22</v>
      </c>
      <c r="F652" s="2">
        <v>695655.16</v>
      </c>
      <c r="G652" s="2"/>
      <c r="H652" s="8">
        <f t="shared" si="20"/>
        <v>695655.16</v>
      </c>
      <c r="I652" s="10">
        <f t="shared" si="21"/>
        <v>0.10440549308942092</v>
      </c>
      <c r="L652" s="2"/>
      <c r="M652" s="2"/>
      <c r="N652" s="2"/>
    </row>
    <row r="653" spans="1:14" ht="30" customHeight="1" x14ac:dyDescent="0.35">
      <c r="A653" t="s">
        <v>1353</v>
      </c>
      <c r="B653" t="s">
        <v>1354</v>
      </c>
      <c r="C653" t="s">
        <v>15</v>
      </c>
      <c r="D653" t="s">
        <v>14</v>
      </c>
      <c r="E653" s="2">
        <v>178191.28</v>
      </c>
      <c r="F653" s="2">
        <v>1887362.95</v>
      </c>
      <c r="G653" s="2"/>
      <c r="H653" s="8">
        <f t="shared" si="20"/>
        <v>1887362.95</v>
      </c>
      <c r="I653" s="10">
        <f t="shared" si="21"/>
        <v>9.4412831405851216E-2</v>
      </c>
      <c r="L653" s="2"/>
      <c r="M653" s="2"/>
      <c r="N653" s="2"/>
    </row>
    <row r="654" spans="1:14" ht="30" customHeight="1" x14ac:dyDescent="0.35">
      <c r="A654" t="s">
        <v>1355</v>
      </c>
      <c r="B654" t="s">
        <v>1356</v>
      </c>
      <c r="C654" t="s">
        <v>253</v>
      </c>
      <c r="D654" t="s">
        <v>252</v>
      </c>
      <c r="E654" s="2">
        <v>1004004.28</v>
      </c>
      <c r="F654" s="2">
        <v>291144.86</v>
      </c>
      <c r="G654" s="2"/>
      <c r="H654" s="8">
        <f t="shared" si="20"/>
        <v>291144.86</v>
      </c>
      <c r="I654" s="10">
        <f t="shared" si="21"/>
        <v>3.4484698785340058</v>
      </c>
      <c r="L654" s="2"/>
      <c r="M654" s="2"/>
      <c r="N654" s="2"/>
    </row>
    <row r="655" spans="1:14" ht="30" customHeight="1" x14ac:dyDescent="0.35">
      <c r="A655" t="s">
        <v>1357</v>
      </c>
      <c r="B655" t="s">
        <v>1358</v>
      </c>
      <c r="C655" t="s">
        <v>2259</v>
      </c>
      <c r="D655" t="s">
        <v>713</v>
      </c>
      <c r="E655" s="2">
        <v>1267790.1200000001</v>
      </c>
      <c r="F655" s="2"/>
      <c r="G655" s="2"/>
      <c r="H655" s="8" t="str">
        <f t="shared" si="20"/>
        <v/>
      </c>
      <c r="I655" s="10" t="str">
        <f t="shared" si="21"/>
        <v/>
      </c>
      <c r="L655" s="2"/>
      <c r="M655" s="2"/>
      <c r="N655" s="2"/>
    </row>
    <row r="656" spans="1:14" ht="30" customHeight="1" x14ac:dyDescent="0.35">
      <c r="A656" t="s">
        <v>1359</v>
      </c>
      <c r="B656" t="s">
        <v>1360</v>
      </c>
      <c r="C656" t="s">
        <v>2225</v>
      </c>
      <c r="D656" t="s">
        <v>308</v>
      </c>
      <c r="E656" s="2"/>
      <c r="F656" s="2">
        <v>19176.830000000002</v>
      </c>
      <c r="G656" s="2"/>
      <c r="H656" s="8">
        <f t="shared" si="20"/>
        <v>19176.830000000002</v>
      </c>
      <c r="I656" s="10">
        <f t="shared" si="21"/>
        <v>0</v>
      </c>
      <c r="L656" s="2"/>
      <c r="M656" s="2"/>
      <c r="N656" s="2"/>
    </row>
    <row r="657" spans="1:14" ht="30" customHeight="1" x14ac:dyDescent="0.35">
      <c r="A657" t="s">
        <v>1361</v>
      </c>
      <c r="B657" t="s">
        <v>1362</v>
      </c>
      <c r="C657" t="s">
        <v>51</v>
      </c>
      <c r="D657" t="s">
        <v>50</v>
      </c>
      <c r="E657" s="2"/>
      <c r="F657" s="2">
        <v>14862.74</v>
      </c>
      <c r="G657" s="2"/>
      <c r="H657" s="8">
        <f t="shared" si="20"/>
        <v>14862.74</v>
      </c>
      <c r="I657" s="10">
        <f t="shared" si="21"/>
        <v>0</v>
      </c>
      <c r="L657" s="2"/>
      <c r="M657" s="2"/>
      <c r="N657" s="2"/>
    </row>
    <row r="658" spans="1:14" ht="30" customHeight="1" x14ac:dyDescent="0.35">
      <c r="A658" t="s">
        <v>1363</v>
      </c>
      <c r="B658" t="s">
        <v>1364</v>
      </c>
      <c r="C658" t="s">
        <v>385</v>
      </c>
      <c r="D658" t="s">
        <v>384</v>
      </c>
      <c r="E658" s="2"/>
      <c r="F658" s="2">
        <v>54466.57</v>
      </c>
      <c r="G658" s="2"/>
      <c r="H658" s="8">
        <f t="shared" si="20"/>
        <v>54466.57</v>
      </c>
      <c r="I658" s="10">
        <f t="shared" si="21"/>
        <v>0</v>
      </c>
      <c r="L658" s="2"/>
      <c r="M658" s="2"/>
      <c r="N658" s="2"/>
    </row>
    <row r="659" spans="1:14" ht="30" customHeight="1" x14ac:dyDescent="0.35">
      <c r="A659" t="s">
        <v>1365</v>
      </c>
      <c r="B659" t="s">
        <v>1366</v>
      </c>
      <c r="C659" t="s">
        <v>2259</v>
      </c>
      <c r="D659" t="s">
        <v>713</v>
      </c>
      <c r="E659" s="2">
        <v>109205.55</v>
      </c>
      <c r="F659" s="2">
        <v>195737.27</v>
      </c>
      <c r="G659" s="2"/>
      <c r="H659" s="8">
        <f t="shared" si="20"/>
        <v>195737.27</v>
      </c>
      <c r="I659" s="10">
        <f t="shared" si="21"/>
        <v>0.55791904117187296</v>
      </c>
      <c r="L659" s="2"/>
      <c r="M659" s="2"/>
      <c r="N659" s="2"/>
    </row>
    <row r="660" spans="1:14" ht="30" customHeight="1" x14ac:dyDescent="0.35">
      <c r="A660" t="s">
        <v>1367</v>
      </c>
      <c r="B660" t="s">
        <v>1368</v>
      </c>
      <c r="C660" t="s">
        <v>15</v>
      </c>
      <c r="D660" t="s">
        <v>14</v>
      </c>
      <c r="E660" s="2">
        <v>986600.77</v>
      </c>
      <c r="F660" s="2"/>
      <c r="G660" s="2"/>
      <c r="H660" s="8" t="str">
        <f t="shared" si="20"/>
        <v/>
      </c>
      <c r="I660" s="10" t="str">
        <f t="shared" si="21"/>
        <v/>
      </c>
      <c r="L660" s="2"/>
      <c r="M660" s="2"/>
      <c r="N660" s="2"/>
    </row>
    <row r="661" spans="1:14" ht="30" customHeight="1" x14ac:dyDescent="0.35">
      <c r="A661" t="s">
        <v>1369</v>
      </c>
      <c r="B661" t="s">
        <v>1370</v>
      </c>
      <c r="C661" t="s">
        <v>213</v>
      </c>
      <c r="D661" t="s">
        <v>212</v>
      </c>
      <c r="E661" s="2">
        <v>4510.21</v>
      </c>
      <c r="F661" s="2">
        <v>453692.95</v>
      </c>
      <c r="G661" s="2">
        <v>183.89</v>
      </c>
      <c r="H661" s="8">
        <f t="shared" si="20"/>
        <v>453876.84</v>
      </c>
      <c r="I661" s="10">
        <f t="shared" si="21"/>
        <v>9.9370789661794596E-3</v>
      </c>
      <c r="L661" s="2"/>
      <c r="M661" s="2"/>
      <c r="N661" s="2"/>
    </row>
    <row r="662" spans="1:14" ht="30" customHeight="1" x14ac:dyDescent="0.35">
      <c r="A662" t="s">
        <v>1371</v>
      </c>
      <c r="B662" t="s">
        <v>1372</v>
      </c>
      <c r="C662" t="s">
        <v>15</v>
      </c>
      <c r="D662" t="s">
        <v>14</v>
      </c>
      <c r="E662" s="2">
        <v>10000</v>
      </c>
      <c r="F662" s="2"/>
      <c r="G662" s="2"/>
      <c r="H662" s="8" t="str">
        <f t="shared" si="20"/>
        <v/>
      </c>
      <c r="I662" s="10" t="str">
        <f t="shared" si="21"/>
        <v/>
      </c>
      <c r="L662" s="2"/>
      <c r="M662" s="2"/>
      <c r="N662" s="2"/>
    </row>
    <row r="663" spans="1:14" ht="30" customHeight="1" x14ac:dyDescent="0.35">
      <c r="A663" t="s">
        <v>1373</v>
      </c>
      <c r="B663" t="s">
        <v>1374</v>
      </c>
      <c r="C663" t="s">
        <v>29</v>
      </c>
      <c r="D663" t="s">
        <v>28</v>
      </c>
      <c r="E663" s="2">
        <v>5515.45</v>
      </c>
      <c r="F663" s="2">
        <v>71804.160000000003</v>
      </c>
      <c r="G663" s="2"/>
      <c r="H663" s="8">
        <f t="shared" si="20"/>
        <v>71804.160000000003</v>
      </c>
      <c r="I663" s="10">
        <f t="shared" si="21"/>
        <v>7.6812401955541287E-2</v>
      </c>
      <c r="L663" s="2"/>
      <c r="M663" s="2"/>
      <c r="N663" s="2"/>
    </row>
    <row r="664" spans="1:14" ht="30" customHeight="1" x14ac:dyDescent="0.35">
      <c r="A664" t="s">
        <v>1375</v>
      </c>
      <c r="B664" t="s">
        <v>1376</v>
      </c>
      <c r="C664" t="s">
        <v>57</v>
      </c>
      <c r="D664" t="s">
        <v>56</v>
      </c>
      <c r="E664" s="2">
        <v>107422.34</v>
      </c>
      <c r="F664" s="2">
        <v>117404.35</v>
      </c>
      <c r="G664" s="2"/>
      <c r="H664" s="8">
        <f t="shared" si="20"/>
        <v>117404.35</v>
      </c>
      <c r="I664" s="10">
        <f t="shared" si="21"/>
        <v>0.91497751148062223</v>
      </c>
      <c r="L664" s="2"/>
      <c r="M664" s="2"/>
      <c r="N664" s="2"/>
    </row>
    <row r="665" spans="1:14" ht="30" customHeight="1" x14ac:dyDescent="0.35">
      <c r="A665" t="s">
        <v>1377</v>
      </c>
      <c r="B665" t="s">
        <v>1378</v>
      </c>
      <c r="C665" t="s">
        <v>101</v>
      </c>
      <c r="D665" t="s">
        <v>100</v>
      </c>
      <c r="E665" s="2">
        <v>118763</v>
      </c>
      <c r="F665" s="2"/>
      <c r="G665" s="2"/>
      <c r="H665" s="8" t="str">
        <f t="shared" si="20"/>
        <v/>
      </c>
      <c r="I665" s="10" t="str">
        <f t="shared" si="21"/>
        <v/>
      </c>
      <c r="L665" s="2"/>
      <c r="M665" s="2"/>
      <c r="N665" s="2"/>
    </row>
    <row r="666" spans="1:14" ht="30" customHeight="1" x14ac:dyDescent="0.35">
      <c r="A666" t="s">
        <v>1379</v>
      </c>
      <c r="B666" t="s">
        <v>1380</v>
      </c>
      <c r="C666" t="s">
        <v>19</v>
      </c>
      <c r="D666" t="s">
        <v>18</v>
      </c>
      <c r="E666" s="2">
        <v>5697.8</v>
      </c>
      <c r="F666" s="2">
        <v>63498.69</v>
      </c>
      <c r="G666" s="2">
        <v>102501.31</v>
      </c>
      <c r="H666" s="8">
        <f t="shared" si="20"/>
        <v>166000</v>
      </c>
      <c r="I666" s="10">
        <f t="shared" si="21"/>
        <v>3.4324096385542173E-2</v>
      </c>
      <c r="L666" s="2"/>
      <c r="M666" s="2"/>
      <c r="N666" s="2"/>
    </row>
    <row r="667" spans="1:14" ht="30" customHeight="1" x14ac:dyDescent="0.35">
      <c r="A667" t="s">
        <v>1381</v>
      </c>
      <c r="B667" t="s">
        <v>1382</v>
      </c>
      <c r="C667" t="s">
        <v>15</v>
      </c>
      <c r="D667" t="s">
        <v>14</v>
      </c>
      <c r="E667" s="2">
        <v>92798.7</v>
      </c>
      <c r="F667" s="2">
        <v>218668.74</v>
      </c>
      <c r="G667" s="2"/>
      <c r="H667" s="8">
        <f t="shared" si="20"/>
        <v>218668.74</v>
      </c>
      <c r="I667" s="10">
        <f t="shared" si="21"/>
        <v>0.42438027493092978</v>
      </c>
      <c r="L667" s="2"/>
      <c r="M667" s="2"/>
      <c r="N667" s="2"/>
    </row>
    <row r="668" spans="1:14" ht="30" customHeight="1" x14ac:dyDescent="0.35">
      <c r="A668" t="s">
        <v>1383</v>
      </c>
      <c r="B668" t="s">
        <v>1384</v>
      </c>
      <c r="C668" t="s">
        <v>253</v>
      </c>
      <c r="D668" t="s">
        <v>252</v>
      </c>
      <c r="E668" s="2">
        <v>139431.24</v>
      </c>
      <c r="F668" s="2">
        <v>282955.17</v>
      </c>
      <c r="G668" s="2">
        <v>230000</v>
      </c>
      <c r="H668" s="8">
        <f t="shared" si="20"/>
        <v>512955.17</v>
      </c>
      <c r="I668" s="10">
        <f t="shared" si="21"/>
        <v>0.27181954321661284</v>
      </c>
      <c r="L668" s="2"/>
      <c r="M668" s="2"/>
      <c r="N668" s="2"/>
    </row>
    <row r="669" spans="1:14" ht="30" customHeight="1" x14ac:dyDescent="0.35">
      <c r="A669" t="s">
        <v>1385</v>
      </c>
      <c r="B669" t="s">
        <v>1386</v>
      </c>
      <c r="C669" t="s">
        <v>457</v>
      </c>
      <c r="D669" t="s">
        <v>456</v>
      </c>
      <c r="E669" s="2">
        <v>61484.160000000003</v>
      </c>
      <c r="F669" s="2">
        <v>359055.13</v>
      </c>
      <c r="G669" s="2"/>
      <c r="H669" s="8">
        <f t="shared" si="20"/>
        <v>359055.13</v>
      </c>
      <c r="I669" s="10">
        <f t="shared" si="21"/>
        <v>0.17123877327696169</v>
      </c>
      <c r="L669" s="2"/>
      <c r="M669" s="2"/>
      <c r="N669" s="2"/>
    </row>
    <row r="670" spans="1:14" ht="30" customHeight="1" x14ac:dyDescent="0.35">
      <c r="A670" t="s">
        <v>2332</v>
      </c>
      <c r="B670" t="s">
        <v>2333</v>
      </c>
      <c r="C670" t="s">
        <v>965</v>
      </c>
      <c r="D670" t="s">
        <v>964</v>
      </c>
      <c r="E670" s="2"/>
      <c r="F670" s="2">
        <v>1118909.8799999999</v>
      </c>
      <c r="G670" s="2"/>
      <c r="H670" s="8">
        <f t="shared" si="20"/>
        <v>1118909.8799999999</v>
      </c>
      <c r="I670" s="10">
        <f t="shared" si="21"/>
        <v>0</v>
      </c>
      <c r="L670" s="2"/>
      <c r="M670" s="2"/>
      <c r="N670" s="2"/>
    </row>
    <row r="671" spans="1:14" ht="30" customHeight="1" x14ac:dyDescent="0.35">
      <c r="A671" t="s">
        <v>1387</v>
      </c>
      <c r="B671" t="s">
        <v>1388</v>
      </c>
      <c r="C671" t="s">
        <v>259</v>
      </c>
      <c r="D671" t="s">
        <v>258</v>
      </c>
      <c r="E671" s="2"/>
      <c r="F671" s="2">
        <v>4323825.4800000004</v>
      </c>
      <c r="G671" s="2"/>
      <c r="H671" s="8">
        <f t="shared" si="20"/>
        <v>4323825.4800000004</v>
      </c>
      <c r="I671" s="10">
        <f t="shared" si="21"/>
        <v>0</v>
      </c>
      <c r="L671" s="2"/>
      <c r="M671" s="2"/>
      <c r="N671" s="2"/>
    </row>
    <row r="672" spans="1:14" ht="30" customHeight="1" x14ac:dyDescent="0.35">
      <c r="A672" t="s">
        <v>252</v>
      </c>
      <c r="B672" t="s">
        <v>1389</v>
      </c>
      <c r="C672" t="s">
        <v>101</v>
      </c>
      <c r="D672" t="s">
        <v>100</v>
      </c>
      <c r="E672" s="2">
        <v>504950.29</v>
      </c>
      <c r="F672" s="2">
        <v>2210631.29</v>
      </c>
      <c r="G672" s="2">
        <v>160435.09</v>
      </c>
      <c r="H672" s="8">
        <f t="shared" si="20"/>
        <v>2371066.38</v>
      </c>
      <c r="I672" s="10">
        <f t="shared" si="21"/>
        <v>0.21296337135867111</v>
      </c>
      <c r="L672" s="2"/>
      <c r="M672" s="2"/>
      <c r="N672" s="2"/>
    </row>
    <row r="673" spans="1:14" ht="30" customHeight="1" x14ac:dyDescent="0.35">
      <c r="A673" t="s">
        <v>1390</v>
      </c>
      <c r="B673" t="s">
        <v>1391</v>
      </c>
      <c r="C673" t="s">
        <v>2266</v>
      </c>
      <c r="D673" t="s">
        <v>1560</v>
      </c>
      <c r="E673" s="2">
        <v>15287.69</v>
      </c>
      <c r="F673" s="2">
        <v>431492.16</v>
      </c>
      <c r="G673" s="2"/>
      <c r="H673" s="8">
        <f t="shared" si="20"/>
        <v>431492.16</v>
      </c>
      <c r="I673" s="10">
        <f t="shared" si="21"/>
        <v>3.5429821019227793E-2</v>
      </c>
      <c r="L673" s="2"/>
      <c r="M673" s="2"/>
      <c r="N673" s="2"/>
    </row>
    <row r="674" spans="1:14" ht="30" customHeight="1" x14ac:dyDescent="0.35">
      <c r="A674" t="s">
        <v>1392</v>
      </c>
      <c r="B674" t="s">
        <v>1393</v>
      </c>
      <c r="C674" t="s">
        <v>41</v>
      </c>
      <c r="D674" t="s">
        <v>40</v>
      </c>
      <c r="E674" s="2">
        <v>221084.41</v>
      </c>
      <c r="F674" s="2">
        <v>303661.98</v>
      </c>
      <c r="G674" s="2"/>
      <c r="H674" s="8">
        <f t="shared" si="20"/>
        <v>303661.98</v>
      </c>
      <c r="I674" s="10">
        <f t="shared" si="21"/>
        <v>0.72806088533045865</v>
      </c>
      <c r="L674" s="2"/>
      <c r="M674" s="2"/>
      <c r="N674" s="2"/>
    </row>
    <row r="675" spans="1:14" ht="30" customHeight="1" x14ac:dyDescent="0.35">
      <c r="A675" t="s">
        <v>1394</v>
      </c>
      <c r="B675" t="s">
        <v>1395</v>
      </c>
      <c r="C675" t="s">
        <v>259</v>
      </c>
      <c r="D675" t="s">
        <v>258</v>
      </c>
      <c r="E675" s="2">
        <v>188927.16</v>
      </c>
      <c r="F675" s="2">
        <v>1881423.85</v>
      </c>
      <c r="G675" s="2">
        <v>0</v>
      </c>
      <c r="H675" s="8">
        <f t="shared" si="20"/>
        <v>1881423.85</v>
      </c>
      <c r="I675" s="10">
        <f t="shared" si="21"/>
        <v>0.10041711759952442</v>
      </c>
      <c r="L675" s="2"/>
      <c r="M675" s="2"/>
      <c r="N675" s="2"/>
    </row>
    <row r="676" spans="1:14" ht="30" customHeight="1" x14ac:dyDescent="0.35">
      <c r="A676" t="s">
        <v>486</v>
      </c>
      <c r="B676" t="s">
        <v>1396</v>
      </c>
      <c r="C676" t="s">
        <v>2238</v>
      </c>
      <c r="D676" t="s">
        <v>2239</v>
      </c>
      <c r="E676" s="2">
        <v>6595.15</v>
      </c>
      <c r="F676" s="2"/>
      <c r="G676" s="2"/>
      <c r="H676" s="8" t="str">
        <f t="shared" si="20"/>
        <v/>
      </c>
      <c r="I676" s="10" t="str">
        <f t="shared" si="21"/>
        <v/>
      </c>
      <c r="L676" s="2"/>
      <c r="M676" s="2"/>
      <c r="N676" s="2"/>
    </row>
    <row r="677" spans="1:14" ht="30" customHeight="1" x14ac:dyDescent="0.35">
      <c r="A677" t="s">
        <v>1397</v>
      </c>
      <c r="B677" t="s">
        <v>1398</v>
      </c>
      <c r="C677" t="s">
        <v>15</v>
      </c>
      <c r="D677" t="s">
        <v>14</v>
      </c>
      <c r="E677" s="2">
        <v>382345.26</v>
      </c>
      <c r="F677" s="2">
        <v>0</v>
      </c>
      <c r="G677" s="2"/>
      <c r="H677" s="8">
        <f t="shared" si="20"/>
        <v>0</v>
      </c>
      <c r="I677" s="10" t="e">
        <f t="shared" si="21"/>
        <v>#DIV/0!</v>
      </c>
      <c r="L677" s="2"/>
      <c r="M677" s="2"/>
      <c r="N677" s="2"/>
    </row>
    <row r="678" spans="1:14" ht="30" customHeight="1" x14ac:dyDescent="0.35">
      <c r="A678" t="s">
        <v>1399</v>
      </c>
      <c r="B678" t="s">
        <v>1400</v>
      </c>
      <c r="C678" t="s">
        <v>41</v>
      </c>
      <c r="D678" t="s">
        <v>40</v>
      </c>
      <c r="E678" s="2">
        <v>89748.69</v>
      </c>
      <c r="F678" s="2">
        <v>557760.21</v>
      </c>
      <c r="G678" s="2"/>
      <c r="H678" s="8">
        <f t="shared" si="20"/>
        <v>557760.21</v>
      </c>
      <c r="I678" s="10">
        <f t="shared" si="21"/>
        <v>0.16090909389179986</v>
      </c>
      <c r="L678" s="2"/>
      <c r="M678" s="2"/>
      <c r="N678" s="2"/>
    </row>
    <row r="679" spans="1:14" ht="30" customHeight="1" x14ac:dyDescent="0.35">
      <c r="A679" t="s">
        <v>1401</v>
      </c>
      <c r="B679" t="s">
        <v>1402</v>
      </c>
      <c r="C679" t="s">
        <v>15</v>
      </c>
      <c r="D679" t="s">
        <v>14</v>
      </c>
      <c r="E679" s="2">
        <v>973742.21</v>
      </c>
      <c r="F679" s="2">
        <v>6470924.3600000003</v>
      </c>
      <c r="G679" s="2"/>
      <c r="H679" s="8">
        <f t="shared" si="20"/>
        <v>6470924.3600000003</v>
      </c>
      <c r="I679" s="10">
        <f t="shared" si="21"/>
        <v>0.15047961555835584</v>
      </c>
      <c r="L679" s="2"/>
      <c r="M679" s="2"/>
      <c r="N679" s="2"/>
    </row>
    <row r="680" spans="1:14" ht="30" customHeight="1" x14ac:dyDescent="0.35">
      <c r="A680" t="s">
        <v>1403</v>
      </c>
      <c r="B680" t="s">
        <v>1404</v>
      </c>
      <c r="C680" t="s">
        <v>41</v>
      </c>
      <c r="D680" t="s">
        <v>40</v>
      </c>
      <c r="E680" s="2">
        <v>307268.38</v>
      </c>
      <c r="F680" s="2">
        <v>139105.87</v>
      </c>
      <c r="G680" s="2">
        <v>174280.14</v>
      </c>
      <c r="H680" s="8">
        <f t="shared" ref="H680:H740" si="22">IF(ISBLANK(F680), "",(F680+G680))</f>
        <v>313386.01</v>
      </c>
      <c r="I680" s="10">
        <f t="shared" ref="I680:I740" si="23">IF(ISBLANK(F680), "", E680/H680)</f>
        <v>0.98047893076018289</v>
      </c>
      <c r="L680" s="2"/>
      <c r="M680" s="2"/>
      <c r="N680" s="2"/>
    </row>
    <row r="681" spans="1:14" ht="30" customHeight="1" x14ac:dyDescent="0.35">
      <c r="A681" t="s">
        <v>1405</v>
      </c>
      <c r="B681" t="s">
        <v>1406</v>
      </c>
      <c r="C681" t="s">
        <v>41</v>
      </c>
      <c r="D681" t="s">
        <v>40</v>
      </c>
      <c r="E681" s="2">
        <v>35772.449999999997</v>
      </c>
      <c r="F681" s="2">
        <v>165234.49</v>
      </c>
      <c r="G681" s="2"/>
      <c r="H681" s="8">
        <f t="shared" si="22"/>
        <v>165234.49</v>
      </c>
      <c r="I681" s="10">
        <f t="shared" si="23"/>
        <v>0.21649505499729504</v>
      </c>
      <c r="L681" s="2"/>
      <c r="M681" s="2"/>
      <c r="N681" s="2"/>
    </row>
    <row r="682" spans="1:14" ht="30" customHeight="1" x14ac:dyDescent="0.35">
      <c r="A682" t="s">
        <v>1407</v>
      </c>
      <c r="B682" t="s">
        <v>1408</v>
      </c>
      <c r="C682" t="s">
        <v>213</v>
      </c>
      <c r="D682" t="s">
        <v>212</v>
      </c>
      <c r="E682" s="2"/>
      <c r="F682" s="2">
        <v>1678414.93</v>
      </c>
      <c r="G682" s="2"/>
      <c r="H682" s="8">
        <f t="shared" si="22"/>
        <v>1678414.93</v>
      </c>
      <c r="I682" s="10">
        <f t="shared" si="23"/>
        <v>0</v>
      </c>
      <c r="L682" s="2"/>
      <c r="M682" s="2"/>
      <c r="N682" s="2"/>
    </row>
    <row r="683" spans="1:14" ht="30" customHeight="1" x14ac:dyDescent="0.35">
      <c r="A683" t="s">
        <v>1409</v>
      </c>
      <c r="B683" t="s">
        <v>1410</v>
      </c>
      <c r="C683" t="s">
        <v>2273</v>
      </c>
      <c r="D683" t="s">
        <v>1552</v>
      </c>
      <c r="E683" s="2"/>
      <c r="F683" s="2">
        <v>2589017.64</v>
      </c>
      <c r="G683" s="2">
        <v>59752.46</v>
      </c>
      <c r="H683" s="8">
        <f t="shared" si="22"/>
        <v>2648770.1</v>
      </c>
      <c r="I683" s="10">
        <f t="shared" si="23"/>
        <v>0</v>
      </c>
      <c r="L683" s="2"/>
      <c r="M683" s="2"/>
      <c r="N683" s="2"/>
    </row>
    <row r="684" spans="1:14" ht="30" customHeight="1" x14ac:dyDescent="0.35">
      <c r="A684" t="s">
        <v>1411</v>
      </c>
      <c r="B684" t="s">
        <v>1412</v>
      </c>
      <c r="C684" t="s">
        <v>2266</v>
      </c>
      <c r="D684" t="s">
        <v>1560</v>
      </c>
      <c r="E684" s="2">
        <v>178778</v>
      </c>
      <c r="F684" s="2">
        <v>4801909.8099999996</v>
      </c>
      <c r="G684" s="2"/>
      <c r="H684" s="8">
        <f t="shared" si="22"/>
        <v>4801909.8099999996</v>
      </c>
      <c r="I684" s="10">
        <f t="shared" si="23"/>
        <v>3.7230603462750173E-2</v>
      </c>
      <c r="L684" s="2"/>
      <c r="M684" s="2"/>
      <c r="N684" s="2"/>
    </row>
    <row r="685" spans="1:14" ht="30" customHeight="1" x14ac:dyDescent="0.35">
      <c r="A685" t="s">
        <v>1413</v>
      </c>
      <c r="B685" t="s">
        <v>1414</v>
      </c>
      <c r="C685" t="s">
        <v>253</v>
      </c>
      <c r="D685" t="s">
        <v>252</v>
      </c>
      <c r="E685" s="2">
        <v>636963</v>
      </c>
      <c r="F685" s="2">
        <v>189234.76</v>
      </c>
      <c r="G685" s="2"/>
      <c r="H685" s="8">
        <f t="shared" si="22"/>
        <v>189234.76</v>
      </c>
      <c r="I685" s="10">
        <f t="shared" si="23"/>
        <v>3.3659936472559266</v>
      </c>
      <c r="L685" s="2"/>
      <c r="M685" s="2"/>
      <c r="N685" s="2"/>
    </row>
    <row r="686" spans="1:14" ht="30" customHeight="1" x14ac:dyDescent="0.35">
      <c r="A686" t="s">
        <v>1415</v>
      </c>
      <c r="B686" t="s">
        <v>1416</v>
      </c>
      <c r="C686" t="s">
        <v>259</v>
      </c>
      <c r="D686" t="s">
        <v>258</v>
      </c>
      <c r="E686" s="2">
        <v>20466.98</v>
      </c>
      <c r="F686" s="2">
        <v>676601.51</v>
      </c>
      <c r="G686" s="2"/>
      <c r="H686" s="8">
        <f t="shared" si="22"/>
        <v>676601.51</v>
      </c>
      <c r="I686" s="10">
        <f t="shared" si="23"/>
        <v>3.0249681234084148E-2</v>
      </c>
      <c r="L686" s="2"/>
      <c r="M686" s="2"/>
      <c r="N686" s="2"/>
    </row>
    <row r="687" spans="1:14" ht="30" customHeight="1" x14ac:dyDescent="0.35">
      <c r="A687" t="s">
        <v>2334</v>
      </c>
      <c r="B687" t="s">
        <v>2335</v>
      </c>
      <c r="C687" t="s">
        <v>2266</v>
      </c>
      <c r="D687" t="s">
        <v>1560</v>
      </c>
      <c r="E687" s="2">
        <v>0.54</v>
      </c>
      <c r="F687" s="2"/>
      <c r="G687" s="2"/>
      <c r="H687" s="8" t="str">
        <f t="shared" si="22"/>
        <v/>
      </c>
      <c r="I687" s="10" t="str">
        <f t="shared" si="23"/>
        <v/>
      </c>
      <c r="L687" s="2"/>
      <c r="M687" s="2"/>
      <c r="N687" s="2"/>
    </row>
    <row r="688" spans="1:14" ht="30" customHeight="1" x14ac:dyDescent="0.35">
      <c r="A688" t="s">
        <v>1417</v>
      </c>
      <c r="B688" t="s">
        <v>1418</v>
      </c>
      <c r="C688" t="s">
        <v>253</v>
      </c>
      <c r="D688" t="s">
        <v>252</v>
      </c>
      <c r="E688" s="2"/>
      <c r="F688" s="2">
        <v>2897808.41</v>
      </c>
      <c r="G688" s="2"/>
      <c r="H688" s="8">
        <f t="shared" si="22"/>
        <v>2897808.41</v>
      </c>
      <c r="I688" s="10">
        <f t="shared" si="23"/>
        <v>0</v>
      </c>
      <c r="L688" s="2"/>
      <c r="M688" s="2"/>
      <c r="N688" s="2"/>
    </row>
    <row r="689" spans="1:14" ht="30" customHeight="1" x14ac:dyDescent="0.35">
      <c r="A689" t="s">
        <v>1419</v>
      </c>
      <c r="B689" t="s">
        <v>1420</v>
      </c>
      <c r="C689" t="s">
        <v>101</v>
      </c>
      <c r="D689" t="s">
        <v>100</v>
      </c>
      <c r="E689" s="2">
        <v>73323.320000000007</v>
      </c>
      <c r="F689" s="2"/>
      <c r="G689" s="2"/>
      <c r="H689" s="8" t="str">
        <f t="shared" si="22"/>
        <v/>
      </c>
      <c r="I689" s="10" t="str">
        <f t="shared" si="23"/>
        <v/>
      </c>
      <c r="L689" s="2"/>
      <c r="M689" s="2"/>
      <c r="N689" s="2"/>
    </row>
    <row r="690" spans="1:14" ht="30" customHeight="1" x14ac:dyDescent="0.35">
      <c r="A690" t="s">
        <v>1421</v>
      </c>
      <c r="B690" t="s">
        <v>1422</v>
      </c>
      <c r="C690" t="s">
        <v>2238</v>
      </c>
      <c r="D690" t="s">
        <v>2239</v>
      </c>
      <c r="E690" s="2">
        <v>27569.41</v>
      </c>
      <c r="F690" s="2"/>
      <c r="G690" s="2"/>
      <c r="H690" s="8" t="str">
        <f t="shared" si="22"/>
        <v/>
      </c>
      <c r="I690" s="10" t="str">
        <f t="shared" si="23"/>
        <v/>
      </c>
      <c r="L690" s="2"/>
      <c r="M690" s="2"/>
      <c r="N690" s="2"/>
    </row>
    <row r="691" spans="1:14" ht="30" customHeight="1" x14ac:dyDescent="0.35">
      <c r="A691" t="s">
        <v>1423</v>
      </c>
      <c r="B691" t="s">
        <v>1424</v>
      </c>
      <c r="C691" t="s">
        <v>253</v>
      </c>
      <c r="D691" t="s">
        <v>252</v>
      </c>
      <c r="E691" s="2">
        <v>202837.78</v>
      </c>
      <c r="F691" s="2">
        <v>1751176.64</v>
      </c>
      <c r="G691" s="2"/>
      <c r="H691" s="8">
        <f t="shared" si="22"/>
        <v>1751176.64</v>
      </c>
      <c r="I691" s="10">
        <f t="shared" si="23"/>
        <v>0.11582942312432858</v>
      </c>
      <c r="L691" s="2"/>
      <c r="M691" s="2"/>
      <c r="N691" s="2"/>
    </row>
    <row r="692" spans="1:14" ht="30" customHeight="1" x14ac:dyDescent="0.35">
      <c r="A692" t="s">
        <v>1425</v>
      </c>
      <c r="B692" t="s">
        <v>1426</v>
      </c>
      <c r="C692" t="s">
        <v>457</v>
      </c>
      <c r="D692" t="s">
        <v>456</v>
      </c>
      <c r="E692" s="2">
        <v>305478.84000000003</v>
      </c>
      <c r="F692" s="2">
        <v>323780.71000000002</v>
      </c>
      <c r="G692" s="2">
        <v>283314.88</v>
      </c>
      <c r="H692" s="8">
        <f t="shared" si="22"/>
        <v>607095.59000000008</v>
      </c>
      <c r="I692" s="10">
        <f t="shared" si="23"/>
        <v>0.50318079233617885</v>
      </c>
      <c r="L692" s="2"/>
      <c r="M692" s="2"/>
      <c r="N692" s="2"/>
    </row>
    <row r="693" spans="1:14" ht="30" customHeight="1" x14ac:dyDescent="0.35">
      <c r="A693" t="s">
        <v>1427</v>
      </c>
      <c r="B693" t="s">
        <v>1428</v>
      </c>
      <c r="C693" t="s">
        <v>253</v>
      </c>
      <c r="D693" t="s">
        <v>252</v>
      </c>
      <c r="E693" s="2"/>
      <c r="F693" s="2">
        <v>1116144.3600000001</v>
      </c>
      <c r="G693" s="2"/>
      <c r="H693" s="8">
        <f t="shared" si="22"/>
        <v>1116144.3600000001</v>
      </c>
      <c r="I693" s="10">
        <f t="shared" si="23"/>
        <v>0</v>
      </c>
      <c r="L693" s="2"/>
      <c r="M693" s="2"/>
      <c r="N693" s="2"/>
    </row>
    <row r="694" spans="1:14" ht="30" customHeight="1" x14ac:dyDescent="0.35">
      <c r="A694" t="s">
        <v>1429</v>
      </c>
      <c r="B694" t="s">
        <v>1430</v>
      </c>
      <c r="C694" t="s">
        <v>253</v>
      </c>
      <c r="D694" t="s">
        <v>252</v>
      </c>
      <c r="E694" s="2"/>
      <c r="F694" s="2">
        <v>3939161.67</v>
      </c>
      <c r="G694" s="2"/>
      <c r="H694" s="8">
        <f t="shared" si="22"/>
        <v>3939161.67</v>
      </c>
      <c r="I694" s="10">
        <f t="shared" si="23"/>
        <v>0</v>
      </c>
      <c r="L694" s="2"/>
      <c r="M694" s="2"/>
      <c r="N694" s="2"/>
    </row>
    <row r="695" spans="1:14" ht="30" customHeight="1" x14ac:dyDescent="0.35">
      <c r="A695" t="s">
        <v>1431</v>
      </c>
      <c r="B695" t="s">
        <v>1432</v>
      </c>
      <c r="C695" t="s">
        <v>2273</v>
      </c>
      <c r="D695" t="s">
        <v>1552</v>
      </c>
      <c r="E695" s="2">
        <v>1309351.8400000001</v>
      </c>
      <c r="F695" s="2">
        <v>386955.68</v>
      </c>
      <c r="G695" s="2">
        <v>1000000</v>
      </c>
      <c r="H695" s="8">
        <f t="shared" si="22"/>
        <v>1386955.68</v>
      </c>
      <c r="I695" s="10">
        <f t="shared" si="23"/>
        <v>0.9440473541303066</v>
      </c>
      <c r="L695" s="2"/>
      <c r="M695" s="2"/>
      <c r="N695" s="2"/>
    </row>
    <row r="696" spans="1:14" ht="30" customHeight="1" x14ac:dyDescent="0.35">
      <c r="A696" t="s">
        <v>1433</v>
      </c>
      <c r="B696" t="s">
        <v>1434</v>
      </c>
      <c r="C696" t="s">
        <v>2273</v>
      </c>
      <c r="D696" t="s">
        <v>1552</v>
      </c>
      <c r="E696" s="2">
        <v>1669511.09</v>
      </c>
      <c r="F696" s="2">
        <v>0</v>
      </c>
      <c r="G696" s="2">
        <v>500000</v>
      </c>
      <c r="H696" s="8">
        <f t="shared" si="22"/>
        <v>500000</v>
      </c>
      <c r="I696" s="10">
        <f t="shared" si="23"/>
        <v>3.3390221800000002</v>
      </c>
      <c r="L696" s="2"/>
      <c r="M696" s="2"/>
      <c r="N696" s="2"/>
    </row>
    <row r="697" spans="1:14" ht="30" customHeight="1" x14ac:dyDescent="0.35">
      <c r="A697" t="s">
        <v>1435</v>
      </c>
      <c r="B697" t="s">
        <v>1436</v>
      </c>
      <c r="C697" t="s">
        <v>41</v>
      </c>
      <c r="D697" t="s">
        <v>40</v>
      </c>
      <c r="E697" s="2"/>
      <c r="F697" s="2">
        <v>130691.73</v>
      </c>
      <c r="G697" s="2"/>
      <c r="H697" s="8">
        <f t="shared" si="22"/>
        <v>130691.73</v>
      </c>
      <c r="I697" s="10">
        <f t="shared" si="23"/>
        <v>0</v>
      </c>
      <c r="L697" s="2"/>
      <c r="M697" s="2"/>
      <c r="N697" s="2"/>
    </row>
    <row r="698" spans="1:14" ht="30" customHeight="1" x14ac:dyDescent="0.35">
      <c r="A698" t="s">
        <v>1437</v>
      </c>
      <c r="B698" t="s">
        <v>1438</v>
      </c>
      <c r="C698" t="s">
        <v>41</v>
      </c>
      <c r="D698" t="s">
        <v>40</v>
      </c>
      <c r="E698" s="2"/>
      <c r="F698" s="2">
        <v>286778.26</v>
      </c>
      <c r="G698" s="2"/>
      <c r="H698" s="8">
        <f t="shared" si="22"/>
        <v>286778.26</v>
      </c>
      <c r="I698" s="10">
        <f t="shared" si="23"/>
        <v>0</v>
      </c>
      <c r="L698" s="2"/>
      <c r="M698" s="2"/>
      <c r="N698" s="2"/>
    </row>
    <row r="699" spans="1:14" ht="30" customHeight="1" x14ac:dyDescent="0.35">
      <c r="A699" t="s">
        <v>1439</v>
      </c>
      <c r="B699" t="s">
        <v>1440</v>
      </c>
      <c r="C699" t="s">
        <v>41</v>
      </c>
      <c r="D699" t="s">
        <v>40</v>
      </c>
      <c r="E699" s="2">
        <v>26153.46</v>
      </c>
      <c r="F699" s="2">
        <v>247774.63</v>
      </c>
      <c r="G699" s="2"/>
      <c r="H699" s="8">
        <f t="shared" si="22"/>
        <v>247774.63</v>
      </c>
      <c r="I699" s="10">
        <f t="shared" si="23"/>
        <v>0.10555342167194437</v>
      </c>
      <c r="L699" s="2"/>
      <c r="M699" s="2"/>
      <c r="N699" s="2"/>
    </row>
    <row r="700" spans="1:14" ht="30" customHeight="1" x14ac:dyDescent="0.35">
      <c r="A700" t="s">
        <v>1441</v>
      </c>
      <c r="B700" t="s">
        <v>1442</v>
      </c>
      <c r="C700" t="s">
        <v>2273</v>
      </c>
      <c r="D700" t="s">
        <v>1552</v>
      </c>
      <c r="E700" s="2">
        <v>115694.15</v>
      </c>
      <c r="F700" s="2">
        <v>826097.47</v>
      </c>
      <c r="G700" s="2"/>
      <c r="H700" s="8">
        <f t="shared" si="22"/>
        <v>826097.47</v>
      </c>
      <c r="I700" s="10">
        <f t="shared" si="23"/>
        <v>0.14004903077599307</v>
      </c>
      <c r="L700" s="2"/>
      <c r="M700" s="2"/>
      <c r="N700" s="2"/>
    </row>
    <row r="701" spans="1:14" ht="30" customHeight="1" x14ac:dyDescent="0.35">
      <c r="A701" t="s">
        <v>1443</v>
      </c>
      <c r="B701" t="s">
        <v>1444</v>
      </c>
      <c r="C701" t="s">
        <v>19</v>
      </c>
      <c r="D701" t="s">
        <v>18</v>
      </c>
      <c r="E701" s="2">
        <v>168388.16</v>
      </c>
      <c r="F701" s="2"/>
      <c r="G701" s="2"/>
      <c r="H701" s="8" t="str">
        <f t="shared" si="22"/>
        <v/>
      </c>
      <c r="I701" s="10" t="str">
        <f t="shared" si="23"/>
        <v/>
      </c>
      <c r="L701" s="2"/>
      <c r="M701" s="2"/>
      <c r="N701" s="2"/>
    </row>
    <row r="702" spans="1:14" ht="30" customHeight="1" x14ac:dyDescent="0.35">
      <c r="A702" t="s">
        <v>1445</v>
      </c>
      <c r="B702" t="s">
        <v>1446</v>
      </c>
      <c r="C702" t="s">
        <v>457</v>
      </c>
      <c r="D702" t="s">
        <v>456</v>
      </c>
      <c r="E702" s="2"/>
      <c r="F702" s="2">
        <v>536733.62</v>
      </c>
      <c r="G702" s="2">
        <v>400000</v>
      </c>
      <c r="H702" s="8">
        <f t="shared" si="22"/>
        <v>936733.62</v>
      </c>
      <c r="I702" s="10">
        <f t="shared" si="23"/>
        <v>0</v>
      </c>
      <c r="L702" s="2"/>
      <c r="M702" s="2"/>
      <c r="N702" s="2"/>
    </row>
    <row r="703" spans="1:14" ht="30" customHeight="1" x14ac:dyDescent="0.35">
      <c r="A703" t="s">
        <v>1447</v>
      </c>
      <c r="B703" t="s">
        <v>1448</v>
      </c>
      <c r="C703" t="s">
        <v>465</v>
      </c>
      <c r="D703" t="s">
        <v>464</v>
      </c>
      <c r="E703" s="2">
        <v>2121336.63</v>
      </c>
      <c r="F703" s="2">
        <v>3073684.37</v>
      </c>
      <c r="G703" s="2"/>
      <c r="H703" s="8">
        <f t="shared" si="22"/>
        <v>3073684.37</v>
      </c>
      <c r="I703" s="10">
        <f t="shared" si="23"/>
        <v>0.69016085408925698</v>
      </c>
      <c r="L703" s="2"/>
      <c r="M703" s="2"/>
      <c r="N703" s="2"/>
    </row>
    <row r="704" spans="1:14" ht="30" customHeight="1" x14ac:dyDescent="0.35">
      <c r="A704" t="s">
        <v>1449</v>
      </c>
      <c r="B704" t="s">
        <v>1450</v>
      </c>
      <c r="C704" t="s">
        <v>253</v>
      </c>
      <c r="D704" t="s">
        <v>252</v>
      </c>
      <c r="E704" s="2">
        <v>32153.94</v>
      </c>
      <c r="F704" s="2">
        <v>761256.2</v>
      </c>
      <c r="G704" s="2"/>
      <c r="H704" s="8">
        <f t="shared" si="22"/>
        <v>761256.2</v>
      </c>
      <c r="I704" s="10">
        <f t="shared" si="23"/>
        <v>4.2238000820223207E-2</v>
      </c>
      <c r="L704" s="2"/>
      <c r="M704" s="2"/>
      <c r="N704" s="2"/>
    </row>
    <row r="705" spans="1:14" ht="30" customHeight="1" x14ac:dyDescent="0.35">
      <c r="A705" t="s">
        <v>1451</v>
      </c>
      <c r="B705" t="s">
        <v>1452</v>
      </c>
      <c r="C705" t="s">
        <v>19</v>
      </c>
      <c r="D705" t="s">
        <v>18</v>
      </c>
      <c r="E705" s="2">
        <v>28054.06</v>
      </c>
      <c r="F705" s="2"/>
      <c r="G705" s="2"/>
      <c r="H705" s="8" t="str">
        <f t="shared" si="22"/>
        <v/>
      </c>
      <c r="I705" s="10" t="str">
        <f t="shared" si="23"/>
        <v/>
      </c>
      <c r="L705" s="2"/>
      <c r="M705" s="2"/>
      <c r="N705" s="2"/>
    </row>
    <row r="706" spans="1:14" ht="30" customHeight="1" x14ac:dyDescent="0.35">
      <c r="A706" t="s">
        <v>1453</v>
      </c>
      <c r="B706" t="s">
        <v>1454</v>
      </c>
      <c r="C706" t="s">
        <v>101</v>
      </c>
      <c r="D706" t="s">
        <v>100</v>
      </c>
      <c r="E706" s="2">
        <v>188909.3</v>
      </c>
      <c r="F706" s="2">
        <v>4949345.8099999996</v>
      </c>
      <c r="G706" s="2">
        <v>747337.48</v>
      </c>
      <c r="H706" s="8">
        <f t="shared" si="22"/>
        <v>5696683.2899999991</v>
      </c>
      <c r="I706" s="10">
        <f t="shared" si="23"/>
        <v>3.3161278305854358E-2</v>
      </c>
      <c r="L706" s="2"/>
      <c r="M706" s="2"/>
      <c r="N706" s="2"/>
    </row>
    <row r="707" spans="1:14" ht="30" customHeight="1" x14ac:dyDescent="0.35">
      <c r="A707" t="s">
        <v>1455</v>
      </c>
      <c r="B707" t="s">
        <v>1456</v>
      </c>
      <c r="C707" t="s">
        <v>19</v>
      </c>
      <c r="D707" t="s">
        <v>18</v>
      </c>
      <c r="E707" s="2">
        <v>18500.47</v>
      </c>
      <c r="F707" s="2">
        <v>10673.9</v>
      </c>
      <c r="G707" s="2"/>
      <c r="H707" s="8">
        <f t="shared" si="22"/>
        <v>10673.9</v>
      </c>
      <c r="I707" s="10">
        <f t="shared" si="23"/>
        <v>1.7332437066114543</v>
      </c>
      <c r="L707" s="2"/>
      <c r="M707" s="2"/>
      <c r="N707" s="2"/>
    </row>
    <row r="708" spans="1:14" ht="30" customHeight="1" x14ac:dyDescent="0.35">
      <c r="A708" t="s">
        <v>1457</v>
      </c>
      <c r="B708" t="s">
        <v>1458</v>
      </c>
      <c r="C708" t="s">
        <v>19</v>
      </c>
      <c r="D708" t="s">
        <v>18</v>
      </c>
      <c r="E708" s="2">
        <v>795.84</v>
      </c>
      <c r="F708" s="2">
        <v>65000</v>
      </c>
      <c r="G708" s="2">
        <v>35000</v>
      </c>
      <c r="H708" s="8">
        <f t="shared" si="22"/>
        <v>100000</v>
      </c>
      <c r="I708" s="10">
        <f t="shared" si="23"/>
        <v>7.9584000000000009E-3</v>
      </c>
      <c r="L708" s="2"/>
      <c r="M708" s="2"/>
      <c r="N708" s="2"/>
    </row>
    <row r="709" spans="1:14" ht="30" customHeight="1" x14ac:dyDescent="0.35">
      <c r="A709" t="s">
        <v>1459</v>
      </c>
      <c r="B709" t="s">
        <v>1460</v>
      </c>
      <c r="C709" t="s">
        <v>57</v>
      </c>
      <c r="D709" t="s">
        <v>56</v>
      </c>
      <c r="E709" s="2">
        <v>57910.92</v>
      </c>
      <c r="F709" s="2">
        <v>253383.7</v>
      </c>
      <c r="G709" s="2">
        <v>0</v>
      </c>
      <c r="H709" s="8">
        <f t="shared" si="22"/>
        <v>253383.7</v>
      </c>
      <c r="I709" s="10">
        <f t="shared" si="23"/>
        <v>0.2285502974342864</v>
      </c>
      <c r="L709" s="2"/>
      <c r="M709" s="2"/>
      <c r="N709" s="2"/>
    </row>
    <row r="710" spans="1:14" ht="30" customHeight="1" x14ac:dyDescent="0.35">
      <c r="A710" t="s">
        <v>1461</v>
      </c>
      <c r="B710" t="s">
        <v>1462</v>
      </c>
      <c r="C710" t="s">
        <v>29</v>
      </c>
      <c r="D710" t="s">
        <v>28</v>
      </c>
      <c r="E710" s="2">
        <v>74259.899999999994</v>
      </c>
      <c r="F710" s="2"/>
      <c r="G710" s="2"/>
      <c r="H710" s="8" t="str">
        <f t="shared" si="22"/>
        <v/>
      </c>
      <c r="I710" s="10" t="str">
        <f t="shared" si="23"/>
        <v/>
      </c>
      <c r="L710" s="2"/>
      <c r="M710" s="2"/>
      <c r="N710" s="2"/>
    </row>
    <row r="711" spans="1:14" ht="30" customHeight="1" x14ac:dyDescent="0.35">
      <c r="A711" t="s">
        <v>1463</v>
      </c>
      <c r="B711" t="s">
        <v>1464</v>
      </c>
      <c r="C711" t="s">
        <v>19</v>
      </c>
      <c r="D711" t="s">
        <v>18</v>
      </c>
      <c r="E711" s="2"/>
      <c r="F711" s="2">
        <v>29107.13</v>
      </c>
      <c r="G711" s="2"/>
      <c r="H711" s="8">
        <f t="shared" si="22"/>
        <v>29107.13</v>
      </c>
      <c r="I711" s="10">
        <f t="shared" si="23"/>
        <v>0</v>
      </c>
      <c r="L711" s="2"/>
      <c r="M711" s="2"/>
      <c r="N711" s="2"/>
    </row>
    <row r="712" spans="1:14" ht="30" customHeight="1" x14ac:dyDescent="0.35">
      <c r="A712" t="s">
        <v>1465</v>
      </c>
      <c r="B712" t="s">
        <v>1466</v>
      </c>
      <c r="C712" t="s">
        <v>101</v>
      </c>
      <c r="D712" t="s">
        <v>100</v>
      </c>
      <c r="E712" s="2">
        <v>1874483.35</v>
      </c>
      <c r="F712" s="2">
        <v>1501948.28</v>
      </c>
      <c r="G712" s="2">
        <v>2679142.86</v>
      </c>
      <c r="H712" s="8">
        <f t="shared" si="22"/>
        <v>4181091.1399999997</v>
      </c>
      <c r="I712" s="10">
        <f t="shared" si="23"/>
        <v>0.44832396310786954</v>
      </c>
      <c r="L712" s="2"/>
      <c r="M712" s="2"/>
      <c r="N712" s="2"/>
    </row>
    <row r="713" spans="1:14" ht="30" customHeight="1" x14ac:dyDescent="0.35">
      <c r="A713" t="s">
        <v>1467</v>
      </c>
      <c r="B713" t="s">
        <v>1468</v>
      </c>
      <c r="C713" t="s">
        <v>457</v>
      </c>
      <c r="D713" t="s">
        <v>456</v>
      </c>
      <c r="E713" s="2">
        <v>468.2</v>
      </c>
      <c r="F713" s="2">
        <v>355393.46</v>
      </c>
      <c r="G713" s="2">
        <v>900</v>
      </c>
      <c r="H713" s="8">
        <f t="shared" si="22"/>
        <v>356293.46</v>
      </c>
      <c r="I713" s="10">
        <f t="shared" si="23"/>
        <v>1.3140853048495473E-3</v>
      </c>
      <c r="L713" s="2"/>
      <c r="M713" s="2"/>
      <c r="N713" s="2"/>
    </row>
    <row r="714" spans="1:14" ht="30" customHeight="1" x14ac:dyDescent="0.35">
      <c r="A714" t="s">
        <v>1469</v>
      </c>
      <c r="B714" t="s">
        <v>1470</v>
      </c>
      <c r="C714" t="s">
        <v>213</v>
      </c>
      <c r="D714" t="s">
        <v>212</v>
      </c>
      <c r="E714" s="2"/>
      <c r="F714" s="2">
        <v>2136974.67</v>
      </c>
      <c r="G714" s="2"/>
      <c r="H714" s="8">
        <f t="shared" si="22"/>
        <v>2136974.67</v>
      </c>
      <c r="I714" s="10">
        <f t="shared" si="23"/>
        <v>0</v>
      </c>
      <c r="L714" s="2"/>
      <c r="M714" s="2"/>
      <c r="N714" s="2"/>
    </row>
    <row r="715" spans="1:14" ht="30" customHeight="1" x14ac:dyDescent="0.35">
      <c r="A715" t="s">
        <v>1471</v>
      </c>
      <c r="B715" t="s">
        <v>1472</v>
      </c>
      <c r="C715" t="s">
        <v>2266</v>
      </c>
      <c r="D715" t="s">
        <v>1560</v>
      </c>
      <c r="E715" s="2">
        <v>43204.91</v>
      </c>
      <c r="F715" s="2">
        <v>728817.84</v>
      </c>
      <c r="G715" s="2"/>
      <c r="H715" s="8">
        <f t="shared" si="22"/>
        <v>728817.84</v>
      </c>
      <c r="I715" s="10">
        <f t="shared" si="23"/>
        <v>5.9280807396262424E-2</v>
      </c>
      <c r="L715" s="2"/>
      <c r="M715" s="2"/>
      <c r="N715" s="2"/>
    </row>
    <row r="716" spans="1:14" ht="30" customHeight="1" x14ac:dyDescent="0.35">
      <c r="A716" t="s">
        <v>1473</v>
      </c>
      <c r="B716" t="s">
        <v>1474</v>
      </c>
      <c r="C716" t="s">
        <v>101</v>
      </c>
      <c r="D716" t="s">
        <v>100</v>
      </c>
      <c r="E716" s="2">
        <v>6587348.3300000001</v>
      </c>
      <c r="F716" s="2">
        <v>8097129.3899999997</v>
      </c>
      <c r="G716" s="2">
        <v>1000000</v>
      </c>
      <c r="H716" s="8">
        <f t="shared" si="22"/>
        <v>9097129.3900000006</v>
      </c>
      <c r="I716" s="10">
        <f t="shared" si="23"/>
        <v>0.7241128544616644</v>
      </c>
      <c r="L716" s="2"/>
      <c r="M716" s="2"/>
      <c r="N716" s="2"/>
    </row>
    <row r="717" spans="1:14" ht="30" customHeight="1" x14ac:dyDescent="0.35">
      <c r="A717" t="s">
        <v>1475</v>
      </c>
      <c r="B717" t="s">
        <v>1476</v>
      </c>
      <c r="C717" t="s">
        <v>2262</v>
      </c>
      <c r="D717" t="s">
        <v>1518</v>
      </c>
      <c r="E717" s="2">
        <v>1391328.91</v>
      </c>
      <c r="F717" s="2">
        <v>3082208.02</v>
      </c>
      <c r="G717" s="2">
        <v>98990.78</v>
      </c>
      <c r="H717" s="8">
        <f t="shared" si="22"/>
        <v>3181198.8</v>
      </c>
      <c r="I717" s="10">
        <f t="shared" si="23"/>
        <v>0.43735993802084927</v>
      </c>
      <c r="L717" s="2"/>
      <c r="M717" s="2"/>
      <c r="N717" s="2"/>
    </row>
    <row r="718" spans="1:14" ht="30" customHeight="1" x14ac:dyDescent="0.35">
      <c r="A718" t="s">
        <v>1477</v>
      </c>
      <c r="B718" t="s">
        <v>1478</v>
      </c>
      <c r="C718" t="s">
        <v>385</v>
      </c>
      <c r="D718" t="s">
        <v>384</v>
      </c>
      <c r="E718" s="2">
        <v>55.8</v>
      </c>
      <c r="F718" s="2">
        <v>279212.83</v>
      </c>
      <c r="G718" s="2"/>
      <c r="H718" s="8">
        <f t="shared" si="22"/>
        <v>279212.83</v>
      </c>
      <c r="I718" s="10">
        <f t="shared" si="23"/>
        <v>1.9984754998543581E-4</v>
      </c>
      <c r="L718" s="2"/>
      <c r="M718" s="2"/>
      <c r="N718" s="2"/>
    </row>
    <row r="719" spans="1:14" ht="30" customHeight="1" x14ac:dyDescent="0.35">
      <c r="A719" t="s">
        <v>1479</v>
      </c>
      <c r="B719" t="s">
        <v>1480</v>
      </c>
      <c r="C719" t="s">
        <v>487</v>
      </c>
      <c r="D719" t="s">
        <v>486</v>
      </c>
      <c r="E719" s="2">
        <v>2737891.01</v>
      </c>
      <c r="F719" s="2">
        <v>4742715.92</v>
      </c>
      <c r="G719" s="2"/>
      <c r="H719" s="8">
        <f t="shared" si="22"/>
        <v>4742715.92</v>
      </c>
      <c r="I719" s="10">
        <f t="shared" si="23"/>
        <v>0.57728336594109142</v>
      </c>
      <c r="L719" s="2"/>
      <c r="M719" s="2"/>
      <c r="N719" s="2"/>
    </row>
    <row r="720" spans="1:14" ht="30" customHeight="1" x14ac:dyDescent="0.35">
      <c r="A720" t="s">
        <v>1481</v>
      </c>
      <c r="B720" t="s">
        <v>1482</v>
      </c>
      <c r="C720" t="s">
        <v>213</v>
      </c>
      <c r="D720" t="s">
        <v>212</v>
      </c>
      <c r="E720" s="2">
        <v>17096</v>
      </c>
      <c r="F720" s="2">
        <v>1363754.19</v>
      </c>
      <c r="G720" s="2">
        <v>-328.12</v>
      </c>
      <c r="H720" s="8">
        <f t="shared" si="22"/>
        <v>1363426.0699999998</v>
      </c>
      <c r="I720" s="10">
        <f t="shared" si="23"/>
        <v>1.2539000372788824E-2</v>
      </c>
      <c r="L720" s="2"/>
      <c r="M720" s="2"/>
      <c r="N720" s="2"/>
    </row>
    <row r="721" spans="1:14" ht="30" customHeight="1" x14ac:dyDescent="0.35">
      <c r="A721" t="s">
        <v>1483</v>
      </c>
      <c r="B721" t="s">
        <v>1484</v>
      </c>
      <c r="C721" t="s">
        <v>77</v>
      </c>
      <c r="D721" t="s">
        <v>76</v>
      </c>
      <c r="E721" s="2">
        <v>1291.4100000000001</v>
      </c>
      <c r="F721" s="2">
        <v>75005</v>
      </c>
      <c r="G721" s="2">
        <v>1241</v>
      </c>
      <c r="H721" s="8">
        <f t="shared" si="22"/>
        <v>76246</v>
      </c>
      <c r="I721" s="10">
        <f t="shared" si="23"/>
        <v>1.6937413110195945E-2</v>
      </c>
      <c r="L721" s="2"/>
      <c r="M721" s="2"/>
      <c r="N721" s="2"/>
    </row>
    <row r="722" spans="1:14" ht="30" customHeight="1" x14ac:dyDescent="0.35">
      <c r="A722" t="s">
        <v>1485</v>
      </c>
      <c r="B722" t="s">
        <v>1486</v>
      </c>
      <c r="C722" t="s">
        <v>2224</v>
      </c>
      <c r="D722" t="s">
        <v>1673</v>
      </c>
      <c r="E722" s="2">
        <v>783563.34</v>
      </c>
      <c r="F722" s="2">
        <v>0</v>
      </c>
      <c r="G722" s="2">
        <v>500000</v>
      </c>
      <c r="H722" s="8">
        <f t="shared" si="22"/>
        <v>500000</v>
      </c>
      <c r="I722" s="10">
        <f t="shared" si="23"/>
        <v>1.5671266799999999</v>
      </c>
      <c r="L722" s="2"/>
      <c r="M722" s="2"/>
      <c r="N722" s="2"/>
    </row>
    <row r="723" spans="1:14" ht="30" customHeight="1" x14ac:dyDescent="0.35">
      <c r="A723" t="s">
        <v>1487</v>
      </c>
      <c r="B723" t="s">
        <v>1488</v>
      </c>
      <c r="C723" t="s">
        <v>15</v>
      </c>
      <c r="D723" t="s">
        <v>14</v>
      </c>
      <c r="E723" s="2">
        <v>891385</v>
      </c>
      <c r="F723" s="2">
        <v>8678991</v>
      </c>
      <c r="G723" s="2">
        <v>1000</v>
      </c>
      <c r="H723" s="8">
        <f t="shared" si="22"/>
        <v>8679991</v>
      </c>
      <c r="I723" s="10">
        <f t="shared" si="23"/>
        <v>0.10269423090415647</v>
      </c>
      <c r="L723" s="2"/>
      <c r="M723" s="2"/>
      <c r="N723" s="2"/>
    </row>
    <row r="724" spans="1:14" ht="30" customHeight="1" x14ac:dyDescent="0.35">
      <c r="A724" t="s">
        <v>1489</v>
      </c>
      <c r="B724" t="s">
        <v>1490</v>
      </c>
      <c r="C724" t="s">
        <v>385</v>
      </c>
      <c r="D724" t="s">
        <v>384</v>
      </c>
      <c r="E724" s="2">
        <v>12570.28</v>
      </c>
      <c r="F724" s="2">
        <v>529201.68999999994</v>
      </c>
      <c r="G724" s="2">
        <v>54000.959999999999</v>
      </c>
      <c r="H724" s="8">
        <f t="shared" si="22"/>
        <v>583202.64999999991</v>
      </c>
      <c r="I724" s="10">
        <f t="shared" si="23"/>
        <v>2.1553880113542014E-2</v>
      </c>
      <c r="L724" s="2"/>
      <c r="M724" s="2"/>
      <c r="N724" s="2"/>
    </row>
    <row r="725" spans="1:14" ht="30" customHeight="1" x14ac:dyDescent="0.35">
      <c r="A725" t="s">
        <v>1491</v>
      </c>
      <c r="B725" t="s">
        <v>1492</v>
      </c>
      <c r="C725" t="s">
        <v>101</v>
      </c>
      <c r="D725" t="s">
        <v>100</v>
      </c>
      <c r="E725" s="2">
        <v>290406.77</v>
      </c>
      <c r="F725" s="2">
        <v>0</v>
      </c>
      <c r="G725" s="2">
        <v>1000000</v>
      </c>
      <c r="H725" s="8">
        <f t="shared" si="22"/>
        <v>1000000</v>
      </c>
      <c r="I725" s="10">
        <f t="shared" si="23"/>
        <v>0.29040677000000004</v>
      </c>
      <c r="L725" s="2"/>
      <c r="M725" s="2"/>
      <c r="N725" s="2"/>
    </row>
    <row r="726" spans="1:14" ht="30" customHeight="1" x14ac:dyDescent="0.35">
      <c r="A726" t="s">
        <v>1493</v>
      </c>
      <c r="B726" t="s">
        <v>1494</v>
      </c>
      <c r="C726" t="s">
        <v>2262</v>
      </c>
      <c r="D726" t="s">
        <v>1518</v>
      </c>
      <c r="E726" s="2">
        <v>3762.7</v>
      </c>
      <c r="F726" s="2">
        <v>5404873.6399999997</v>
      </c>
      <c r="G726" s="2"/>
      <c r="H726" s="8">
        <f t="shared" si="22"/>
        <v>5404873.6399999997</v>
      </c>
      <c r="I726" s="10">
        <f t="shared" si="23"/>
        <v>6.9616798663955448E-4</v>
      </c>
      <c r="L726" s="2"/>
      <c r="M726" s="2"/>
      <c r="N726" s="2"/>
    </row>
    <row r="727" spans="1:14" ht="30" customHeight="1" x14ac:dyDescent="0.35">
      <c r="A727" t="s">
        <v>1495</v>
      </c>
      <c r="B727" t="s">
        <v>1496</v>
      </c>
      <c r="C727" t="s">
        <v>2224</v>
      </c>
      <c r="D727" t="s">
        <v>1673</v>
      </c>
      <c r="E727" s="2">
        <v>1838.64</v>
      </c>
      <c r="F727" s="2">
        <v>113624.18</v>
      </c>
      <c r="G727" s="2"/>
      <c r="H727" s="8">
        <f t="shared" si="22"/>
        <v>113624.18</v>
      </c>
      <c r="I727" s="10">
        <f t="shared" si="23"/>
        <v>1.6181766944324705E-2</v>
      </c>
      <c r="L727" s="2"/>
      <c r="M727" s="2"/>
      <c r="N727" s="2"/>
    </row>
    <row r="728" spans="1:14" ht="30" customHeight="1" x14ac:dyDescent="0.35">
      <c r="A728" t="s">
        <v>1497</v>
      </c>
      <c r="B728" t="s">
        <v>1498</v>
      </c>
      <c r="C728" t="s">
        <v>253</v>
      </c>
      <c r="D728" t="s">
        <v>252</v>
      </c>
      <c r="E728" s="2">
        <v>1195.3499999999999</v>
      </c>
      <c r="F728" s="2">
        <v>516069.16</v>
      </c>
      <c r="G728" s="2"/>
      <c r="H728" s="8">
        <f t="shared" si="22"/>
        <v>516069.16</v>
      </c>
      <c r="I728" s="10">
        <f t="shared" si="23"/>
        <v>2.3162593168714052E-3</v>
      </c>
      <c r="L728" s="2"/>
      <c r="M728" s="2"/>
      <c r="N728" s="2"/>
    </row>
    <row r="729" spans="1:14" ht="30" customHeight="1" x14ac:dyDescent="0.35">
      <c r="A729" t="s">
        <v>1499</v>
      </c>
      <c r="B729" t="s">
        <v>1500</v>
      </c>
      <c r="C729" t="s">
        <v>253</v>
      </c>
      <c r="D729" t="s">
        <v>252</v>
      </c>
      <c r="E729" s="2"/>
      <c r="F729" s="2">
        <v>268636.65999999997</v>
      </c>
      <c r="G729" s="2"/>
      <c r="H729" s="8">
        <f t="shared" si="22"/>
        <v>268636.65999999997</v>
      </c>
      <c r="I729" s="10">
        <f t="shared" si="23"/>
        <v>0</v>
      </c>
      <c r="L729" s="2"/>
      <c r="M729" s="2"/>
      <c r="N729" s="2"/>
    </row>
    <row r="730" spans="1:14" ht="30" customHeight="1" x14ac:dyDescent="0.35">
      <c r="A730" t="s">
        <v>1501</v>
      </c>
      <c r="B730" t="s">
        <v>1502</v>
      </c>
      <c r="C730" t="s">
        <v>2224</v>
      </c>
      <c r="D730" t="s">
        <v>1673</v>
      </c>
      <c r="E730" s="2">
        <v>1987606.62</v>
      </c>
      <c r="F730" s="2">
        <v>4545896.71</v>
      </c>
      <c r="G730" s="2">
        <v>450000</v>
      </c>
      <c r="H730" s="8">
        <f t="shared" si="22"/>
        <v>4995896.71</v>
      </c>
      <c r="I730" s="10">
        <f t="shared" si="23"/>
        <v>0.39784782099708382</v>
      </c>
      <c r="L730" s="2"/>
      <c r="M730" s="2"/>
      <c r="N730" s="2"/>
    </row>
    <row r="731" spans="1:14" ht="30" customHeight="1" x14ac:dyDescent="0.35">
      <c r="A731" t="s">
        <v>1503</v>
      </c>
      <c r="B731" t="s">
        <v>1504</v>
      </c>
      <c r="C731" t="s">
        <v>41</v>
      </c>
      <c r="D731" t="s">
        <v>40</v>
      </c>
      <c r="E731" s="2">
        <v>73547.64</v>
      </c>
      <c r="F731" s="2">
        <v>454980.99</v>
      </c>
      <c r="G731" s="2"/>
      <c r="H731" s="8">
        <f t="shared" si="22"/>
        <v>454980.99</v>
      </c>
      <c r="I731" s="10">
        <f t="shared" si="23"/>
        <v>0.16164991860429159</v>
      </c>
      <c r="L731" s="2"/>
      <c r="M731" s="2"/>
      <c r="N731" s="2"/>
    </row>
    <row r="732" spans="1:14" ht="30" customHeight="1" x14ac:dyDescent="0.35">
      <c r="A732" t="s">
        <v>1505</v>
      </c>
      <c r="B732" t="s">
        <v>1506</v>
      </c>
      <c r="C732" t="s">
        <v>57</v>
      </c>
      <c r="D732" t="s">
        <v>56</v>
      </c>
      <c r="E732" s="2">
        <v>5825.81</v>
      </c>
      <c r="F732" s="2"/>
      <c r="G732" s="2"/>
      <c r="H732" s="8" t="str">
        <f t="shared" si="22"/>
        <v/>
      </c>
      <c r="I732" s="10" t="str">
        <f t="shared" si="23"/>
        <v/>
      </c>
      <c r="L732" s="2"/>
      <c r="M732" s="2"/>
      <c r="N732" s="2"/>
    </row>
    <row r="733" spans="1:14" ht="30" customHeight="1" x14ac:dyDescent="0.35">
      <c r="A733" t="s">
        <v>1507</v>
      </c>
      <c r="B733" t="s">
        <v>1508</v>
      </c>
      <c r="C733" t="s">
        <v>457</v>
      </c>
      <c r="D733" t="s">
        <v>456</v>
      </c>
      <c r="E733" s="2"/>
      <c r="F733" s="2">
        <v>160452.78</v>
      </c>
      <c r="G733" s="2"/>
      <c r="H733" s="8">
        <f t="shared" si="22"/>
        <v>160452.78</v>
      </c>
      <c r="I733" s="10">
        <f t="shared" si="23"/>
        <v>0</v>
      </c>
      <c r="L733" s="2"/>
      <c r="M733" s="2"/>
      <c r="N733" s="2"/>
    </row>
    <row r="734" spans="1:14" ht="30" customHeight="1" x14ac:dyDescent="0.35">
      <c r="A734" t="s">
        <v>1509</v>
      </c>
      <c r="B734" t="s">
        <v>1510</v>
      </c>
      <c r="C734" t="s">
        <v>253</v>
      </c>
      <c r="D734" t="s">
        <v>252</v>
      </c>
      <c r="E734" s="2">
        <v>24450.82</v>
      </c>
      <c r="F734" s="2">
        <v>5982049.9500000002</v>
      </c>
      <c r="G734" s="2"/>
      <c r="H734" s="8">
        <f t="shared" si="22"/>
        <v>5982049.9500000002</v>
      </c>
      <c r="I734" s="10">
        <f t="shared" si="23"/>
        <v>4.0873647335559274E-3</v>
      </c>
      <c r="L734" s="2"/>
      <c r="M734" s="2"/>
      <c r="N734" s="2"/>
    </row>
    <row r="735" spans="1:14" ht="30" customHeight="1" x14ac:dyDescent="0.35">
      <c r="A735" t="s">
        <v>1511</v>
      </c>
      <c r="B735" t="s">
        <v>1512</v>
      </c>
      <c r="C735" t="s">
        <v>29</v>
      </c>
      <c r="D735" t="s">
        <v>28</v>
      </c>
      <c r="E735" s="2">
        <v>5425.24</v>
      </c>
      <c r="F735" s="2">
        <v>74769.42</v>
      </c>
      <c r="G735" s="2"/>
      <c r="H735" s="8">
        <f t="shared" si="22"/>
        <v>74769.42</v>
      </c>
      <c r="I735" s="10">
        <f t="shared" si="23"/>
        <v>7.2559610600162472E-2</v>
      </c>
      <c r="L735" s="2"/>
      <c r="M735" s="2"/>
      <c r="N735" s="2"/>
    </row>
    <row r="736" spans="1:14" ht="30" customHeight="1" x14ac:dyDescent="0.35">
      <c r="A736" t="s">
        <v>1513</v>
      </c>
      <c r="B736" t="s">
        <v>1514</v>
      </c>
      <c r="C736" t="s">
        <v>41</v>
      </c>
      <c r="D736" t="s">
        <v>40</v>
      </c>
      <c r="E736" s="2">
        <v>322918.17</v>
      </c>
      <c r="F736" s="2">
        <v>201120.44</v>
      </c>
      <c r="G736" s="2"/>
      <c r="H736" s="8">
        <f t="shared" si="22"/>
        <v>201120.44</v>
      </c>
      <c r="I736" s="10">
        <f t="shared" si="23"/>
        <v>1.605595980199725</v>
      </c>
      <c r="L736" s="2"/>
      <c r="M736" s="2"/>
      <c r="N736" s="2"/>
    </row>
    <row r="737" spans="1:14" ht="30" customHeight="1" x14ac:dyDescent="0.35">
      <c r="A737" t="s">
        <v>10</v>
      </c>
      <c r="B737" t="s">
        <v>1515</v>
      </c>
      <c r="C737" t="s">
        <v>2262</v>
      </c>
      <c r="D737" t="s">
        <v>1518</v>
      </c>
      <c r="E737" s="2">
        <v>333986.90000000002</v>
      </c>
      <c r="F737" s="2"/>
      <c r="G737" s="2"/>
      <c r="H737" s="8" t="str">
        <f t="shared" si="22"/>
        <v/>
      </c>
      <c r="I737" s="10" t="str">
        <f t="shared" si="23"/>
        <v/>
      </c>
      <c r="L737" s="2"/>
      <c r="M737" s="2"/>
      <c r="N737" s="2"/>
    </row>
    <row r="738" spans="1:14" ht="30" customHeight="1" x14ac:dyDescent="0.35">
      <c r="A738" t="s">
        <v>1516</v>
      </c>
      <c r="B738" t="s">
        <v>1517</v>
      </c>
      <c r="C738" t="s">
        <v>41</v>
      </c>
      <c r="D738" t="s">
        <v>40</v>
      </c>
      <c r="E738" s="2">
        <v>672018.99</v>
      </c>
      <c r="F738" s="2">
        <v>30085.759999999998</v>
      </c>
      <c r="G738" s="2">
        <v>250000</v>
      </c>
      <c r="H738" s="8">
        <f t="shared" si="22"/>
        <v>280085.76000000001</v>
      </c>
      <c r="I738" s="10">
        <f t="shared" si="23"/>
        <v>2.3993329400252263</v>
      </c>
      <c r="L738" s="2"/>
      <c r="M738" s="2"/>
      <c r="N738" s="2"/>
    </row>
    <row r="739" spans="1:14" ht="30" customHeight="1" x14ac:dyDescent="0.35">
      <c r="A739" t="s">
        <v>1518</v>
      </c>
      <c r="B739" t="s">
        <v>1519</v>
      </c>
      <c r="C739" t="s">
        <v>33</v>
      </c>
      <c r="D739" t="s">
        <v>32</v>
      </c>
      <c r="E739" s="2">
        <v>267553.07</v>
      </c>
      <c r="F739" s="2"/>
      <c r="G739" s="2"/>
      <c r="H739" s="8" t="str">
        <f t="shared" si="22"/>
        <v/>
      </c>
      <c r="I739" s="10" t="str">
        <f t="shared" si="23"/>
        <v/>
      </c>
      <c r="L739" s="2"/>
      <c r="M739" s="2"/>
      <c r="N739" s="2"/>
    </row>
    <row r="740" spans="1:14" ht="30" customHeight="1" x14ac:dyDescent="0.35">
      <c r="A740" t="s">
        <v>14</v>
      </c>
      <c r="B740" t="s">
        <v>1520</v>
      </c>
      <c r="C740" t="s">
        <v>2273</v>
      </c>
      <c r="D740" t="s">
        <v>1552</v>
      </c>
      <c r="E740" s="2">
        <v>384881.67</v>
      </c>
      <c r="F740" s="2">
        <v>3646516.55</v>
      </c>
      <c r="G740" s="2">
        <v>200000</v>
      </c>
      <c r="H740" s="8">
        <f t="shared" si="22"/>
        <v>3846516.55</v>
      </c>
      <c r="I740" s="10">
        <f t="shared" si="23"/>
        <v>0.1000597982608446</v>
      </c>
      <c r="L740" s="2"/>
      <c r="M740" s="2"/>
      <c r="N740" s="2"/>
    </row>
    <row r="741" spans="1:14" ht="30" customHeight="1" x14ac:dyDescent="0.35">
      <c r="A741" t="s">
        <v>1521</v>
      </c>
      <c r="B741" t="s">
        <v>1522</v>
      </c>
      <c r="C741" t="s">
        <v>33</v>
      </c>
      <c r="D741" t="s">
        <v>32</v>
      </c>
      <c r="E741" s="2">
        <v>550.37</v>
      </c>
      <c r="F741" s="2"/>
      <c r="G741" s="2"/>
      <c r="H741" s="8" t="str">
        <f t="shared" ref="H741:H802" si="24">IF(ISBLANK(F741), "",(F741+G741))</f>
        <v/>
      </c>
      <c r="I741" s="10" t="str">
        <f t="shared" ref="I741:I802" si="25">IF(ISBLANK(F741), "", E741/H741)</f>
        <v/>
      </c>
      <c r="L741" s="2"/>
      <c r="M741" s="2"/>
      <c r="N741" s="2"/>
    </row>
    <row r="742" spans="1:14" ht="30" customHeight="1" x14ac:dyDescent="0.35">
      <c r="A742" t="s">
        <v>464</v>
      </c>
      <c r="B742" t="s">
        <v>1523</v>
      </c>
      <c r="C742" t="s">
        <v>15</v>
      </c>
      <c r="D742" t="s">
        <v>14</v>
      </c>
      <c r="E742" s="2">
        <v>298484</v>
      </c>
      <c r="F742" s="2">
        <v>2527078.06</v>
      </c>
      <c r="G742" s="2">
        <v>500000</v>
      </c>
      <c r="H742" s="8">
        <f t="shared" si="24"/>
        <v>3027078.06</v>
      </c>
      <c r="I742" s="10">
        <f t="shared" si="25"/>
        <v>9.8604659042059853E-2</v>
      </c>
      <c r="L742" s="2"/>
      <c r="M742" s="2"/>
      <c r="N742" s="2"/>
    </row>
    <row r="743" spans="1:14" ht="30" customHeight="1" x14ac:dyDescent="0.35">
      <c r="A743" t="s">
        <v>258</v>
      </c>
      <c r="B743" t="s">
        <v>1524</v>
      </c>
      <c r="C743" t="s">
        <v>2266</v>
      </c>
      <c r="D743" t="s">
        <v>1560</v>
      </c>
      <c r="E743" s="2">
        <v>672814.91</v>
      </c>
      <c r="F743" s="2">
        <v>0</v>
      </c>
      <c r="G743" s="2">
        <v>250000</v>
      </c>
      <c r="H743" s="8">
        <f t="shared" si="24"/>
        <v>250000</v>
      </c>
      <c r="I743" s="10">
        <f t="shared" si="25"/>
        <v>2.6912596400000002</v>
      </c>
      <c r="L743" s="2"/>
      <c r="M743" s="2"/>
      <c r="N743" s="2"/>
    </row>
    <row r="744" spans="1:14" ht="30" customHeight="1" x14ac:dyDescent="0.35">
      <c r="A744" t="s">
        <v>1525</v>
      </c>
      <c r="B744" t="s">
        <v>1526</v>
      </c>
      <c r="C744" t="s">
        <v>253</v>
      </c>
      <c r="D744" t="s">
        <v>252</v>
      </c>
      <c r="E744" s="2"/>
      <c r="F744" s="2">
        <v>395150.58</v>
      </c>
      <c r="G744" s="2"/>
      <c r="H744" s="8">
        <f t="shared" si="24"/>
        <v>395150.58</v>
      </c>
      <c r="I744" s="10">
        <f t="shared" si="25"/>
        <v>0</v>
      </c>
      <c r="L744" s="2"/>
      <c r="M744" s="2"/>
      <c r="N744" s="2"/>
    </row>
    <row r="745" spans="1:14" ht="30" customHeight="1" x14ac:dyDescent="0.35">
      <c r="A745" t="s">
        <v>1527</v>
      </c>
      <c r="B745" t="s">
        <v>1528</v>
      </c>
      <c r="C745" t="s">
        <v>259</v>
      </c>
      <c r="D745" t="s">
        <v>258</v>
      </c>
      <c r="E745" s="2">
        <v>565755.59</v>
      </c>
      <c r="F745" s="2">
        <v>935170.28</v>
      </c>
      <c r="G745" s="2"/>
      <c r="H745" s="8">
        <f t="shared" si="24"/>
        <v>935170.28</v>
      </c>
      <c r="I745" s="10">
        <f t="shared" si="25"/>
        <v>0.6049760157048617</v>
      </c>
      <c r="L745" s="2"/>
      <c r="M745" s="2"/>
      <c r="N745" s="2"/>
    </row>
    <row r="746" spans="1:14" ht="30" customHeight="1" x14ac:dyDescent="0.35">
      <c r="A746" t="s">
        <v>1529</v>
      </c>
      <c r="B746" t="s">
        <v>1530</v>
      </c>
      <c r="C746" t="s">
        <v>41</v>
      </c>
      <c r="D746" t="s">
        <v>40</v>
      </c>
      <c r="E746" s="2"/>
      <c r="F746" s="2">
        <v>389144.63</v>
      </c>
      <c r="G746" s="2"/>
      <c r="H746" s="8">
        <f t="shared" si="24"/>
        <v>389144.63</v>
      </c>
      <c r="I746" s="10">
        <f t="shared" si="25"/>
        <v>0</v>
      </c>
      <c r="L746" s="2"/>
      <c r="M746" s="2"/>
      <c r="N746" s="2"/>
    </row>
    <row r="747" spans="1:14" ht="30" customHeight="1" x14ac:dyDescent="0.35">
      <c r="A747" t="s">
        <v>1531</v>
      </c>
      <c r="B747" t="s">
        <v>1532</v>
      </c>
      <c r="C747" t="s">
        <v>2224</v>
      </c>
      <c r="D747" t="s">
        <v>1673</v>
      </c>
      <c r="E747" s="2">
        <v>132220.78</v>
      </c>
      <c r="F747" s="2">
        <v>1647572.21</v>
      </c>
      <c r="G747" s="2"/>
      <c r="H747" s="8">
        <f t="shared" si="24"/>
        <v>1647572.21</v>
      </c>
      <c r="I747" s="10">
        <f t="shared" si="25"/>
        <v>8.0251887715440409E-2</v>
      </c>
      <c r="L747" s="2"/>
      <c r="M747" s="2"/>
      <c r="N747" s="2"/>
    </row>
    <row r="748" spans="1:14" ht="30" customHeight="1" x14ac:dyDescent="0.35">
      <c r="A748" t="s">
        <v>1533</v>
      </c>
      <c r="B748" t="s">
        <v>1534</v>
      </c>
      <c r="C748" t="s">
        <v>33</v>
      </c>
      <c r="D748" t="s">
        <v>32</v>
      </c>
      <c r="E748" s="2">
        <v>66886.490000000005</v>
      </c>
      <c r="F748" s="2">
        <v>46679.26</v>
      </c>
      <c r="G748" s="2"/>
      <c r="H748" s="8">
        <f t="shared" si="24"/>
        <v>46679.26</v>
      </c>
      <c r="I748" s="10">
        <f t="shared" si="25"/>
        <v>1.432895251552831</v>
      </c>
      <c r="L748" s="2"/>
      <c r="M748" s="2"/>
      <c r="N748" s="2"/>
    </row>
    <row r="749" spans="1:14" ht="30" customHeight="1" x14ac:dyDescent="0.35">
      <c r="A749" t="s">
        <v>1535</v>
      </c>
      <c r="B749" t="s">
        <v>1536</v>
      </c>
      <c r="C749" t="s">
        <v>2273</v>
      </c>
      <c r="D749" t="s">
        <v>1552</v>
      </c>
      <c r="E749" s="2">
        <v>192951.33</v>
      </c>
      <c r="F749" s="2">
        <v>762505.21</v>
      </c>
      <c r="G749" s="2"/>
      <c r="H749" s="8">
        <f t="shared" si="24"/>
        <v>762505.21</v>
      </c>
      <c r="I749" s="10">
        <f t="shared" si="25"/>
        <v>0.25304919555893918</v>
      </c>
      <c r="L749" s="2"/>
      <c r="M749" s="2"/>
      <c r="N749" s="2"/>
    </row>
    <row r="750" spans="1:14" ht="30" customHeight="1" x14ac:dyDescent="0.35">
      <c r="A750" t="s">
        <v>1537</v>
      </c>
      <c r="B750" t="s">
        <v>1538</v>
      </c>
      <c r="C750" t="s">
        <v>2266</v>
      </c>
      <c r="D750" t="s">
        <v>1560</v>
      </c>
      <c r="E750" s="2">
        <v>242013.56</v>
      </c>
      <c r="F750" s="2">
        <v>2248901</v>
      </c>
      <c r="G750" s="2">
        <v>1480738</v>
      </c>
      <c r="H750" s="8">
        <f t="shared" si="24"/>
        <v>3729639</v>
      </c>
      <c r="I750" s="10">
        <f t="shared" si="25"/>
        <v>6.4889272125264671E-2</v>
      </c>
      <c r="L750" s="2"/>
      <c r="M750" s="2"/>
      <c r="N750" s="2"/>
    </row>
    <row r="751" spans="1:14" ht="30" customHeight="1" x14ac:dyDescent="0.35">
      <c r="A751" t="s">
        <v>1539</v>
      </c>
      <c r="B751" t="s">
        <v>1540</v>
      </c>
      <c r="C751" t="s">
        <v>213</v>
      </c>
      <c r="D751" t="s">
        <v>212</v>
      </c>
      <c r="E751" s="2">
        <v>-1527.16</v>
      </c>
      <c r="F751" s="2">
        <v>298647.96000000002</v>
      </c>
      <c r="G751" s="2"/>
      <c r="H751" s="8">
        <f t="shared" si="24"/>
        <v>298647.96000000002</v>
      </c>
      <c r="I751" s="10">
        <f t="shared" si="25"/>
        <v>-5.1135792121265455E-3</v>
      </c>
      <c r="L751" s="2"/>
      <c r="M751" s="2"/>
      <c r="N751" s="2"/>
    </row>
    <row r="752" spans="1:14" ht="30" customHeight="1" x14ac:dyDescent="0.35">
      <c r="A752" t="s">
        <v>1541</v>
      </c>
      <c r="B752" t="s">
        <v>1542</v>
      </c>
      <c r="C752" t="s">
        <v>51</v>
      </c>
      <c r="D752" t="s">
        <v>50</v>
      </c>
      <c r="E752" s="2">
        <v>190516.21</v>
      </c>
      <c r="F752" s="2"/>
      <c r="G752" s="2"/>
      <c r="H752" s="8" t="str">
        <f t="shared" si="24"/>
        <v/>
      </c>
      <c r="I752" s="10" t="str">
        <f t="shared" si="25"/>
        <v/>
      </c>
      <c r="L752" s="2"/>
      <c r="M752" s="2"/>
      <c r="N752" s="2"/>
    </row>
    <row r="753" spans="1:14" ht="30" customHeight="1" x14ac:dyDescent="0.35">
      <c r="A753" t="s">
        <v>1543</v>
      </c>
      <c r="B753" t="s">
        <v>1544</v>
      </c>
      <c r="C753" t="s">
        <v>487</v>
      </c>
      <c r="D753" t="s">
        <v>486</v>
      </c>
      <c r="E753" s="2">
        <v>140</v>
      </c>
      <c r="F753" s="2">
        <v>2200000</v>
      </c>
      <c r="G753" s="2">
        <v>-225000</v>
      </c>
      <c r="H753" s="8">
        <f t="shared" si="24"/>
        <v>1975000</v>
      </c>
      <c r="I753" s="10">
        <f t="shared" si="25"/>
        <v>7.0886075949367088E-5</v>
      </c>
      <c r="L753" s="2"/>
      <c r="M753" s="2"/>
      <c r="N753" s="2"/>
    </row>
    <row r="754" spans="1:14" ht="30" customHeight="1" x14ac:dyDescent="0.35">
      <c r="A754" t="s">
        <v>384</v>
      </c>
      <c r="B754" t="s">
        <v>1545</v>
      </c>
      <c r="C754" t="s">
        <v>2273</v>
      </c>
      <c r="D754" t="s">
        <v>1552</v>
      </c>
      <c r="E754" s="2">
        <v>1385063.11</v>
      </c>
      <c r="F754" s="2">
        <v>445535.93</v>
      </c>
      <c r="G754" s="2"/>
      <c r="H754" s="8">
        <f t="shared" si="24"/>
        <v>445535.93</v>
      </c>
      <c r="I754" s="10">
        <f t="shared" si="25"/>
        <v>3.1087573790064478</v>
      </c>
      <c r="L754" s="2"/>
      <c r="M754" s="2"/>
      <c r="N754" s="2"/>
    </row>
    <row r="755" spans="1:14" ht="30" customHeight="1" x14ac:dyDescent="0.35">
      <c r="A755" t="s">
        <v>1546</v>
      </c>
      <c r="B755" t="s">
        <v>1547</v>
      </c>
      <c r="C755" t="s">
        <v>965</v>
      </c>
      <c r="D755" t="s">
        <v>964</v>
      </c>
      <c r="E755" s="2">
        <v>16184.68</v>
      </c>
      <c r="F755" s="2">
        <v>0</v>
      </c>
      <c r="G755" s="2"/>
      <c r="H755" s="8">
        <f t="shared" si="24"/>
        <v>0</v>
      </c>
      <c r="I755" s="10" t="e">
        <f t="shared" si="25"/>
        <v>#DIV/0!</v>
      </c>
      <c r="L755" s="2"/>
      <c r="M755" s="2"/>
      <c r="N755" s="2"/>
    </row>
    <row r="756" spans="1:14" ht="30" customHeight="1" x14ac:dyDescent="0.35">
      <c r="A756" t="s">
        <v>1548</v>
      </c>
      <c r="B756" t="s">
        <v>1549</v>
      </c>
      <c r="C756" t="s">
        <v>2266</v>
      </c>
      <c r="D756" t="s">
        <v>1560</v>
      </c>
      <c r="E756" s="2">
        <v>119467.8</v>
      </c>
      <c r="F756" s="2">
        <v>1998889.58</v>
      </c>
      <c r="G756" s="2"/>
      <c r="H756" s="8">
        <f t="shared" si="24"/>
        <v>1998889.58</v>
      </c>
      <c r="I756" s="10">
        <f t="shared" si="25"/>
        <v>5.9767083282309168E-2</v>
      </c>
      <c r="L756" s="2"/>
      <c r="M756" s="2"/>
      <c r="N756" s="2"/>
    </row>
    <row r="757" spans="1:14" ht="30" customHeight="1" x14ac:dyDescent="0.35">
      <c r="A757" t="s">
        <v>1550</v>
      </c>
      <c r="B757" t="s">
        <v>1551</v>
      </c>
      <c r="C757" t="s">
        <v>2273</v>
      </c>
      <c r="D757" t="s">
        <v>1552</v>
      </c>
      <c r="E757" s="2">
        <v>15863.78</v>
      </c>
      <c r="F757" s="2">
        <v>664009.16</v>
      </c>
      <c r="G757" s="2"/>
      <c r="H757" s="8">
        <f t="shared" si="24"/>
        <v>664009.16</v>
      </c>
      <c r="I757" s="10">
        <f t="shared" si="25"/>
        <v>2.3890905360401955E-2</v>
      </c>
      <c r="L757" s="2"/>
      <c r="M757" s="2"/>
      <c r="N757" s="2"/>
    </row>
    <row r="758" spans="1:14" ht="30" customHeight="1" x14ac:dyDescent="0.35">
      <c r="A758" t="s">
        <v>1552</v>
      </c>
      <c r="B758" t="s">
        <v>1553</v>
      </c>
      <c r="C758" t="s">
        <v>19</v>
      </c>
      <c r="D758" t="s">
        <v>18</v>
      </c>
      <c r="E758" s="2">
        <v>948001.4</v>
      </c>
      <c r="F758" s="2"/>
      <c r="G758" s="2"/>
      <c r="H758" s="8" t="str">
        <f t="shared" si="24"/>
        <v/>
      </c>
      <c r="I758" s="10" t="str">
        <f t="shared" si="25"/>
        <v/>
      </c>
      <c r="L758" s="2"/>
      <c r="M758" s="2"/>
      <c r="N758" s="2"/>
    </row>
    <row r="759" spans="1:14" ht="30" customHeight="1" x14ac:dyDescent="0.35">
      <c r="A759" t="s">
        <v>1554</v>
      </c>
      <c r="B759" t="s">
        <v>1555</v>
      </c>
      <c r="C759" t="s">
        <v>19</v>
      </c>
      <c r="D759" t="s">
        <v>18</v>
      </c>
      <c r="E759" s="2"/>
      <c r="F759" s="2">
        <v>15743.31</v>
      </c>
      <c r="G759" s="2"/>
      <c r="H759" s="8">
        <f t="shared" si="24"/>
        <v>15743.31</v>
      </c>
      <c r="I759" s="10">
        <f t="shared" si="25"/>
        <v>0</v>
      </c>
      <c r="L759" s="2"/>
      <c r="M759" s="2"/>
      <c r="N759" s="2"/>
    </row>
    <row r="760" spans="1:14" ht="30" customHeight="1" x14ac:dyDescent="0.35">
      <c r="A760" t="s">
        <v>2228</v>
      </c>
      <c r="B760" t="s">
        <v>2229</v>
      </c>
      <c r="C760" t="s">
        <v>29</v>
      </c>
      <c r="D760" t="s">
        <v>28</v>
      </c>
      <c r="E760" s="2">
        <v>772.55</v>
      </c>
      <c r="F760" s="2"/>
      <c r="G760" s="2"/>
      <c r="H760" s="8" t="str">
        <f t="shared" si="24"/>
        <v/>
      </c>
      <c r="I760" s="10" t="str">
        <f t="shared" si="25"/>
        <v/>
      </c>
      <c r="L760" s="2"/>
      <c r="M760" s="2"/>
      <c r="N760" s="2"/>
    </row>
    <row r="761" spans="1:14" ht="30" customHeight="1" x14ac:dyDescent="0.35">
      <c r="A761" t="s">
        <v>1556</v>
      </c>
      <c r="B761" t="s">
        <v>1557</v>
      </c>
      <c r="C761" t="s">
        <v>2225</v>
      </c>
      <c r="D761" t="s">
        <v>308</v>
      </c>
      <c r="E761" s="2">
        <v>117716.77</v>
      </c>
      <c r="F761" s="2">
        <v>463.64</v>
      </c>
      <c r="G761" s="2">
        <v>36.36</v>
      </c>
      <c r="H761" s="8">
        <f t="shared" si="24"/>
        <v>500</v>
      </c>
      <c r="I761" s="10">
        <f t="shared" si="25"/>
        <v>235.43354000000002</v>
      </c>
      <c r="L761" s="2"/>
      <c r="M761" s="2"/>
      <c r="N761" s="2"/>
    </row>
    <row r="762" spans="1:14" ht="30" customHeight="1" x14ac:dyDescent="0.35">
      <c r="A762" t="s">
        <v>1558</v>
      </c>
      <c r="B762" t="s">
        <v>1559</v>
      </c>
      <c r="C762" t="s">
        <v>253</v>
      </c>
      <c r="D762" t="s">
        <v>252</v>
      </c>
      <c r="E762" s="2">
        <v>32.85</v>
      </c>
      <c r="F762" s="2"/>
      <c r="G762" s="2"/>
      <c r="H762" s="8" t="str">
        <f t="shared" si="24"/>
        <v/>
      </c>
      <c r="I762" s="10" t="str">
        <f t="shared" si="25"/>
        <v/>
      </c>
      <c r="L762" s="2"/>
      <c r="M762" s="2"/>
      <c r="N762" s="2"/>
    </row>
    <row r="763" spans="1:14" ht="30" customHeight="1" x14ac:dyDescent="0.35">
      <c r="A763" t="s">
        <v>1560</v>
      </c>
      <c r="B763" t="s">
        <v>1561</v>
      </c>
      <c r="C763" t="s">
        <v>101</v>
      </c>
      <c r="D763" t="s">
        <v>100</v>
      </c>
      <c r="E763" s="2">
        <v>13258.34</v>
      </c>
      <c r="F763" s="2">
        <v>222195.35</v>
      </c>
      <c r="G763" s="2"/>
      <c r="H763" s="8">
        <f t="shared" si="24"/>
        <v>222195.35</v>
      </c>
      <c r="I763" s="10">
        <f t="shared" si="25"/>
        <v>5.9669745563982322E-2</v>
      </c>
      <c r="L763" s="2"/>
      <c r="M763" s="2"/>
      <c r="N763" s="2"/>
    </row>
    <row r="764" spans="1:14" ht="30" customHeight="1" x14ac:dyDescent="0.35">
      <c r="A764" t="s">
        <v>1562</v>
      </c>
      <c r="B764" t="s">
        <v>1563</v>
      </c>
      <c r="C764" t="s">
        <v>457</v>
      </c>
      <c r="D764" t="s">
        <v>456</v>
      </c>
      <c r="E764" s="2"/>
      <c r="F764" s="2">
        <v>403365.89</v>
      </c>
      <c r="G764" s="2"/>
      <c r="H764" s="8">
        <f t="shared" si="24"/>
        <v>403365.89</v>
      </c>
      <c r="I764" s="10">
        <f t="shared" si="25"/>
        <v>0</v>
      </c>
      <c r="L764" s="2"/>
      <c r="M764" s="2"/>
      <c r="N764" s="2"/>
    </row>
    <row r="765" spans="1:14" ht="30" customHeight="1" x14ac:dyDescent="0.35">
      <c r="A765" t="s">
        <v>1564</v>
      </c>
      <c r="B765" t="s">
        <v>1565</v>
      </c>
      <c r="C765" t="s">
        <v>253</v>
      </c>
      <c r="D765" t="s">
        <v>252</v>
      </c>
      <c r="E765" s="2"/>
      <c r="F765" s="2">
        <v>6552629.6600000001</v>
      </c>
      <c r="G765" s="2"/>
      <c r="H765" s="8">
        <f t="shared" si="24"/>
        <v>6552629.6600000001</v>
      </c>
      <c r="I765" s="10">
        <f t="shared" si="25"/>
        <v>0</v>
      </c>
      <c r="L765" s="2"/>
      <c r="M765" s="2"/>
      <c r="N765" s="2"/>
    </row>
    <row r="766" spans="1:14" ht="30" customHeight="1" x14ac:dyDescent="0.35">
      <c r="A766" t="s">
        <v>1566</v>
      </c>
      <c r="B766" t="s">
        <v>1567</v>
      </c>
      <c r="C766" t="s">
        <v>29</v>
      </c>
      <c r="D766" t="s">
        <v>28</v>
      </c>
      <c r="E766" s="2">
        <v>38549.019999999997</v>
      </c>
      <c r="F766" s="2">
        <v>14919.46</v>
      </c>
      <c r="G766" s="2">
        <v>80000</v>
      </c>
      <c r="H766" s="8">
        <f t="shared" si="24"/>
        <v>94919.459999999992</v>
      </c>
      <c r="I766" s="10">
        <f t="shared" si="25"/>
        <v>0.40612346509345926</v>
      </c>
      <c r="L766" s="2"/>
      <c r="M766" s="2"/>
      <c r="N766" s="2"/>
    </row>
    <row r="767" spans="1:14" ht="30" customHeight="1" x14ac:dyDescent="0.35">
      <c r="A767" t="s">
        <v>1568</v>
      </c>
      <c r="B767" t="s">
        <v>1569</v>
      </c>
      <c r="C767" t="s">
        <v>465</v>
      </c>
      <c r="D767" t="s">
        <v>464</v>
      </c>
      <c r="E767" s="2">
        <v>470845.01</v>
      </c>
      <c r="F767" s="2">
        <v>23250.35</v>
      </c>
      <c r="G767" s="2">
        <v>200000</v>
      </c>
      <c r="H767" s="8">
        <f t="shared" si="24"/>
        <v>223250.35</v>
      </c>
      <c r="I767" s="10">
        <f t="shared" si="25"/>
        <v>2.10904489063511</v>
      </c>
      <c r="L767" s="2"/>
      <c r="M767" s="2"/>
      <c r="N767" s="2"/>
    </row>
    <row r="768" spans="1:14" ht="30" customHeight="1" x14ac:dyDescent="0.35">
      <c r="A768" t="s">
        <v>1570</v>
      </c>
      <c r="B768" t="s">
        <v>1571</v>
      </c>
      <c r="C768" t="s">
        <v>29</v>
      </c>
      <c r="D768" t="s">
        <v>28</v>
      </c>
      <c r="E768" s="2">
        <v>7875.75</v>
      </c>
      <c r="F768" s="2">
        <v>49777.09</v>
      </c>
      <c r="G768" s="2">
        <v>3222.91</v>
      </c>
      <c r="H768" s="8">
        <f t="shared" si="24"/>
        <v>53000</v>
      </c>
      <c r="I768" s="10">
        <f t="shared" si="25"/>
        <v>0.14859905660377359</v>
      </c>
      <c r="L768" s="2"/>
      <c r="M768" s="2"/>
      <c r="N768" s="2"/>
    </row>
    <row r="769" spans="1:14" ht="30" customHeight="1" x14ac:dyDescent="0.35">
      <c r="A769" t="s">
        <v>1572</v>
      </c>
      <c r="B769" t="s">
        <v>1573</v>
      </c>
      <c r="C769" t="s">
        <v>385</v>
      </c>
      <c r="D769" t="s">
        <v>384</v>
      </c>
      <c r="E769" s="2">
        <v>234816.77</v>
      </c>
      <c r="F769" s="2">
        <v>19430.87</v>
      </c>
      <c r="G769" s="2">
        <v>80569.13</v>
      </c>
      <c r="H769" s="8">
        <f t="shared" si="24"/>
        <v>100000</v>
      </c>
      <c r="I769" s="10">
        <f t="shared" si="25"/>
        <v>2.3481676999999999</v>
      </c>
      <c r="L769" s="2"/>
      <c r="M769" s="2"/>
      <c r="N769" s="2"/>
    </row>
    <row r="770" spans="1:14" ht="30" customHeight="1" x14ac:dyDescent="0.35">
      <c r="A770" t="s">
        <v>1574</v>
      </c>
      <c r="B770" t="s">
        <v>1575</v>
      </c>
      <c r="C770" t="s">
        <v>19</v>
      </c>
      <c r="D770" t="s">
        <v>18</v>
      </c>
      <c r="E770" s="2">
        <v>13339.85</v>
      </c>
      <c r="F770" s="2"/>
      <c r="G770" s="2"/>
      <c r="H770" s="8" t="str">
        <f t="shared" si="24"/>
        <v/>
      </c>
      <c r="I770" s="10" t="str">
        <f t="shared" si="25"/>
        <v/>
      </c>
      <c r="L770" s="2"/>
      <c r="M770" s="2"/>
      <c r="N770" s="2"/>
    </row>
    <row r="771" spans="1:14" ht="30" customHeight="1" x14ac:dyDescent="0.35">
      <c r="A771" t="s">
        <v>1576</v>
      </c>
      <c r="B771" t="s">
        <v>1577</v>
      </c>
      <c r="C771" t="s">
        <v>15</v>
      </c>
      <c r="D771" t="s">
        <v>14</v>
      </c>
      <c r="E771" s="2">
        <v>53198.31</v>
      </c>
      <c r="F771" s="2">
        <v>2000000</v>
      </c>
      <c r="G771" s="2">
        <v>0</v>
      </c>
      <c r="H771" s="8">
        <f t="shared" si="24"/>
        <v>2000000</v>
      </c>
      <c r="I771" s="10">
        <f t="shared" si="25"/>
        <v>2.6599154999999999E-2</v>
      </c>
      <c r="L771" s="2"/>
      <c r="M771" s="2"/>
      <c r="N771" s="2"/>
    </row>
    <row r="772" spans="1:14" ht="30" customHeight="1" x14ac:dyDescent="0.35">
      <c r="A772" t="s">
        <v>964</v>
      </c>
      <c r="B772" t="s">
        <v>1578</v>
      </c>
      <c r="C772" t="s">
        <v>465</v>
      </c>
      <c r="D772" t="s">
        <v>464</v>
      </c>
      <c r="E772" s="2">
        <v>7451016</v>
      </c>
      <c r="F772" s="2">
        <v>2536708.6800000002</v>
      </c>
      <c r="G772" s="2"/>
      <c r="H772" s="8">
        <f t="shared" si="24"/>
        <v>2536708.6800000002</v>
      </c>
      <c r="I772" s="10">
        <f t="shared" si="25"/>
        <v>2.9372769757700357</v>
      </c>
      <c r="L772" s="2"/>
      <c r="M772" s="2"/>
      <c r="N772" s="2"/>
    </row>
    <row r="773" spans="1:14" ht="30" customHeight="1" x14ac:dyDescent="0.35">
      <c r="A773" t="s">
        <v>212</v>
      </c>
      <c r="B773" t="s">
        <v>1579</v>
      </c>
      <c r="C773" t="s">
        <v>465</v>
      </c>
      <c r="D773" t="s">
        <v>464</v>
      </c>
      <c r="E773" s="2">
        <v>669.23</v>
      </c>
      <c r="F773" s="2"/>
      <c r="G773" s="2"/>
      <c r="H773" s="8" t="str">
        <f t="shared" si="24"/>
        <v/>
      </c>
      <c r="I773" s="10" t="str">
        <f t="shared" si="25"/>
        <v/>
      </c>
      <c r="L773" s="2"/>
      <c r="M773" s="2"/>
      <c r="N773" s="2"/>
    </row>
    <row r="774" spans="1:14" ht="30" customHeight="1" x14ac:dyDescent="0.35">
      <c r="A774" t="s">
        <v>1580</v>
      </c>
      <c r="B774" t="s">
        <v>1581</v>
      </c>
      <c r="C774" t="s">
        <v>2224</v>
      </c>
      <c r="D774" t="s">
        <v>1673</v>
      </c>
      <c r="E774" s="2">
        <v>6825.14</v>
      </c>
      <c r="F774" s="2">
        <v>347204.05</v>
      </c>
      <c r="G774" s="2"/>
      <c r="H774" s="8">
        <f t="shared" si="24"/>
        <v>347204.05</v>
      </c>
      <c r="I774" s="10">
        <f t="shared" si="25"/>
        <v>1.9657431991360701E-2</v>
      </c>
      <c r="L774" s="2"/>
      <c r="M774" s="2"/>
      <c r="N774" s="2"/>
    </row>
    <row r="775" spans="1:14" ht="30" customHeight="1" x14ac:dyDescent="0.35">
      <c r="A775" t="s">
        <v>1582</v>
      </c>
      <c r="B775" t="s">
        <v>1583</v>
      </c>
      <c r="C775" t="s">
        <v>2224</v>
      </c>
      <c r="D775" t="s">
        <v>1673</v>
      </c>
      <c r="E775" s="2">
        <v>565477.71</v>
      </c>
      <c r="F775" s="2">
        <v>2175946.4</v>
      </c>
      <c r="G775" s="2"/>
      <c r="H775" s="8">
        <f t="shared" si="24"/>
        <v>2175946.4</v>
      </c>
      <c r="I775" s="10">
        <f t="shared" si="25"/>
        <v>0.2598766725136244</v>
      </c>
      <c r="L775" s="2"/>
      <c r="M775" s="2"/>
      <c r="N775" s="2"/>
    </row>
    <row r="776" spans="1:14" ht="30" customHeight="1" x14ac:dyDescent="0.35">
      <c r="A776" t="s">
        <v>1584</v>
      </c>
      <c r="B776" t="s">
        <v>1585</v>
      </c>
      <c r="C776" t="s">
        <v>313</v>
      </c>
      <c r="D776" t="s">
        <v>312</v>
      </c>
      <c r="E776" s="2">
        <v>73868.33</v>
      </c>
      <c r="F776" s="2">
        <v>57844.160000000003</v>
      </c>
      <c r="G776" s="2">
        <v>2155.84</v>
      </c>
      <c r="H776" s="8">
        <f t="shared" si="24"/>
        <v>60000</v>
      </c>
      <c r="I776" s="10">
        <f t="shared" si="25"/>
        <v>1.2311388333333333</v>
      </c>
      <c r="L776" s="2"/>
      <c r="M776" s="2"/>
      <c r="N776" s="2"/>
    </row>
    <row r="777" spans="1:14" ht="30" customHeight="1" x14ac:dyDescent="0.35">
      <c r="A777" t="s">
        <v>1586</v>
      </c>
      <c r="B777" t="s">
        <v>1587</v>
      </c>
      <c r="C777" t="s">
        <v>457</v>
      </c>
      <c r="D777" t="s">
        <v>456</v>
      </c>
      <c r="E777" s="2">
        <v>5024.51</v>
      </c>
      <c r="F777" s="2">
        <v>72639.77</v>
      </c>
      <c r="G777" s="2"/>
      <c r="H777" s="8">
        <f t="shared" si="24"/>
        <v>72639.77</v>
      </c>
      <c r="I777" s="10">
        <f t="shared" si="25"/>
        <v>6.917023553351008E-2</v>
      </c>
      <c r="L777" s="2"/>
      <c r="M777" s="2"/>
      <c r="N777" s="2"/>
    </row>
    <row r="778" spans="1:14" ht="30" customHeight="1" x14ac:dyDescent="0.35">
      <c r="A778" t="s">
        <v>1588</v>
      </c>
      <c r="B778" t="s">
        <v>1589</v>
      </c>
      <c r="C778" t="s">
        <v>57</v>
      </c>
      <c r="D778" t="s">
        <v>56</v>
      </c>
      <c r="E778" s="2">
        <v>118878.75</v>
      </c>
      <c r="F778" s="2">
        <v>102185.87</v>
      </c>
      <c r="G778" s="2">
        <v>7641.42</v>
      </c>
      <c r="H778" s="8">
        <f t="shared" si="24"/>
        <v>109827.29</v>
      </c>
      <c r="I778" s="10">
        <f t="shared" si="25"/>
        <v>1.0824153996697907</v>
      </c>
      <c r="L778" s="2"/>
      <c r="M778" s="2"/>
      <c r="N778" s="2"/>
    </row>
    <row r="779" spans="1:14" ht="30" customHeight="1" x14ac:dyDescent="0.35">
      <c r="A779" t="s">
        <v>1590</v>
      </c>
      <c r="B779" t="s">
        <v>1591</v>
      </c>
      <c r="C779" t="s">
        <v>465</v>
      </c>
      <c r="D779" t="s">
        <v>464</v>
      </c>
      <c r="E779" s="2">
        <v>17608.97</v>
      </c>
      <c r="F779" s="2">
        <v>1544254.33</v>
      </c>
      <c r="G779" s="2">
        <v>350000</v>
      </c>
      <c r="H779" s="8">
        <f t="shared" si="24"/>
        <v>1894254.33</v>
      </c>
      <c r="I779" s="10">
        <f t="shared" si="25"/>
        <v>9.2959903647151752E-3</v>
      </c>
      <c r="L779" s="2"/>
      <c r="M779" s="2"/>
      <c r="N779" s="2"/>
    </row>
    <row r="780" spans="1:14" ht="30" customHeight="1" x14ac:dyDescent="0.35">
      <c r="A780" t="s">
        <v>456</v>
      </c>
      <c r="B780" t="s">
        <v>1592</v>
      </c>
      <c r="C780" t="s">
        <v>2273</v>
      </c>
      <c r="D780" t="s">
        <v>1552</v>
      </c>
      <c r="E780" s="2">
        <v>17362.16</v>
      </c>
      <c r="F780" s="2">
        <v>915240.31</v>
      </c>
      <c r="G780" s="2"/>
      <c r="H780" s="8">
        <f t="shared" si="24"/>
        <v>915240.31</v>
      </c>
      <c r="I780" s="10">
        <f t="shared" si="25"/>
        <v>1.8970056071940276E-2</v>
      </c>
      <c r="L780" s="2"/>
      <c r="M780" s="2"/>
      <c r="N780" s="2"/>
    </row>
    <row r="781" spans="1:14" ht="30" customHeight="1" x14ac:dyDescent="0.35">
      <c r="A781" t="s">
        <v>1593</v>
      </c>
      <c r="B781" t="s">
        <v>1594</v>
      </c>
      <c r="C781" t="s">
        <v>2238</v>
      </c>
      <c r="D781" t="s">
        <v>2239</v>
      </c>
      <c r="E781" s="2"/>
      <c r="F781" s="2">
        <v>339819.37</v>
      </c>
      <c r="G781" s="2">
        <v>180.63</v>
      </c>
      <c r="H781" s="8">
        <f t="shared" si="24"/>
        <v>340000</v>
      </c>
      <c r="I781" s="10">
        <f t="shared" si="25"/>
        <v>0</v>
      </c>
      <c r="L781" s="2"/>
      <c r="M781" s="2"/>
      <c r="N781" s="2"/>
    </row>
    <row r="782" spans="1:14" ht="30" customHeight="1" x14ac:dyDescent="0.35">
      <c r="A782" t="s">
        <v>1595</v>
      </c>
      <c r="B782" t="s">
        <v>1596</v>
      </c>
      <c r="C782" t="s">
        <v>2273</v>
      </c>
      <c r="D782" t="s">
        <v>1552</v>
      </c>
      <c r="E782" s="2">
        <v>507628.3</v>
      </c>
      <c r="F782" s="2">
        <v>1061870.8</v>
      </c>
      <c r="G782" s="2"/>
      <c r="H782" s="8">
        <f t="shared" si="24"/>
        <v>1061870.8</v>
      </c>
      <c r="I782" s="10">
        <f t="shared" si="25"/>
        <v>0.4780509078882289</v>
      </c>
      <c r="L782" s="2"/>
      <c r="M782" s="2"/>
      <c r="N782" s="2"/>
    </row>
    <row r="783" spans="1:14" ht="30" customHeight="1" x14ac:dyDescent="0.35">
      <c r="A783" t="s">
        <v>1597</v>
      </c>
      <c r="B783" t="s">
        <v>1598</v>
      </c>
      <c r="C783" t="s">
        <v>385</v>
      </c>
      <c r="D783" t="s">
        <v>384</v>
      </c>
      <c r="E783" s="2">
        <v>37777.08</v>
      </c>
      <c r="F783" s="2">
        <v>232988.48</v>
      </c>
      <c r="G783" s="2">
        <v>11.52</v>
      </c>
      <c r="H783" s="8">
        <f t="shared" si="24"/>
        <v>233000</v>
      </c>
      <c r="I783" s="10">
        <f t="shared" si="25"/>
        <v>0.16213339055793993</v>
      </c>
      <c r="L783" s="2"/>
      <c r="M783" s="2"/>
      <c r="N783" s="2"/>
    </row>
    <row r="784" spans="1:14" ht="30" customHeight="1" x14ac:dyDescent="0.35">
      <c r="A784" t="s">
        <v>1599</v>
      </c>
      <c r="B784" t="s">
        <v>1600</v>
      </c>
      <c r="C784" t="s">
        <v>385</v>
      </c>
      <c r="D784" t="s">
        <v>384</v>
      </c>
      <c r="E784" s="2">
        <v>6351.8</v>
      </c>
      <c r="F784" s="2">
        <v>100000</v>
      </c>
      <c r="G784" s="2">
        <v>10000</v>
      </c>
      <c r="H784" s="8">
        <f t="shared" si="24"/>
        <v>110000</v>
      </c>
      <c r="I784" s="10">
        <f t="shared" si="25"/>
        <v>5.7743636363636365E-2</v>
      </c>
      <c r="L784" s="2"/>
      <c r="M784" s="2"/>
      <c r="N784" s="2"/>
    </row>
    <row r="785" spans="1:14" ht="30" customHeight="1" x14ac:dyDescent="0.35">
      <c r="A785" t="s">
        <v>1601</v>
      </c>
      <c r="B785" t="s">
        <v>1602</v>
      </c>
      <c r="C785" t="s">
        <v>29</v>
      </c>
      <c r="D785" t="s">
        <v>28</v>
      </c>
      <c r="E785" s="2">
        <v>177180.93</v>
      </c>
      <c r="F785" s="2">
        <v>187500</v>
      </c>
      <c r="G785" s="2">
        <v>162500</v>
      </c>
      <c r="H785" s="8">
        <f t="shared" si="24"/>
        <v>350000</v>
      </c>
      <c r="I785" s="10">
        <f t="shared" si="25"/>
        <v>0.50623122857142855</v>
      </c>
      <c r="L785" s="2"/>
      <c r="M785" s="2"/>
      <c r="N785" s="2"/>
    </row>
    <row r="786" spans="1:14" ht="30" customHeight="1" x14ac:dyDescent="0.35">
      <c r="A786" t="s">
        <v>1603</v>
      </c>
      <c r="B786" t="s">
        <v>1604</v>
      </c>
      <c r="C786" t="s">
        <v>2238</v>
      </c>
      <c r="D786" t="s">
        <v>2239</v>
      </c>
      <c r="E786" s="2"/>
      <c r="F786" s="2">
        <v>573628.54</v>
      </c>
      <c r="G786" s="2"/>
      <c r="H786" s="8">
        <f t="shared" si="24"/>
        <v>573628.54</v>
      </c>
      <c r="I786" s="10">
        <f t="shared" si="25"/>
        <v>0</v>
      </c>
      <c r="L786" s="2"/>
      <c r="M786" s="2"/>
      <c r="N786" s="2"/>
    </row>
    <row r="787" spans="1:14" ht="30" customHeight="1" x14ac:dyDescent="0.35">
      <c r="A787" t="s">
        <v>1605</v>
      </c>
      <c r="B787" t="s">
        <v>1606</v>
      </c>
      <c r="C787" t="s">
        <v>51</v>
      </c>
      <c r="D787" t="s">
        <v>50</v>
      </c>
      <c r="E787" s="2">
        <v>20085.52</v>
      </c>
      <c r="F787" s="2">
        <v>26162.880000000001</v>
      </c>
      <c r="G787" s="2">
        <v>18000</v>
      </c>
      <c r="H787" s="8">
        <f t="shared" si="24"/>
        <v>44162.880000000005</v>
      </c>
      <c r="I787" s="10">
        <f t="shared" si="25"/>
        <v>0.45480548370033835</v>
      </c>
      <c r="L787" s="2"/>
      <c r="M787" s="2"/>
      <c r="N787" s="2"/>
    </row>
    <row r="788" spans="1:14" ht="30" customHeight="1" x14ac:dyDescent="0.35">
      <c r="A788" t="s">
        <v>1607</v>
      </c>
      <c r="B788" t="s">
        <v>1608</v>
      </c>
      <c r="C788" t="s">
        <v>2224</v>
      </c>
      <c r="D788" t="s">
        <v>1673</v>
      </c>
      <c r="E788" s="2">
        <v>7042.49</v>
      </c>
      <c r="F788" s="2">
        <v>347184.16</v>
      </c>
      <c r="G788" s="2">
        <v>1006.19</v>
      </c>
      <c r="H788" s="8">
        <f t="shared" si="24"/>
        <v>348190.35</v>
      </c>
      <c r="I788" s="10">
        <f t="shared" si="25"/>
        <v>2.0225976969206642E-2</v>
      </c>
      <c r="L788" s="2"/>
      <c r="M788" s="2"/>
      <c r="N788" s="2"/>
    </row>
    <row r="789" spans="1:14" ht="30" customHeight="1" x14ac:dyDescent="0.35">
      <c r="A789" t="s">
        <v>1609</v>
      </c>
      <c r="B789" t="s">
        <v>1610</v>
      </c>
      <c r="C789" t="s">
        <v>51</v>
      </c>
      <c r="D789" t="s">
        <v>50</v>
      </c>
      <c r="E789" s="2">
        <v>10488.13</v>
      </c>
      <c r="F789" s="2">
        <v>9293.86</v>
      </c>
      <c r="G789" s="2"/>
      <c r="H789" s="8">
        <f t="shared" si="24"/>
        <v>9293.86</v>
      </c>
      <c r="I789" s="10">
        <f t="shared" si="25"/>
        <v>1.1285009673052959</v>
      </c>
      <c r="L789" s="2"/>
      <c r="M789" s="2"/>
      <c r="N789" s="2"/>
    </row>
    <row r="790" spans="1:14" ht="30" customHeight="1" x14ac:dyDescent="0.35">
      <c r="A790" t="s">
        <v>1611</v>
      </c>
      <c r="B790" t="s">
        <v>1612</v>
      </c>
      <c r="C790" t="s">
        <v>2259</v>
      </c>
      <c r="D790" t="s">
        <v>713</v>
      </c>
      <c r="E790" s="2">
        <v>12876.69</v>
      </c>
      <c r="F790" s="2"/>
      <c r="G790" s="2"/>
      <c r="H790" s="8" t="str">
        <f t="shared" si="24"/>
        <v/>
      </c>
      <c r="I790" s="10" t="str">
        <f t="shared" si="25"/>
        <v/>
      </c>
      <c r="L790" s="2"/>
      <c r="M790" s="2"/>
      <c r="N790" s="2"/>
    </row>
    <row r="791" spans="1:14" ht="30" customHeight="1" x14ac:dyDescent="0.35">
      <c r="A791" t="s">
        <v>1613</v>
      </c>
      <c r="B791" t="s">
        <v>1614</v>
      </c>
      <c r="C791" t="s">
        <v>385</v>
      </c>
      <c r="D791" t="s">
        <v>384</v>
      </c>
      <c r="E791" s="2">
        <v>6313414.6100000003</v>
      </c>
      <c r="F791" s="2">
        <v>73990.59</v>
      </c>
      <c r="G791" s="2">
        <v>14909.41</v>
      </c>
      <c r="H791" s="8">
        <f t="shared" si="24"/>
        <v>88900</v>
      </c>
      <c r="I791" s="10">
        <f t="shared" si="25"/>
        <v>71.017037232845894</v>
      </c>
      <c r="L791" s="2"/>
      <c r="M791" s="2"/>
      <c r="N791" s="2"/>
    </row>
    <row r="792" spans="1:14" ht="30" customHeight="1" x14ac:dyDescent="0.35">
      <c r="A792" t="s">
        <v>1615</v>
      </c>
      <c r="B792" t="s">
        <v>1616</v>
      </c>
      <c r="C792" t="s">
        <v>2238</v>
      </c>
      <c r="D792" t="s">
        <v>2239</v>
      </c>
      <c r="E792" s="2">
        <v>346309.4</v>
      </c>
      <c r="F792" s="2">
        <v>0</v>
      </c>
      <c r="G792" s="2">
        <v>139432</v>
      </c>
      <c r="H792" s="8">
        <f t="shared" si="24"/>
        <v>139432</v>
      </c>
      <c r="I792" s="10">
        <f t="shared" si="25"/>
        <v>2.4837153594583743</v>
      </c>
      <c r="L792" s="2"/>
      <c r="M792" s="2"/>
      <c r="N792" s="2"/>
    </row>
    <row r="793" spans="1:14" ht="30" customHeight="1" x14ac:dyDescent="0.35">
      <c r="A793" t="s">
        <v>2336</v>
      </c>
      <c r="B793" t="s">
        <v>2337</v>
      </c>
      <c r="C793" t="s">
        <v>385</v>
      </c>
      <c r="D793" t="s">
        <v>384</v>
      </c>
      <c r="E793" s="2">
        <v>48</v>
      </c>
      <c r="F793" s="2"/>
      <c r="G793" s="2"/>
      <c r="H793" s="8" t="str">
        <f t="shared" si="24"/>
        <v/>
      </c>
      <c r="I793" s="10" t="str">
        <f t="shared" si="25"/>
        <v/>
      </c>
      <c r="L793" s="2"/>
      <c r="M793" s="2"/>
      <c r="N793" s="2"/>
    </row>
    <row r="794" spans="1:14" ht="30" customHeight="1" x14ac:dyDescent="0.35">
      <c r="A794" t="s">
        <v>1617</v>
      </c>
      <c r="B794" t="s">
        <v>1618</v>
      </c>
      <c r="C794" t="s">
        <v>457</v>
      </c>
      <c r="D794" t="s">
        <v>456</v>
      </c>
      <c r="E794" s="2"/>
      <c r="F794" s="2">
        <v>220059.38</v>
      </c>
      <c r="G794" s="2"/>
      <c r="H794" s="8">
        <f t="shared" si="24"/>
        <v>220059.38</v>
      </c>
      <c r="I794" s="10">
        <f t="shared" si="25"/>
        <v>0</v>
      </c>
      <c r="L794" s="2"/>
      <c r="M794" s="2"/>
      <c r="N794" s="2"/>
    </row>
    <row r="795" spans="1:14" ht="30" customHeight="1" x14ac:dyDescent="0.35">
      <c r="A795" t="s">
        <v>22</v>
      </c>
      <c r="B795" t="s">
        <v>1619</v>
      </c>
      <c r="C795" t="s">
        <v>259</v>
      </c>
      <c r="D795" t="s">
        <v>258</v>
      </c>
      <c r="E795" s="2">
        <v>252985.38</v>
      </c>
      <c r="F795" s="2">
        <v>200000.38</v>
      </c>
      <c r="G795" s="2"/>
      <c r="H795" s="8">
        <f t="shared" si="24"/>
        <v>200000.38</v>
      </c>
      <c r="I795" s="10">
        <f t="shared" si="25"/>
        <v>1.2649244966434563</v>
      </c>
      <c r="L795" s="2"/>
      <c r="M795" s="2"/>
      <c r="N795" s="2"/>
    </row>
    <row r="796" spans="1:14" ht="30" customHeight="1" x14ac:dyDescent="0.35">
      <c r="A796" t="s">
        <v>470</v>
      </c>
      <c r="B796" t="s">
        <v>1620</v>
      </c>
      <c r="C796" t="s">
        <v>101</v>
      </c>
      <c r="D796" t="s">
        <v>100</v>
      </c>
      <c r="E796" s="2"/>
      <c r="F796" s="2">
        <v>559476.88</v>
      </c>
      <c r="G796" s="2"/>
      <c r="H796" s="8">
        <f t="shared" si="24"/>
        <v>559476.88</v>
      </c>
      <c r="I796" s="10">
        <f t="shared" si="25"/>
        <v>0</v>
      </c>
      <c r="L796" s="2"/>
      <c r="M796" s="2"/>
      <c r="N796" s="2"/>
    </row>
    <row r="797" spans="1:14" ht="30" customHeight="1" x14ac:dyDescent="0.35">
      <c r="A797" t="s">
        <v>1621</v>
      </c>
      <c r="B797" t="s">
        <v>1622</v>
      </c>
      <c r="C797" t="s">
        <v>2266</v>
      </c>
      <c r="D797" t="s">
        <v>1560</v>
      </c>
      <c r="E797" s="2">
        <v>47328.6</v>
      </c>
      <c r="F797" s="2">
        <v>2703432.44</v>
      </c>
      <c r="G797" s="2">
        <v>0</v>
      </c>
      <c r="H797" s="8">
        <f t="shared" si="24"/>
        <v>2703432.44</v>
      </c>
      <c r="I797" s="10">
        <f t="shared" si="25"/>
        <v>1.7506855100103778E-2</v>
      </c>
      <c r="L797" s="2"/>
      <c r="M797" s="2"/>
      <c r="N797" s="2"/>
    </row>
    <row r="798" spans="1:14" ht="30" customHeight="1" x14ac:dyDescent="0.35">
      <c r="A798" t="s">
        <v>1623</v>
      </c>
      <c r="B798" t="s">
        <v>1624</v>
      </c>
      <c r="C798" t="s">
        <v>2266</v>
      </c>
      <c r="D798" t="s">
        <v>1560</v>
      </c>
      <c r="E798" s="2">
        <v>152595.73000000001</v>
      </c>
      <c r="F798" s="2">
        <v>4671029.63</v>
      </c>
      <c r="G798" s="2"/>
      <c r="H798" s="8">
        <f t="shared" si="24"/>
        <v>4671029.63</v>
      </c>
      <c r="I798" s="10">
        <f t="shared" si="25"/>
        <v>3.2668542502908508E-2</v>
      </c>
      <c r="L798" s="2"/>
      <c r="M798" s="2"/>
      <c r="N798" s="2"/>
    </row>
    <row r="799" spans="1:14" ht="30" customHeight="1" x14ac:dyDescent="0.35">
      <c r="A799" t="s">
        <v>1625</v>
      </c>
      <c r="B799" t="s">
        <v>1626</v>
      </c>
      <c r="C799" t="s">
        <v>2224</v>
      </c>
      <c r="D799" t="s">
        <v>1673</v>
      </c>
      <c r="E799" s="2">
        <v>125</v>
      </c>
      <c r="F799" s="2">
        <v>225627.29</v>
      </c>
      <c r="G799" s="2"/>
      <c r="H799" s="8">
        <f t="shared" si="24"/>
        <v>225627.29</v>
      </c>
      <c r="I799" s="10">
        <f t="shared" si="25"/>
        <v>5.540109975171886E-4</v>
      </c>
      <c r="L799" s="2"/>
      <c r="M799" s="2"/>
      <c r="N799" s="2"/>
    </row>
    <row r="800" spans="1:14" ht="30" customHeight="1" x14ac:dyDescent="0.35">
      <c r="A800" t="s">
        <v>404</v>
      </c>
      <c r="B800" t="s">
        <v>1627</v>
      </c>
      <c r="C800" t="s">
        <v>465</v>
      </c>
      <c r="D800" t="s">
        <v>464</v>
      </c>
      <c r="E800" s="2">
        <v>167579.82</v>
      </c>
      <c r="F800" s="2">
        <v>1321355.01</v>
      </c>
      <c r="G800" s="2"/>
      <c r="H800" s="8">
        <f t="shared" si="24"/>
        <v>1321355.01</v>
      </c>
      <c r="I800" s="10">
        <f t="shared" si="25"/>
        <v>0.12682422114553454</v>
      </c>
      <c r="L800" s="2"/>
      <c r="M800" s="2"/>
      <c r="N800" s="2"/>
    </row>
    <row r="801" spans="1:14" ht="30" customHeight="1" x14ac:dyDescent="0.35">
      <c r="A801" t="s">
        <v>599</v>
      </c>
      <c r="B801" t="s">
        <v>1628</v>
      </c>
      <c r="C801" t="s">
        <v>29</v>
      </c>
      <c r="D801" t="s">
        <v>28</v>
      </c>
      <c r="E801" s="2">
        <v>1910</v>
      </c>
      <c r="F801" s="2">
        <v>161456.34</v>
      </c>
      <c r="G801" s="2"/>
      <c r="H801" s="8">
        <f t="shared" si="24"/>
        <v>161456.34</v>
      </c>
      <c r="I801" s="10">
        <f t="shared" si="25"/>
        <v>1.1829823468065732E-2</v>
      </c>
      <c r="L801" s="2"/>
      <c r="M801" s="2"/>
      <c r="N801" s="2"/>
    </row>
    <row r="802" spans="1:14" ht="30" customHeight="1" x14ac:dyDescent="0.35">
      <c r="A802" t="s">
        <v>1629</v>
      </c>
      <c r="B802" t="s">
        <v>1630</v>
      </c>
      <c r="C802" t="s">
        <v>259</v>
      </c>
      <c r="D802" t="s">
        <v>258</v>
      </c>
      <c r="E802" s="2">
        <v>563007.37</v>
      </c>
      <c r="F802" s="2">
        <v>187845.91</v>
      </c>
      <c r="G802" s="2">
        <v>1500000</v>
      </c>
      <c r="H802" s="8">
        <f t="shared" si="24"/>
        <v>1687845.91</v>
      </c>
      <c r="I802" s="10">
        <f t="shared" si="25"/>
        <v>0.33356562152050956</v>
      </c>
      <c r="L802" s="2"/>
      <c r="M802" s="2"/>
      <c r="N802" s="2"/>
    </row>
    <row r="803" spans="1:14" ht="30" customHeight="1" x14ac:dyDescent="0.35">
      <c r="A803" t="s">
        <v>1631</v>
      </c>
      <c r="B803" t="s">
        <v>1632</v>
      </c>
      <c r="C803" t="s">
        <v>41</v>
      </c>
      <c r="D803" t="s">
        <v>40</v>
      </c>
      <c r="E803" s="2">
        <v>324817.88</v>
      </c>
      <c r="F803" s="2">
        <v>0</v>
      </c>
      <c r="G803" s="2">
        <v>350000</v>
      </c>
      <c r="H803" s="8">
        <f t="shared" ref="H803:H864" si="26">IF(ISBLANK(F803), "",(F803+G803))</f>
        <v>350000</v>
      </c>
      <c r="I803" s="10">
        <f t="shared" ref="I803:I864" si="27">IF(ISBLANK(F803), "", E803/H803)</f>
        <v>0.92805108571428574</v>
      </c>
      <c r="L803" s="2"/>
      <c r="M803" s="2"/>
      <c r="N803" s="2"/>
    </row>
    <row r="804" spans="1:14" ht="30" customHeight="1" x14ac:dyDescent="0.35">
      <c r="A804" t="s">
        <v>1633</v>
      </c>
      <c r="B804" t="s">
        <v>1634</v>
      </c>
      <c r="C804" t="s">
        <v>2273</v>
      </c>
      <c r="D804" t="s">
        <v>1552</v>
      </c>
      <c r="E804" s="2">
        <v>400961.95</v>
      </c>
      <c r="F804" s="2">
        <v>1476896.11</v>
      </c>
      <c r="G804" s="2">
        <v>603969.21</v>
      </c>
      <c r="H804" s="8">
        <f t="shared" si="26"/>
        <v>2080865.32</v>
      </c>
      <c r="I804" s="10">
        <f t="shared" si="27"/>
        <v>0.19269000552135684</v>
      </c>
      <c r="L804" s="2"/>
      <c r="M804" s="2"/>
      <c r="N804" s="2"/>
    </row>
    <row r="805" spans="1:14" ht="30" customHeight="1" x14ac:dyDescent="0.35">
      <c r="A805" t="s">
        <v>1635</v>
      </c>
      <c r="B805" t="s">
        <v>1636</v>
      </c>
      <c r="C805" t="s">
        <v>41</v>
      </c>
      <c r="D805" t="s">
        <v>40</v>
      </c>
      <c r="E805" s="2">
        <v>2222.33</v>
      </c>
      <c r="F805" s="2">
        <v>203725.05</v>
      </c>
      <c r="G805" s="2"/>
      <c r="H805" s="8">
        <f t="shared" si="26"/>
        <v>203725.05</v>
      </c>
      <c r="I805" s="10">
        <f t="shared" si="27"/>
        <v>1.0908476890789817E-2</v>
      </c>
      <c r="L805" s="2"/>
      <c r="M805" s="2"/>
      <c r="N805" s="2"/>
    </row>
    <row r="806" spans="1:14" ht="30" customHeight="1" x14ac:dyDescent="0.35">
      <c r="A806" t="s">
        <v>1637</v>
      </c>
      <c r="B806" t="s">
        <v>1638</v>
      </c>
      <c r="C806" t="s">
        <v>2225</v>
      </c>
      <c r="D806" t="s">
        <v>308</v>
      </c>
      <c r="E806" s="2">
        <v>630567.6</v>
      </c>
      <c r="F806" s="2"/>
      <c r="G806" s="2"/>
      <c r="H806" s="8" t="str">
        <f t="shared" si="26"/>
        <v/>
      </c>
      <c r="I806" s="10" t="str">
        <f t="shared" si="27"/>
        <v/>
      </c>
      <c r="L806" s="2"/>
      <c r="M806" s="2"/>
      <c r="N806" s="2"/>
    </row>
    <row r="807" spans="1:14" ht="30" customHeight="1" x14ac:dyDescent="0.35">
      <c r="A807" t="s">
        <v>1639</v>
      </c>
      <c r="B807" t="s">
        <v>1640</v>
      </c>
      <c r="C807" t="s">
        <v>2224</v>
      </c>
      <c r="D807" t="s">
        <v>1673</v>
      </c>
      <c r="E807" s="2">
        <v>91959.679999999993</v>
      </c>
      <c r="F807" s="2">
        <v>1398412.62</v>
      </c>
      <c r="G807" s="2">
        <v>50000</v>
      </c>
      <c r="H807" s="8">
        <f t="shared" si="26"/>
        <v>1448412.62</v>
      </c>
      <c r="I807" s="10">
        <f t="shared" si="27"/>
        <v>6.3489974286470921E-2</v>
      </c>
      <c r="L807" s="2"/>
      <c r="M807" s="2"/>
      <c r="N807" s="2"/>
    </row>
    <row r="808" spans="1:14" ht="30" customHeight="1" x14ac:dyDescent="0.35">
      <c r="A808" t="s">
        <v>1641</v>
      </c>
      <c r="B808" t="s">
        <v>1642</v>
      </c>
      <c r="C808" t="s">
        <v>487</v>
      </c>
      <c r="D808" t="s">
        <v>486</v>
      </c>
      <c r="E808" s="2">
        <v>815019.14</v>
      </c>
      <c r="F808" s="2">
        <v>3441371.23</v>
      </c>
      <c r="G808" s="2">
        <v>4058628.77</v>
      </c>
      <c r="H808" s="8">
        <f t="shared" si="26"/>
        <v>7500000</v>
      </c>
      <c r="I808" s="10">
        <f t="shared" si="27"/>
        <v>0.10866921866666666</v>
      </c>
      <c r="L808" s="2"/>
      <c r="M808" s="2"/>
      <c r="N808" s="2"/>
    </row>
    <row r="809" spans="1:14" ht="30" customHeight="1" x14ac:dyDescent="0.35">
      <c r="A809" t="s">
        <v>1643</v>
      </c>
      <c r="B809" t="s">
        <v>1644</v>
      </c>
      <c r="C809" t="s">
        <v>15</v>
      </c>
      <c r="D809" t="s">
        <v>14</v>
      </c>
      <c r="E809" s="2">
        <v>77142.64</v>
      </c>
      <c r="F809" s="2">
        <v>3640071.6</v>
      </c>
      <c r="G809" s="2"/>
      <c r="H809" s="8">
        <f t="shared" si="26"/>
        <v>3640071.6</v>
      </c>
      <c r="I809" s="10">
        <f t="shared" si="27"/>
        <v>2.1192616101287677E-2</v>
      </c>
      <c r="L809" s="2"/>
      <c r="M809" s="2"/>
      <c r="N809" s="2"/>
    </row>
    <row r="810" spans="1:14" ht="30" customHeight="1" x14ac:dyDescent="0.35">
      <c r="A810" t="s">
        <v>2230</v>
      </c>
      <c r="B810" t="s">
        <v>2231</v>
      </c>
      <c r="C810" t="s">
        <v>41</v>
      </c>
      <c r="D810" t="s">
        <v>40</v>
      </c>
      <c r="E810" s="2">
        <v>94.23</v>
      </c>
      <c r="F810" s="2">
        <v>209952.95</v>
      </c>
      <c r="G810" s="2"/>
      <c r="H810" s="8">
        <f t="shared" si="26"/>
        <v>209952.95</v>
      </c>
      <c r="I810" s="10">
        <f t="shared" si="27"/>
        <v>4.4881484161094187E-4</v>
      </c>
      <c r="L810" s="2"/>
      <c r="M810" s="2"/>
      <c r="N810" s="2"/>
    </row>
    <row r="811" spans="1:14" ht="30" customHeight="1" x14ac:dyDescent="0.35">
      <c r="A811" t="s">
        <v>1645</v>
      </c>
      <c r="B811" t="s">
        <v>1646</v>
      </c>
      <c r="C811" t="s">
        <v>253</v>
      </c>
      <c r="D811" t="s">
        <v>252</v>
      </c>
      <c r="E811" s="2">
        <v>35374.81</v>
      </c>
      <c r="F811" s="2">
        <v>1372742.15</v>
      </c>
      <c r="G811" s="2"/>
      <c r="H811" s="8">
        <f t="shared" si="26"/>
        <v>1372742.15</v>
      </c>
      <c r="I811" s="10">
        <f t="shared" si="27"/>
        <v>2.5769449856260333E-2</v>
      </c>
      <c r="L811" s="2"/>
      <c r="M811" s="2"/>
      <c r="N811" s="2"/>
    </row>
    <row r="812" spans="1:14" ht="30" customHeight="1" x14ac:dyDescent="0.35">
      <c r="A812" t="s">
        <v>1647</v>
      </c>
      <c r="B812" t="s">
        <v>1648</v>
      </c>
      <c r="C812" t="s">
        <v>2266</v>
      </c>
      <c r="D812" t="s">
        <v>1560</v>
      </c>
      <c r="E812" s="2">
        <v>212370.18</v>
      </c>
      <c r="F812" s="2">
        <v>564547.11</v>
      </c>
      <c r="G812" s="2">
        <v>450633.54</v>
      </c>
      <c r="H812" s="8">
        <f t="shared" si="26"/>
        <v>1015180.6499999999</v>
      </c>
      <c r="I812" s="10">
        <f t="shared" si="27"/>
        <v>0.20919447193955087</v>
      </c>
      <c r="L812" s="2"/>
      <c r="M812" s="2"/>
      <c r="N812" s="2"/>
    </row>
    <row r="813" spans="1:14" ht="30" customHeight="1" x14ac:dyDescent="0.35">
      <c r="A813" t="s">
        <v>1649</v>
      </c>
      <c r="B813" t="s">
        <v>1650</v>
      </c>
      <c r="C813" t="s">
        <v>457</v>
      </c>
      <c r="D813" t="s">
        <v>456</v>
      </c>
      <c r="E813" s="2">
        <v>3143</v>
      </c>
      <c r="F813" s="2">
        <v>50261</v>
      </c>
      <c r="G813" s="2">
        <v>352340.69</v>
      </c>
      <c r="H813" s="8">
        <f t="shared" si="26"/>
        <v>402601.69</v>
      </c>
      <c r="I813" s="10">
        <f t="shared" si="27"/>
        <v>7.8067233150461938E-3</v>
      </c>
      <c r="L813" s="2"/>
      <c r="M813" s="2"/>
      <c r="N813" s="2"/>
    </row>
    <row r="814" spans="1:14" ht="30" customHeight="1" x14ac:dyDescent="0.35">
      <c r="A814" t="s">
        <v>1651</v>
      </c>
      <c r="B814" t="s">
        <v>1652</v>
      </c>
      <c r="C814" t="s">
        <v>73</v>
      </c>
      <c r="D814" t="s">
        <v>72</v>
      </c>
      <c r="E814" s="2">
        <v>5684.31</v>
      </c>
      <c r="F814" s="2"/>
      <c r="G814" s="2"/>
      <c r="H814" s="8" t="str">
        <f t="shared" si="26"/>
        <v/>
      </c>
      <c r="I814" s="10" t="str">
        <f t="shared" si="27"/>
        <v/>
      </c>
      <c r="L814" s="2"/>
      <c r="M814" s="2"/>
      <c r="N814" s="2"/>
    </row>
    <row r="815" spans="1:14" ht="30" customHeight="1" x14ac:dyDescent="0.35">
      <c r="A815" t="s">
        <v>1653</v>
      </c>
      <c r="B815" t="s">
        <v>1654</v>
      </c>
      <c r="C815" t="s">
        <v>487</v>
      </c>
      <c r="D815" t="s">
        <v>486</v>
      </c>
      <c r="E815" s="2">
        <v>9280.01</v>
      </c>
      <c r="F815" s="2">
        <v>789044.01</v>
      </c>
      <c r="G815" s="2">
        <v>253.36</v>
      </c>
      <c r="H815" s="8">
        <f t="shared" si="26"/>
        <v>789297.37</v>
      </c>
      <c r="I815" s="10">
        <f t="shared" si="27"/>
        <v>1.1757305107959502E-2</v>
      </c>
      <c r="L815" s="2"/>
      <c r="M815" s="2"/>
      <c r="N815" s="2"/>
    </row>
    <row r="816" spans="1:14" ht="30" customHeight="1" x14ac:dyDescent="0.35">
      <c r="A816" t="s">
        <v>1655</v>
      </c>
      <c r="B816" t="s">
        <v>1656</v>
      </c>
      <c r="C816" t="s">
        <v>2266</v>
      </c>
      <c r="D816" t="s">
        <v>1560</v>
      </c>
      <c r="E816" s="2">
        <v>66353.03</v>
      </c>
      <c r="F816" s="2">
        <v>736808.09</v>
      </c>
      <c r="G816" s="2"/>
      <c r="H816" s="8">
        <f t="shared" si="26"/>
        <v>736808.09</v>
      </c>
      <c r="I816" s="10">
        <f t="shared" si="27"/>
        <v>9.005469796076751E-2</v>
      </c>
      <c r="L816" s="2"/>
      <c r="M816" s="2"/>
      <c r="N816" s="2"/>
    </row>
    <row r="817" spans="1:14" ht="30" customHeight="1" x14ac:dyDescent="0.35">
      <c r="A817" t="s">
        <v>1657</v>
      </c>
      <c r="B817" t="s">
        <v>1658</v>
      </c>
      <c r="C817" t="s">
        <v>73</v>
      </c>
      <c r="D817" t="s">
        <v>72</v>
      </c>
      <c r="E817" s="2">
        <v>9563.36</v>
      </c>
      <c r="F817" s="2">
        <v>99434.34</v>
      </c>
      <c r="G817" s="2">
        <v>565.66</v>
      </c>
      <c r="H817" s="8">
        <f t="shared" si="26"/>
        <v>100000</v>
      </c>
      <c r="I817" s="10">
        <f t="shared" si="27"/>
        <v>9.5633599999999999E-2</v>
      </c>
      <c r="L817" s="2"/>
      <c r="M817" s="2"/>
      <c r="N817" s="2"/>
    </row>
    <row r="818" spans="1:14" ht="30" customHeight="1" x14ac:dyDescent="0.35">
      <c r="A818" t="s">
        <v>1659</v>
      </c>
      <c r="B818" t="s">
        <v>1660</v>
      </c>
      <c r="C818" t="s">
        <v>29</v>
      </c>
      <c r="D818" t="s">
        <v>28</v>
      </c>
      <c r="E818" s="2">
        <v>3711.53</v>
      </c>
      <c r="F818" s="2">
        <v>367022.41</v>
      </c>
      <c r="G818" s="2">
        <v>20000</v>
      </c>
      <c r="H818" s="8">
        <f t="shared" si="26"/>
        <v>387022.41</v>
      </c>
      <c r="I818" s="10">
        <f t="shared" si="27"/>
        <v>9.589961470189803E-3</v>
      </c>
      <c r="L818" s="2"/>
      <c r="M818" s="2"/>
      <c r="N818" s="2"/>
    </row>
    <row r="819" spans="1:14" ht="30" customHeight="1" x14ac:dyDescent="0.35">
      <c r="A819" t="s">
        <v>1661</v>
      </c>
      <c r="B819" t="s">
        <v>1662</v>
      </c>
      <c r="C819" t="s">
        <v>19</v>
      </c>
      <c r="D819" t="s">
        <v>18</v>
      </c>
      <c r="E819" s="2">
        <v>9519.7000000000007</v>
      </c>
      <c r="F819" s="2"/>
      <c r="G819" s="2"/>
      <c r="H819" s="8" t="str">
        <f t="shared" si="26"/>
        <v/>
      </c>
      <c r="I819" s="10" t="str">
        <f t="shared" si="27"/>
        <v/>
      </c>
      <c r="L819" s="2"/>
      <c r="M819" s="2"/>
      <c r="N819" s="2"/>
    </row>
    <row r="820" spans="1:14" ht="30" customHeight="1" x14ac:dyDescent="0.35">
      <c r="A820" t="s">
        <v>1663</v>
      </c>
      <c r="B820" t="s">
        <v>1664</v>
      </c>
      <c r="C820" t="s">
        <v>253</v>
      </c>
      <c r="D820" t="s">
        <v>252</v>
      </c>
      <c r="E820" s="2"/>
      <c r="F820" s="2">
        <v>23277.05</v>
      </c>
      <c r="G820" s="2"/>
      <c r="H820" s="8">
        <f t="shared" si="26"/>
        <v>23277.05</v>
      </c>
      <c r="I820" s="10">
        <f t="shared" si="27"/>
        <v>0</v>
      </c>
      <c r="L820" s="2"/>
      <c r="M820" s="2"/>
      <c r="N820" s="2"/>
    </row>
    <row r="821" spans="1:14" ht="30" customHeight="1" x14ac:dyDescent="0.35">
      <c r="A821" t="s">
        <v>1665</v>
      </c>
      <c r="B821" t="s">
        <v>1666</v>
      </c>
      <c r="C821" t="s">
        <v>2266</v>
      </c>
      <c r="D821" t="s">
        <v>1560</v>
      </c>
      <c r="E821" s="2">
        <v>3056.28</v>
      </c>
      <c r="F821" s="2">
        <v>108435.95</v>
      </c>
      <c r="G821" s="2">
        <v>141564.04999999999</v>
      </c>
      <c r="H821" s="8">
        <f t="shared" si="26"/>
        <v>250000</v>
      </c>
      <c r="I821" s="10">
        <f t="shared" si="27"/>
        <v>1.2225120000000001E-2</v>
      </c>
      <c r="L821" s="2"/>
      <c r="M821" s="2"/>
      <c r="N821" s="2"/>
    </row>
    <row r="822" spans="1:14" ht="30" customHeight="1" x14ac:dyDescent="0.35">
      <c r="A822" t="s">
        <v>1667</v>
      </c>
      <c r="B822" t="s">
        <v>1668</v>
      </c>
      <c r="C822" t="s">
        <v>33</v>
      </c>
      <c r="D822" t="s">
        <v>32</v>
      </c>
      <c r="E822" s="2">
        <v>278081.40999999997</v>
      </c>
      <c r="F822" s="2">
        <v>113987.65</v>
      </c>
      <c r="G822" s="2">
        <v>136012.35</v>
      </c>
      <c r="H822" s="8">
        <f t="shared" si="26"/>
        <v>250000</v>
      </c>
      <c r="I822" s="10">
        <f t="shared" si="27"/>
        <v>1.1123256399999999</v>
      </c>
      <c r="L822" s="2"/>
      <c r="M822" s="2"/>
      <c r="N822" s="2"/>
    </row>
    <row r="823" spans="1:14" ht="30" customHeight="1" x14ac:dyDescent="0.35">
      <c r="A823" t="s">
        <v>1669</v>
      </c>
      <c r="B823" t="s">
        <v>1670</v>
      </c>
      <c r="C823" t="s">
        <v>487</v>
      </c>
      <c r="D823" t="s">
        <v>486</v>
      </c>
      <c r="E823" s="2">
        <v>701001.35</v>
      </c>
      <c r="F823" s="2">
        <v>1475407.6</v>
      </c>
      <c r="G823" s="2">
        <v>67728.800000000003</v>
      </c>
      <c r="H823" s="8">
        <f t="shared" si="26"/>
        <v>1543136.4000000001</v>
      </c>
      <c r="I823" s="10">
        <f t="shared" si="27"/>
        <v>0.4542705038906476</v>
      </c>
      <c r="L823" s="2"/>
      <c r="M823" s="2"/>
      <c r="N823" s="2"/>
    </row>
    <row r="824" spans="1:14" ht="30" customHeight="1" x14ac:dyDescent="0.35">
      <c r="A824" t="s">
        <v>1671</v>
      </c>
      <c r="B824" t="s">
        <v>1672</v>
      </c>
      <c r="C824" t="s">
        <v>259</v>
      </c>
      <c r="D824" t="s">
        <v>258</v>
      </c>
      <c r="E824" s="2">
        <v>99196.03</v>
      </c>
      <c r="F824" s="2">
        <v>700238.05</v>
      </c>
      <c r="G824" s="2"/>
      <c r="H824" s="8">
        <f t="shared" si="26"/>
        <v>700238.05</v>
      </c>
      <c r="I824" s="10">
        <f t="shared" si="27"/>
        <v>0.14166043961764144</v>
      </c>
      <c r="L824" s="2"/>
      <c r="M824" s="2"/>
      <c r="N824" s="2"/>
    </row>
    <row r="825" spans="1:14" ht="30" customHeight="1" x14ac:dyDescent="0.35">
      <c r="A825" t="s">
        <v>1673</v>
      </c>
      <c r="B825" t="s">
        <v>1674</v>
      </c>
      <c r="C825" t="s">
        <v>253</v>
      </c>
      <c r="D825" t="s">
        <v>252</v>
      </c>
      <c r="E825" s="2">
        <v>169743.72</v>
      </c>
      <c r="F825" s="2">
        <v>479534.95</v>
      </c>
      <c r="G825" s="2"/>
      <c r="H825" s="8">
        <f t="shared" si="26"/>
        <v>479534.95</v>
      </c>
      <c r="I825" s="10">
        <f t="shared" si="27"/>
        <v>0.35397570083265045</v>
      </c>
      <c r="L825" s="2"/>
      <c r="M825" s="2"/>
      <c r="N825" s="2"/>
    </row>
    <row r="826" spans="1:14" ht="30" customHeight="1" x14ac:dyDescent="0.35">
      <c r="A826" t="s">
        <v>1675</v>
      </c>
      <c r="B826" t="s">
        <v>1676</v>
      </c>
      <c r="C826" t="s">
        <v>253</v>
      </c>
      <c r="D826" t="s">
        <v>252</v>
      </c>
      <c r="E826" s="2">
        <v>32712.13</v>
      </c>
      <c r="F826" s="2">
        <v>413435.68</v>
      </c>
      <c r="G826" s="2"/>
      <c r="H826" s="8">
        <f t="shared" si="26"/>
        <v>413435.68</v>
      </c>
      <c r="I826" s="10">
        <f t="shared" si="27"/>
        <v>7.9122658208889959E-2</v>
      </c>
      <c r="L826" s="2"/>
      <c r="M826" s="2"/>
      <c r="N826" s="2"/>
    </row>
    <row r="827" spans="1:14" ht="30" customHeight="1" x14ac:dyDescent="0.35">
      <c r="A827" t="s">
        <v>1677</v>
      </c>
      <c r="B827" t="s">
        <v>1678</v>
      </c>
      <c r="C827" t="s">
        <v>1679</v>
      </c>
      <c r="D827" t="s">
        <v>1621</v>
      </c>
      <c r="E827" s="2"/>
      <c r="F827" s="2">
        <v>0</v>
      </c>
      <c r="G827" s="2">
        <v>67000</v>
      </c>
      <c r="H827" s="8">
        <f t="shared" si="26"/>
        <v>67000</v>
      </c>
      <c r="I827" s="10">
        <f t="shared" si="27"/>
        <v>0</v>
      </c>
      <c r="L827" s="2"/>
      <c r="M827" s="2"/>
      <c r="N827" s="2"/>
    </row>
    <row r="828" spans="1:14" ht="30" customHeight="1" x14ac:dyDescent="0.35">
      <c r="A828" t="s">
        <v>120</v>
      </c>
      <c r="B828" t="s">
        <v>1680</v>
      </c>
      <c r="C828" t="s">
        <v>51</v>
      </c>
      <c r="D828" t="s">
        <v>50</v>
      </c>
      <c r="E828" s="2">
        <v>333879.46999999997</v>
      </c>
      <c r="F828" s="2">
        <v>0</v>
      </c>
      <c r="G828" s="2">
        <v>150000</v>
      </c>
      <c r="H828" s="8">
        <f t="shared" si="26"/>
        <v>150000</v>
      </c>
      <c r="I828" s="10">
        <f t="shared" si="27"/>
        <v>2.2258631333333332</v>
      </c>
      <c r="L828" s="2"/>
      <c r="M828" s="2"/>
      <c r="N828" s="2"/>
    </row>
    <row r="829" spans="1:14" ht="30" customHeight="1" x14ac:dyDescent="0.35">
      <c r="A829" t="s">
        <v>1681</v>
      </c>
      <c r="B829" t="s">
        <v>1682</v>
      </c>
      <c r="C829" t="s">
        <v>41</v>
      </c>
      <c r="D829" t="s">
        <v>40</v>
      </c>
      <c r="E829" s="2">
        <v>135395.49</v>
      </c>
      <c r="F829" s="2">
        <v>85591.039999999994</v>
      </c>
      <c r="G829" s="2">
        <v>211962.8</v>
      </c>
      <c r="H829" s="8">
        <f t="shared" si="26"/>
        <v>297553.83999999997</v>
      </c>
      <c r="I829" s="10">
        <f t="shared" si="27"/>
        <v>0.45502854206149718</v>
      </c>
      <c r="L829" s="2"/>
      <c r="M829" s="2"/>
      <c r="N829" s="2"/>
    </row>
    <row r="830" spans="1:14" ht="30" customHeight="1" x14ac:dyDescent="0.35">
      <c r="A830" t="s">
        <v>1683</v>
      </c>
      <c r="B830" t="s">
        <v>1684</v>
      </c>
      <c r="C830" t="s">
        <v>19</v>
      </c>
      <c r="D830" t="s">
        <v>18</v>
      </c>
      <c r="E830" s="2">
        <v>108658.11</v>
      </c>
      <c r="F830" s="2"/>
      <c r="G830" s="2"/>
      <c r="H830" s="8" t="str">
        <f t="shared" si="26"/>
        <v/>
      </c>
      <c r="I830" s="10" t="str">
        <f t="shared" si="27"/>
        <v/>
      </c>
      <c r="L830" s="2"/>
      <c r="M830" s="2"/>
      <c r="N830" s="2"/>
    </row>
    <row r="831" spans="1:14" ht="30" customHeight="1" x14ac:dyDescent="0.35">
      <c r="A831" t="s">
        <v>1685</v>
      </c>
      <c r="B831" t="s">
        <v>1686</v>
      </c>
      <c r="C831" t="s">
        <v>29</v>
      </c>
      <c r="D831" t="s">
        <v>28</v>
      </c>
      <c r="E831" s="2">
        <v>106097.84</v>
      </c>
      <c r="F831" s="2">
        <v>208758.33</v>
      </c>
      <c r="G831" s="2">
        <v>1241.67</v>
      </c>
      <c r="H831" s="8">
        <f t="shared" si="26"/>
        <v>210000</v>
      </c>
      <c r="I831" s="10">
        <f t="shared" si="27"/>
        <v>0.50522780952380952</v>
      </c>
      <c r="L831" s="2"/>
      <c r="M831" s="2"/>
      <c r="N831" s="2"/>
    </row>
    <row r="832" spans="1:14" ht="30" customHeight="1" x14ac:dyDescent="0.35">
      <c r="A832" t="s">
        <v>1687</v>
      </c>
      <c r="B832" t="s">
        <v>1688</v>
      </c>
      <c r="C832" t="s">
        <v>2259</v>
      </c>
      <c r="D832" t="s">
        <v>713</v>
      </c>
      <c r="E832" s="2">
        <v>19655.599999999999</v>
      </c>
      <c r="F832" s="2">
        <v>31121.33</v>
      </c>
      <c r="G832" s="2">
        <v>18878.669999999998</v>
      </c>
      <c r="H832" s="8">
        <f t="shared" si="26"/>
        <v>50000</v>
      </c>
      <c r="I832" s="10">
        <f t="shared" si="27"/>
        <v>0.39311199999999996</v>
      </c>
      <c r="L832" s="2"/>
      <c r="M832" s="2"/>
      <c r="N832" s="2"/>
    </row>
    <row r="833" spans="1:14" ht="30" customHeight="1" x14ac:dyDescent="0.35">
      <c r="A833" t="s">
        <v>1689</v>
      </c>
      <c r="B833" t="s">
        <v>1690</v>
      </c>
      <c r="C833" t="s">
        <v>19</v>
      </c>
      <c r="D833" t="s">
        <v>18</v>
      </c>
      <c r="E833" s="2">
        <v>69567.399999999994</v>
      </c>
      <c r="F833" s="2"/>
      <c r="G833" s="2"/>
      <c r="H833" s="8" t="str">
        <f t="shared" si="26"/>
        <v/>
      </c>
      <c r="I833" s="10" t="str">
        <f t="shared" si="27"/>
        <v/>
      </c>
      <c r="L833" s="2"/>
      <c r="M833" s="2"/>
      <c r="N833" s="2"/>
    </row>
    <row r="834" spans="1:14" ht="30" customHeight="1" x14ac:dyDescent="0.35">
      <c r="A834" t="s">
        <v>1691</v>
      </c>
      <c r="B834" t="s">
        <v>1692</v>
      </c>
      <c r="C834" t="s">
        <v>2224</v>
      </c>
      <c r="D834" t="s">
        <v>1673</v>
      </c>
      <c r="E834" s="2">
        <v>356542.39</v>
      </c>
      <c r="F834" s="2">
        <v>1012116</v>
      </c>
      <c r="G834" s="2">
        <v>7486.5</v>
      </c>
      <c r="H834" s="8">
        <f t="shared" si="26"/>
        <v>1019602.5</v>
      </c>
      <c r="I834" s="10">
        <f t="shared" si="27"/>
        <v>0.34968763807464187</v>
      </c>
      <c r="L834" s="2"/>
      <c r="M834" s="2"/>
      <c r="N834" s="2"/>
    </row>
    <row r="835" spans="1:14" ht="30" customHeight="1" x14ac:dyDescent="0.35">
      <c r="A835" t="s">
        <v>1693</v>
      </c>
      <c r="B835" t="s">
        <v>1694</v>
      </c>
      <c r="C835" t="s">
        <v>2259</v>
      </c>
      <c r="D835" t="s">
        <v>713</v>
      </c>
      <c r="E835" s="2">
        <v>66952.08</v>
      </c>
      <c r="F835" s="2"/>
      <c r="G835" s="2"/>
      <c r="H835" s="8" t="str">
        <f t="shared" si="26"/>
        <v/>
      </c>
      <c r="I835" s="10" t="str">
        <f t="shared" si="27"/>
        <v/>
      </c>
      <c r="L835" s="2"/>
      <c r="M835" s="2"/>
      <c r="N835" s="2"/>
    </row>
    <row r="836" spans="1:14" ht="30" customHeight="1" x14ac:dyDescent="0.35">
      <c r="A836" t="s">
        <v>1695</v>
      </c>
      <c r="B836" t="s">
        <v>1696</v>
      </c>
      <c r="C836" t="s">
        <v>2225</v>
      </c>
      <c r="D836" t="s">
        <v>308</v>
      </c>
      <c r="E836" s="2">
        <v>253992.23</v>
      </c>
      <c r="F836" s="2"/>
      <c r="G836" s="2"/>
      <c r="H836" s="8" t="str">
        <f t="shared" si="26"/>
        <v/>
      </c>
      <c r="I836" s="10" t="str">
        <f t="shared" si="27"/>
        <v/>
      </c>
      <c r="L836" s="2"/>
      <c r="M836" s="2"/>
      <c r="N836" s="2"/>
    </row>
    <row r="837" spans="1:14" ht="30" customHeight="1" x14ac:dyDescent="0.35">
      <c r="A837" t="s">
        <v>1697</v>
      </c>
      <c r="B837" t="s">
        <v>1698</v>
      </c>
      <c r="C837" t="s">
        <v>385</v>
      </c>
      <c r="D837" t="s">
        <v>384</v>
      </c>
      <c r="E837" s="2">
        <v>6.97</v>
      </c>
      <c r="F837" s="2">
        <v>49942.04</v>
      </c>
      <c r="G837" s="2">
        <v>57.96</v>
      </c>
      <c r="H837" s="8">
        <f t="shared" si="26"/>
        <v>50000</v>
      </c>
      <c r="I837" s="10">
        <f t="shared" si="27"/>
        <v>1.394E-4</v>
      </c>
      <c r="L837" s="2"/>
      <c r="M837" s="2"/>
      <c r="N837" s="2"/>
    </row>
    <row r="838" spans="1:14" ht="30" customHeight="1" x14ac:dyDescent="0.35">
      <c r="A838" t="s">
        <v>1699</v>
      </c>
      <c r="B838" t="s">
        <v>1700</v>
      </c>
      <c r="C838" t="s">
        <v>259</v>
      </c>
      <c r="D838" t="s">
        <v>258</v>
      </c>
      <c r="E838" s="2">
        <v>875236.82</v>
      </c>
      <c r="F838" s="2">
        <v>1817153.26</v>
      </c>
      <c r="G838" s="2">
        <v>216118.6</v>
      </c>
      <c r="H838" s="8">
        <f t="shared" si="26"/>
        <v>2033271.86</v>
      </c>
      <c r="I838" s="10">
        <f t="shared" si="27"/>
        <v>0.43045735163029303</v>
      </c>
      <c r="L838" s="2"/>
      <c r="M838" s="2"/>
      <c r="N838" s="2"/>
    </row>
    <row r="839" spans="1:14" ht="30" customHeight="1" x14ac:dyDescent="0.35">
      <c r="A839" t="s">
        <v>1701</v>
      </c>
      <c r="B839" t="s">
        <v>1702</v>
      </c>
      <c r="C839" t="s">
        <v>101</v>
      </c>
      <c r="D839" t="s">
        <v>100</v>
      </c>
      <c r="E839" s="2">
        <v>8222270.7599999998</v>
      </c>
      <c r="F839" s="2">
        <v>2965364.36</v>
      </c>
      <c r="G839" s="2">
        <v>2500000</v>
      </c>
      <c r="H839" s="8">
        <f t="shared" si="26"/>
        <v>5465364.3599999994</v>
      </c>
      <c r="I839" s="10">
        <f t="shared" si="27"/>
        <v>1.5044323156526018</v>
      </c>
      <c r="L839" s="2"/>
      <c r="M839" s="2"/>
      <c r="N839" s="2"/>
    </row>
    <row r="840" spans="1:14" ht="30" customHeight="1" x14ac:dyDescent="0.35">
      <c r="A840" t="s">
        <v>2338</v>
      </c>
      <c r="B840" t="s">
        <v>2339</v>
      </c>
      <c r="C840" t="s">
        <v>2238</v>
      </c>
      <c r="D840" t="s">
        <v>2239</v>
      </c>
      <c r="E840" s="2">
        <v>184.33</v>
      </c>
      <c r="F840" s="2"/>
      <c r="G840" s="2"/>
      <c r="H840" s="8" t="str">
        <f t="shared" si="26"/>
        <v/>
      </c>
      <c r="I840" s="10" t="str">
        <f t="shared" si="27"/>
        <v/>
      </c>
      <c r="L840" s="2"/>
      <c r="M840" s="2"/>
      <c r="N840" s="2"/>
    </row>
    <row r="841" spans="1:14" ht="30" customHeight="1" x14ac:dyDescent="0.35">
      <c r="A841" t="s">
        <v>1703</v>
      </c>
      <c r="B841" t="s">
        <v>1704</v>
      </c>
      <c r="C841" t="s">
        <v>2224</v>
      </c>
      <c r="D841" t="s">
        <v>1673</v>
      </c>
      <c r="E841" s="2">
        <v>67254.92</v>
      </c>
      <c r="F841" s="2">
        <v>1125.8599999999999</v>
      </c>
      <c r="G841" s="2">
        <v>598874.14</v>
      </c>
      <c r="H841" s="8">
        <f t="shared" si="26"/>
        <v>600000</v>
      </c>
      <c r="I841" s="10">
        <f t="shared" si="27"/>
        <v>0.11209153333333333</v>
      </c>
      <c r="L841" s="2"/>
      <c r="M841" s="2"/>
      <c r="N841" s="2"/>
    </row>
    <row r="842" spans="1:14" ht="30" customHeight="1" x14ac:dyDescent="0.35">
      <c r="A842" t="s">
        <v>1705</v>
      </c>
      <c r="B842" t="s">
        <v>1706</v>
      </c>
      <c r="C842" t="s">
        <v>15</v>
      </c>
      <c r="D842" t="s">
        <v>14</v>
      </c>
      <c r="E842" s="2">
        <v>814131.35</v>
      </c>
      <c r="F842" s="2">
        <v>3680083.49</v>
      </c>
      <c r="G842" s="2"/>
      <c r="H842" s="8">
        <f t="shared" si="26"/>
        <v>3680083.49</v>
      </c>
      <c r="I842" s="10">
        <f t="shared" si="27"/>
        <v>0.22122632603642367</v>
      </c>
      <c r="L842" s="2"/>
      <c r="M842" s="2"/>
      <c r="N842" s="2"/>
    </row>
    <row r="843" spans="1:14" ht="30" customHeight="1" x14ac:dyDescent="0.35">
      <c r="A843" t="s">
        <v>1707</v>
      </c>
      <c r="B843" t="s">
        <v>1708</v>
      </c>
      <c r="C843" t="s">
        <v>77</v>
      </c>
      <c r="D843" t="s">
        <v>76</v>
      </c>
      <c r="E843" s="2">
        <v>37202.71</v>
      </c>
      <c r="F843" s="2">
        <v>71477.960000000006</v>
      </c>
      <c r="G843" s="2">
        <v>28522.04</v>
      </c>
      <c r="H843" s="8">
        <f t="shared" si="26"/>
        <v>100000</v>
      </c>
      <c r="I843" s="10">
        <f t="shared" si="27"/>
        <v>0.3720271</v>
      </c>
      <c r="L843" s="2"/>
      <c r="M843" s="2"/>
      <c r="N843" s="2"/>
    </row>
    <row r="844" spans="1:14" ht="30" customHeight="1" x14ac:dyDescent="0.35">
      <c r="A844" t="s">
        <v>1709</v>
      </c>
      <c r="B844" t="s">
        <v>1710</v>
      </c>
      <c r="C844" t="s">
        <v>101</v>
      </c>
      <c r="D844" t="s">
        <v>100</v>
      </c>
      <c r="E844" s="2">
        <v>339.07</v>
      </c>
      <c r="F844" s="2">
        <v>546782.67000000004</v>
      </c>
      <c r="G844" s="2"/>
      <c r="H844" s="8">
        <f t="shared" si="26"/>
        <v>546782.67000000004</v>
      </c>
      <c r="I844" s="10">
        <f t="shared" si="27"/>
        <v>6.2011841011713113E-4</v>
      </c>
      <c r="L844" s="2"/>
      <c r="M844" s="2"/>
      <c r="N844" s="2"/>
    </row>
    <row r="845" spans="1:14" ht="30" customHeight="1" x14ac:dyDescent="0.35">
      <c r="A845" t="s">
        <v>1711</v>
      </c>
      <c r="B845" t="s">
        <v>1712</v>
      </c>
      <c r="C845" t="s">
        <v>385</v>
      </c>
      <c r="D845" t="s">
        <v>384</v>
      </c>
      <c r="E845" s="2">
        <v>57608.27</v>
      </c>
      <c r="F845" s="2">
        <v>85744.91</v>
      </c>
      <c r="G845" s="2">
        <v>22600</v>
      </c>
      <c r="H845" s="8">
        <f t="shared" si="26"/>
        <v>108344.91</v>
      </c>
      <c r="I845" s="10">
        <f t="shared" si="27"/>
        <v>0.53171182661003635</v>
      </c>
      <c r="L845" s="2"/>
      <c r="M845" s="2"/>
      <c r="N845" s="2"/>
    </row>
    <row r="846" spans="1:14" ht="30" customHeight="1" x14ac:dyDescent="0.35">
      <c r="A846" t="s">
        <v>1713</v>
      </c>
      <c r="B846" t="s">
        <v>1714</v>
      </c>
      <c r="C846" t="s">
        <v>29</v>
      </c>
      <c r="D846" t="s">
        <v>28</v>
      </c>
      <c r="E846" s="2">
        <v>84503.33</v>
      </c>
      <c r="F846" s="2">
        <v>37424.79</v>
      </c>
      <c r="G846" s="2">
        <v>217802.77</v>
      </c>
      <c r="H846" s="8">
        <f t="shared" si="26"/>
        <v>255227.56</v>
      </c>
      <c r="I846" s="10">
        <f t="shared" si="27"/>
        <v>0.33109014559399463</v>
      </c>
      <c r="L846" s="2"/>
      <c r="M846" s="2"/>
      <c r="N846" s="2"/>
    </row>
    <row r="847" spans="1:14" ht="30" customHeight="1" x14ac:dyDescent="0.35">
      <c r="A847" t="s">
        <v>1715</v>
      </c>
      <c r="B847" t="s">
        <v>1716</v>
      </c>
      <c r="C847" t="s">
        <v>33</v>
      </c>
      <c r="D847" t="s">
        <v>32</v>
      </c>
      <c r="E847" s="2">
        <v>105.66</v>
      </c>
      <c r="F847" s="2"/>
      <c r="G847" s="2"/>
      <c r="H847" s="8" t="str">
        <f t="shared" si="26"/>
        <v/>
      </c>
      <c r="I847" s="10" t="str">
        <f t="shared" si="27"/>
        <v/>
      </c>
      <c r="L847" s="2"/>
      <c r="M847" s="2"/>
      <c r="N847" s="2"/>
    </row>
    <row r="848" spans="1:14" ht="30" customHeight="1" x14ac:dyDescent="0.35">
      <c r="A848" t="s">
        <v>1717</v>
      </c>
      <c r="B848" t="s">
        <v>1718</v>
      </c>
      <c r="C848" t="s">
        <v>385</v>
      </c>
      <c r="D848" t="s">
        <v>384</v>
      </c>
      <c r="E848" s="2">
        <v>81788.179999999993</v>
      </c>
      <c r="F848" s="2">
        <v>200856.78</v>
      </c>
      <c r="G848" s="2">
        <v>161143.22</v>
      </c>
      <c r="H848" s="8">
        <f t="shared" si="26"/>
        <v>362000</v>
      </c>
      <c r="I848" s="10">
        <f t="shared" si="27"/>
        <v>0.22593419889502761</v>
      </c>
      <c r="L848" s="2"/>
      <c r="M848" s="2"/>
      <c r="N848" s="2"/>
    </row>
    <row r="849" spans="1:14" ht="30" customHeight="1" x14ac:dyDescent="0.35">
      <c r="A849" t="s">
        <v>1719</v>
      </c>
      <c r="B849" t="s">
        <v>1720</v>
      </c>
      <c r="C849" t="s">
        <v>471</v>
      </c>
      <c r="D849" t="s">
        <v>470</v>
      </c>
      <c r="E849" s="2">
        <v>41494.54</v>
      </c>
      <c r="F849" s="2"/>
      <c r="G849" s="2"/>
      <c r="H849" s="8" t="str">
        <f t="shared" si="26"/>
        <v/>
      </c>
      <c r="I849" s="10" t="str">
        <f t="shared" si="27"/>
        <v/>
      </c>
      <c r="L849" s="2"/>
      <c r="M849" s="2"/>
      <c r="N849" s="2"/>
    </row>
    <row r="850" spans="1:14" ht="30" customHeight="1" x14ac:dyDescent="0.35">
      <c r="A850" t="s">
        <v>1721</v>
      </c>
      <c r="B850" t="s">
        <v>1722</v>
      </c>
      <c r="C850" t="s">
        <v>19</v>
      </c>
      <c r="D850" t="s">
        <v>18</v>
      </c>
      <c r="E850" s="2">
        <v>38202.11</v>
      </c>
      <c r="F850" s="2">
        <v>46447.19</v>
      </c>
      <c r="G850" s="2">
        <v>3552.81</v>
      </c>
      <c r="H850" s="8">
        <f t="shared" si="26"/>
        <v>50000</v>
      </c>
      <c r="I850" s="10">
        <f t="shared" si="27"/>
        <v>0.7640422</v>
      </c>
      <c r="L850" s="2"/>
      <c r="M850" s="2"/>
      <c r="N850" s="2"/>
    </row>
    <row r="851" spans="1:14" ht="30" customHeight="1" x14ac:dyDescent="0.35">
      <c r="A851" t="s">
        <v>1723</v>
      </c>
      <c r="B851" t="s">
        <v>1724</v>
      </c>
      <c r="C851" t="s">
        <v>259</v>
      </c>
      <c r="D851" t="s">
        <v>258</v>
      </c>
      <c r="E851" s="2">
        <v>166899.38</v>
      </c>
      <c r="F851" s="2">
        <v>614290.55000000005</v>
      </c>
      <c r="G851" s="2">
        <v>52588.68</v>
      </c>
      <c r="H851" s="8">
        <f t="shared" si="26"/>
        <v>666879.2300000001</v>
      </c>
      <c r="I851" s="10">
        <f t="shared" si="27"/>
        <v>0.25026927289368417</v>
      </c>
      <c r="L851" s="2"/>
      <c r="M851" s="2"/>
      <c r="N851" s="2"/>
    </row>
    <row r="852" spans="1:14" ht="30" customHeight="1" x14ac:dyDescent="0.35">
      <c r="A852" t="s">
        <v>1725</v>
      </c>
      <c r="B852" t="s">
        <v>1726</v>
      </c>
      <c r="C852" t="s">
        <v>33</v>
      </c>
      <c r="D852" t="s">
        <v>32</v>
      </c>
      <c r="E852" s="2">
        <v>672.36</v>
      </c>
      <c r="F852" s="2">
        <v>68439.95</v>
      </c>
      <c r="G852" s="2">
        <v>1560.05</v>
      </c>
      <c r="H852" s="8">
        <f t="shared" si="26"/>
        <v>70000</v>
      </c>
      <c r="I852" s="10">
        <f t="shared" si="27"/>
        <v>9.6051428571428572E-3</v>
      </c>
      <c r="L852" s="2"/>
      <c r="M852" s="2"/>
      <c r="N852" s="2"/>
    </row>
    <row r="853" spans="1:14" ht="30" customHeight="1" x14ac:dyDescent="0.35">
      <c r="A853" t="s">
        <v>1727</v>
      </c>
      <c r="B853" t="s">
        <v>1728</v>
      </c>
      <c r="C853" t="s">
        <v>29</v>
      </c>
      <c r="D853" t="s">
        <v>28</v>
      </c>
      <c r="E853" s="2">
        <v>161593.32</v>
      </c>
      <c r="F853" s="2">
        <v>235898.95</v>
      </c>
      <c r="G853" s="2">
        <v>19142.419999999998</v>
      </c>
      <c r="H853" s="8">
        <f t="shared" si="26"/>
        <v>255041.37</v>
      </c>
      <c r="I853" s="10">
        <f t="shared" si="27"/>
        <v>0.63359650240272791</v>
      </c>
      <c r="L853" s="2"/>
      <c r="M853" s="2"/>
      <c r="N853" s="2"/>
    </row>
    <row r="854" spans="1:14" ht="30" customHeight="1" x14ac:dyDescent="0.35">
      <c r="A854" t="s">
        <v>1729</v>
      </c>
      <c r="B854" t="s">
        <v>1730</v>
      </c>
      <c r="C854" t="s">
        <v>259</v>
      </c>
      <c r="D854" t="s">
        <v>258</v>
      </c>
      <c r="E854" s="2">
        <v>144.4</v>
      </c>
      <c r="F854" s="2">
        <v>60886.49</v>
      </c>
      <c r="G854" s="2"/>
      <c r="H854" s="8">
        <f t="shared" si="26"/>
        <v>60886.49</v>
      </c>
      <c r="I854" s="10">
        <f t="shared" si="27"/>
        <v>2.3716262835975603E-3</v>
      </c>
      <c r="L854" s="2"/>
      <c r="M854" s="2"/>
      <c r="N854" s="2"/>
    </row>
    <row r="855" spans="1:14" ht="30" customHeight="1" x14ac:dyDescent="0.35">
      <c r="A855" t="s">
        <v>1731</v>
      </c>
      <c r="B855" t="s">
        <v>1732</v>
      </c>
      <c r="C855" t="s">
        <v>57</v>
      </c>
      <c r="D855" t="s">
        <v>56</v>
      </c>
      <c r="E855" s="2">
        <v>1234.9100000000001</v>
      </c>
      <c r="F855" s="2">
        <v>15000</v>
      </c>
      <c r="G855" s="2">
        <v>0</v>
      </c>
      <c r="H855" s="8">
        <f t="shared" si="26"/>
        <v>15000</v>
      </c>
      <c r="I855" s="10">
        <f t="shared" si="27"/>
        <v>8.2327333333333336E-2</v>
      </c>
      <c r="L855" s="2"/>
      <c r="M855" s="2"/>
      <c r="N855" s="2"/>
    </row>
    <row r="856" spans="1:14" ht="30" customHeight="1" x14ac:dyDescent="0.35">
      <c r="A856" t="s">
        <v>1733</v>
      </c>
      <c r="B856" t="s">
        <v>1734</v>
      </c>
      <c r="C856" t="s">
        <v>385</v>
      </c>
      <c r="D856" t="s">
        <v>384</v>
      </c>
      <c r="E856" s="2">
        <v>3808.44</v>
      </c>
      <c r="F856" s="2">
        <v>109890.2</v>
      </c>
      <c r="G856" s="2">
        <v>5109.8</v>
      </c>
      <c r="H856" s="8">
        <f t="shared" si="26"/>
        <v>115000</v>
      </c>
      <c r="I856" s="10">
        <f t="shared" si="27"/>
        <v>3.3116869565217394E-2</v>
      </c>
      <c r="L856" s="2"/>
      <c r="M856" s="2"/>
      <c r="N856" s="2"/>
    </row>
    <row r="857" spans="1:14" ht="30" customHeight="1" x14ac:dyDescent="0.35">
      <c r="A857" t="s">
        <v>1735</v>
      </c>
      <c r="B857" t="s">
        <v>1736</v>
      </c>
      <c r="C857" t="s">
        <v>57</v>
      </c>
      <c r="D857" t="s">
        <v>56</v>
      </c>
      <c r="E857" s="2">
        <v>85583.93</v>
      </c>
      <c r="F857" s="2">
        <v>50504.51</v>
      </c>
      <c r="G857" s="2">
        <v>17695.490000000002</v>
      </c>
      <c r="H857" s="8">
        <f t="shared" si="26"/>
        <v>68200</v>
      </c>
      <c r="I857" s="10">
        <f t="shared" si="27"/>
        <v>1.2548963343108503</v>
      </c>
      <c r="L857" s="2"/>
      <c r="M857" s="2"/>
      <c r="N857" s="2"/>
    </row>
    <row r="858" spans="1:14" ht="30" customHeight="1" x14ac:dyDescent="0.35">
      <c r="A858" t="s">
        <v>1737</v>
      </c>
      <c r="B858" t="s">
        <v>1738</v>
      </c>
      <c r="C858" t="s">
        <v>33</v>
      </c>
      <c r="D858" t="s">
        <v>32</v>
      </c>
      <c r="E858" s="2">
        <v>374172.11</v>
      </c>
      <c r="F858" s="2">
        <v>0</v>
      </c>
      <c r="G858" s="2">
        <v>188300</v>
      </c>
      <c r="H858" s="8">
        <f t="shared" si="26"/>
        <v>188300</v>
      </c>
      <c r="I858" s="10">
        <f t="shared" si="27"/>
        <v>1.9871062665958577</v>
      </c>
      <c r="L858" s="2"/>
      <c r="M858" s="2"/>
      <c r="N858" s="2"/>
    </row>
    <row r="859" spans="1:14" ht="30" customHeight="1" x14ac:dyDescent="0.35">
      <c r="A859" t="s">
        <v>1739</v>
      </c>
      <c r="B859" t="s">
        <v>1740</v>
      </c>
      <c r="C859" t="s">
        <v>2266</v>
      </c>
      <c r="D859" t="s">
        <v>1560</v>
      </c>
      <c r="E859" s="2">
        <v>11946.82</v>
      </c>
      <c r="F859" s="2">
        <v>1361012.35</v>
      </c>
      <c r="G859" s="2"/>
      <c r="H859" s="8">
        <f t="shared" si="26"/>
        <v>1361012.35</v>
      </c>
      <c r="I859" s="10">
        <f t="shared" si="27"/>
        <v>8.7778924269129519E-3</v>
      </c>
      <c r="L859" s="2"/>
      <c r="M859" s="2"/>
      <c r="N859" s="2"/>
    </row>
    <row r="860" spans="1:14" ht="30" customHeight="1" x14ac:dyDescent="0.35">
      <c r="A860" t="s">
        <v>1741</v>
      </c>
      <c r="B860" t="s">
        <v>1742</v>
      </c>
      <c r="C860" t="s">
        <v>57</v>
      </c>
      <c r="D860" t="s">
        <v>56</v>
      </c>
      <c r="E860" s="2">
        <v>37375.550000000003</v>
      </c>
      <c r="F860" s="2">
        <v>137359.38</v>
      </c>
      <c r="G860" s="2"/>
      <c r="H860" s="8">
        <f t="shared" si="26"/>
        <v>137359.38</v>
      </c>
      <c r="I860" s="10">
        <f t="shared" si="27"/>
        <v>0.27210045648138481</v>
      </c>
      <c r="L860" s="2"/>
      <c r="M860" s="2"/>
      <c r="N860" s="2"/>
    </row>
    <row r="861" spans="1:14" ht="30" customHeight="1" x14ac:dyDescent="0.35">
      <c r="A861" t="s">
        <v>2340</v>
      </c>
      <c r="B861" t="s">
        <v>2341</v>
      </c>
      <c r="C861" t="s">
        <v>77</v>
      </c>
      <c r="D861" t="s">
        <v>76</v>
      </c>
      <c r="E861" s="2">
        <v>7580.25</v>
      </c>
      <c r="F861" s="2">
        <v>92172.69</v>
      </c>
      <c r="G861" s="2">
        <v>4727.3100000000004</v>
      </c>
      <c r="H861" s="8">
        <f t="shared" si="26"/>
        <v>96900</v>
      </c>
      <c r="I861" s="10">
        <f t="shared" si="27"/>
        <v>7.8227554179566561E-2</v>
      </c>
      <c r="L861" s="2"/>
      <c r="M861" s="2"/>
      <c r="N861" s="2"/>
    </row>
    <row r="862" spans="1:14" ht="30" customHeight="1" x14ac:dyDescent="0.35">
      <c r="A862" t="s">
        <v>1743</v>
      </c>
      <c r="B862" t="s">
        <v>1744</v>
      </c>
      <c r="C862" t="s">
        <v>2266</v>
      </c>
      <c r="D862" t="s">
        <v>1560</v>
      </c>
      <c r="E862" s="2">
        <v>4267.04</v>
      </c>
      <c r="F862" s="2">
        <v>246989.62</v>
      </c>
      <c r="G862" s="2"/>
      <c r="H862" s="8">
        <f t="shared" si="26"/>
        <v>246989.62</v>
      </c>
      <c r="I862" s="10">
        <f t="shared" si="27"/>
        <v>1.7276191606756593E-2</v>
      </c>
      <c r="L862" s="2"/>
      <c r="M862" s="2"/>
      <c r="N862" s="2"/>
    </row>
    <row r="863" spans="1:14" ht="30" customHeight="1" x14ac:dyDescent="0.35">
      <c r="A863" t="s">
        <v>1745</v>
      </c>
      <c r="B863" t="s">
        <v>1746</v>
      </c>
      <c r="C863" t="s">
        <v>29</v>
      </c>
      <c r="D863" t="s">
        <v>28</v>
      </c>
      <c r="E863" s="2">
        <v>826.2</v>
      </c>
      <c r="F863" s="2">
        <v>501849.59</v>
      </c>
      <c r="G863" s="2"/>
      <c r="H863" s="8">
        <f t="shared" si="26"/>
        <v>501849.59</v>
      </c>
      <c r="I863" s="10">
        <f t="shared" si="27"/>
        <v>1.6463100029632384E-3</v>
      </c>
      <c r="L863" s="2"/>
      <c r="M863" s="2"/>
      <c r="N863" s="2"/>
    </row>
    <row r="864" spans="1:14" ht="30" customHeight="1" x14ac:dyDescent="0.35">
      <c r="A864" t="s">
        <v>2342</v>
      </c>
      <c r="B864" t="s">
        <v>2343</v>
      </c>
      <c r="C864" t="s">
        <v>15</v>
      </c>
      <c r="D864" t="s">
        <v>14</v>
      </c>
      <c r="E864" s="2">
        <v>4203.4799999999996</v>
      </c>
      <c r="F864" s="2">
        <v>2134481.5699999998</v>
      </c>
      <c r="G864" s="2">
        <v>450000</v>
      </c>
      <c r="H864" s="8">
        <f t="shared" si="26"/>
        <v>2584481.5699999998</v>
      </c>
      <c r="I864" s="10">
        <f t="shared" si="27"/>
        <v>1.6264306345972512E-3</v>
      </c>
      <c r="L864" s="2"/>
      <c r="M864" s="2"/>
      <c r="N864" s="2"/>
    </row>
    <row r="865" spans="1:14" ht="30" customHeight="1" x14ac:dyDescent="0.35">
      <c r="A865" t="s">
        <v>1747</v>
      </c>
      <c r="B865" t="s">
        <v>1748</v>
      </c>
      <c r="C865" t="s">
        <v>19</v>
      </c>
      <c r="D865" t="s">
        <v>18</v>
      </c>
      <c r="E865" s="2">
        <v>75607.53</v>
      </c>
      <c r="F865" s="2">
        <v>0</v>
      </c>
      <c r="G865" s="2">
        <v>100000</v>
      </c>
      <c r="H865" s="8">
        <f t="shared" ref="H865:H926" si="28">IF(ISBLANK(F865), "",(F865+G865))</f>
        <v>100000</v>
      </c>
      <c r="I865" s="10">
        <f t="shared" ref="I865:I926" si="29">IF(ISBLANK(F865), "", E865/H865)</f>
        <v>0.75607530000000001</v>
      </c>
      <c r="L865" s="2"/>
      <c r="M865" s="2"/>
      <c r="N865" s="2"/>
    </row>
    <row r="866" spans="1:14" ht="30" customHeight="1" x14ac:dyDescent="0.35">
      <c r="A866" t="s">
        <v>1749</v>
      </c>
      <c r="B866" t="s">
        <v>1750</v>
      </c>
      <c r="C866" t="s">
        <v>41</v>
      </c>
      <c r="D866" t="s">
        <v>40</v>
      </c>
      <c r="E866" s="2">
        <v>250268.13</v>
      </c>
      <c r="F866" s="2">
        <v>149112.47</v>
      </c>
      <c r="G866" s="2">
        <v>16621.46</v>
      </c>
      <c r="H866" s="8">
        <f t="shared" si="28"/>
        <v>165733.93</v>
      </c>
      <c r="I866" s="10">
        <f t="shared" si="29"/>
        <v>1.5100597083530212</v>
      </c>
      <c r="L866" s="2"/>
      <c r="M866" s="2"/>
      <c r="N866" s="2"/>
    </row>
    <row r="867" spans="1:14" ht="30" customHeight="1" x14ac:dyDescent="0.35">
      <c r="A867" t="s">
        <v>1751</v>
      </c>
      <c r="B867" t="s">
        <v>1752</v>
      </c>
      <c r="C867" t="s">
        <v>57</v>
      </c>
      <c r="D867" t="s">
        <v>56</v>
      </c>
      <c r="E867" s="2">
        <v>37910.26</v>
      </c>
      <c r="F867" s="2">
        <v>0</v>
      </c>
      <c r="G867" s="2">
        <v>1000</v>
      </c>
      <c r="H867" s="8">
        <f t="shared" si="28"/>
        <v>1000</v>
      </c>
      <c r="I867" s="10">
        <f t="shared" si="29"/>
        <v>37.910260000000001</v>
      </c>
      <c r="L867" s="2"/>
      <c r="M867" s="2"/>
      <c r="N867" s="2"/>
    </row>
    <row r="868" spans="1:14" ht="30" customHeight="1" x14ac:dyDescent="0.35">
      <c r="A868" t="s">
        <v>1753</v>
      </c>
      <c r="B868" t="s">
        <v>1754</v>
      </c>
      <c r="C868" t="s">
        <v>2224</v>
      </c>
      <c r="D868" t="s">
        <v>1673</v>
      </c>
      <c r="E868" s="2">
        <v>11325.79</v>
      </c>
      <c r="F868" s="2">
        <v>386512.13</v>
      </c>
      <c r="G868" s="2"/>
      <c r="H868" s="8">
        <f t="shared" si="28"/>
        <v>386512.13</v>
      </c>
      <c r="I868" s="10">
        <f t="shared" si="29"/>
        <v>2.9302547374127692E-2</v>
      </c>
      <c r="L868" s="2"/>
      <c r="M868" s="2"/>
      <c r="N868" s="2"/>
    </row>
    <row r="869" spans="1:14" ht="30" customHeight="1" x14ac:dyDescent="0.35">
      <c r="A869" t="s">
        <v>1755</v>
      </c>
      <c r="B869" t="s">
        <v>1756</v>
      </c>
      <c r="C869" t="s">
        <v>2273</v>
      </c>
      <c r="D869" t="s">
        <v>1552</v>
      </c>
      <c r="E869" s="2">
        <v>12736.46</v>
      </c>
      <c r="F869" s="2">
        <v>589866.57999999996</v>
      </c>
      <c r="G869" s="2">
        <v>150000</v>
      </c>
      <c r="H869" s="8">
        <f t="shared" si="28"/>
        <v>739866.58</v>
      </c>
      <c r="I869" s="10">
        <f t="shared" si="29"/>
        <v>1.7214536166777528E-2</v>
      </c>
      <c r="L869" s="2"/>
      <c r="M869" s="2"/>
      <c r="N869" s="2"/>
    </row>
    <row r="870" spans="1:14" ht="30" customHeight="1" x14ac:dyDescent="0.35">
      <c r="A870" t="s">
        <v>1757</v>
      </c>
      <c r="B870" t="s">
        <v>1758</v>
      </c>
      <c r="C870" t="s">
        <v>19</v>
      </c>
      <c r="D870" t="s">
        <v>18</v>
      </c>
      <c r="E870" s="2">
        <v>35316.86</v>
      </c>
      <c r="F870" s="2"/>
      <c r="G870" s="2"/>
      <c r="H870" s="8" t="str">
        <f t="shared" si="28"/>
        <v/>
      </c>
      <c r="I870" s="10" t="str">
        <f t="shared" si="29"/>
        <v/>
      </c>
      <c r="L870" s="2"/>
      <c r="M870" s="2"/>
      <c r="N870" s="2"/>
    </row>
    <row r="871" spans="1:14" ht="30" customHeight="1" x14ac:dyDescent="0.35">
      <c r="A871" t="s">
        <v>460</v>
      </c>
      <c r="B871" t="s">
        <v>1759</v>
      </c>
      <c r="C871" t="s">
        <v>29</v>
      </c>
      <c r="D871" t="s">
        <v>28</v>
      </c>
      <c r="E871" s="2">
        <v>20.05</v>
      </c>
      <c r="F871" s="2">
        <v>0</v>
      </c>
      <c r="G871" s="2">
        <v>200000</v>
      </c>
      <c r="H871" s="8">
        <f t="shared" si="28"/>
        <v>200000</v>
      </c>
      <c r="I871" s="10">
        <f t="shared" si="29"/>
        <v>1.0025E-4</v>
      </c>
      <c r="L871" s="2"/>
      <c r="M871" s="2"/>
      <c r="N871" s="2"/>
    </row>
    <row r="872" spans="1:14" ht="30" customHeight="1" x14ac:dyDescent="0.35">
      <c r="A872" t="s">
        <v>1760</v>
      </c>
      <c r="B872" t="s">
        <v>1761</v>
      </c>
      <c r="C872" t="s">
        <v>606</v>
      </c>
      <c r="D872" t="s">
        <v>605</v>
      </c>
      <c r="E872" s="2">
        <v>318.41000000000003</v>
      </c>
      <c r="F872" s="2">
        <v>42144.47</v>
      </c>
      <c r="G872" s="2"/>
      <c r="H872" s="8">
        <f t="shared" si="28"/>
        <v>42144.47</v>
      </c>
      <c r="I872" s="10">
        <f t="shared" si="29"/>
        <v>7.5552023788648904E-3</v>
      </c>
      <c r="L872" s="2"/>
      <c r="M872" s="2"/>
      <c r="N872" s="2"/>
    </row>
    <row r="873" spans="1:14" ht="30" customHeight="1" x14ac:dyDescent="0.35">
      <c r="A873" t="s">
        <v>1762</v>
      </c>
      <c r="B873" t="s">
        <v>1763</v>
      </c>
      <c r="C873" t="s">
        <v>2266</v>
      </c>
      <c r="D873" t="s">
        <v>1560</v>
      </c>
      <c r="E873" s="2">
        <v>4779.2</v>
      </c>
      <c r="F873" s="2">
        <v>1162297.02</v>
      </c>
      <c r="G873" s="2"/>
      <c r="H873" s="8">
        <f t="shared" si="28"/>
        <v>1162297.02</v>
      </c>
      <c r="I873" s="10">
        <f t="shared" si="29"/>
        <v>4.1118577418360752E-3</v>
      </c>
      <c r="L873" s="2"/>
      <c r="M873" s="2"/>
      <c r="N873" s="2"/>
    </row>
    <row r="874" spans="1:14" ht="30" customHeight="1" x14ac:dyDescent="0.35">
      <c r="A874" t="s">
        <v>1764</v>
      </c>
      <c r="B874" t="s">
        <v>1765</v>
      </c>
      <c r="C874" t="s">
        <v>259</v>
      </c>
      <c r="D874" t="s">
        <v>258</v>
      </c>
      <c r="E874" s="2"/>
      <c r="F874" s="2">
        <v>3302970.74</v>
      </c>
      <c r="G874" s="2">
        <v>197029.26</v>
      </c>
      <c r="H874" s="8">
        <f t="shared" si="28"/>
        <v>3500000</v>
      </c>
      <c r="I874" s="10">
        <f t="shared" si="29"/>
        <v>0</v>
      </c>
      <c r="L874" s="2"/>
      <c r="M874" s="2"/>
      <c r="N874" s="2"/>
    </row>
    <row r="875" spans="1:14" ht="30" customHeight="1" x14ac:dyDescent="0.35">
      <c r="A875" t="s">
        <v>1766</v>
      </c>
      <c r="B875" t="s">
        <v>1767</v>
      </c>
      <c r="C875" t="s">
        <v>19</v>
      </c>
      <c r="D875" t="s">
        <v>18</v>
      </c>
      <c r="E875" s="2">
        <v>61302.34</v>
      </c>
      <c r="F875" s="2"/>
      <c r="G875" s="2"/>
      <c r="H875" s="8" t="str">
        <f t="shared" si="28"/>
        <v/>
      </c>
      <c r="I875" s="10" t="str">
        <f t="shared" si="29"/>
        <v/>
      </c>
      <c r="L875" s="2"/>
      <c r="M875" s="2"/>
      <c r="N875" s="2"/>
    </row>
    <row r="876" spans="1:14" ht="30" customHeight="1" x14ac:dyDescent="0.35">
      <c r="A876" t="s">
        <v>2344</v>
      </c>
      <c r="B876" t="s">
        <v>2345</v>
      </c>
      <c r="C876" t="s">
        <v>33</v>
      </c>
      <c r="D876" t="s">
        <v>32</v>
      </c>
      <c r="E876" s="2">
        <v>2000</v>
      </c>
      <c r="F876" s="2">
        <v>106805.89</v>
      </c>
      <c r="G876" s="2">
        <v>3194.11</v>
      </c>
      <c r="H876" s="8">
        <f t="shared" si="28"/>
        <v>110000</v>
      </c>
      <c r="I876" s="10">
        <f t="shared" si="29"/>
        <v>1.8181818181818181E-2</v>
      </c>
      <c r="L876" s="2"/>
      <c r="M876" s="2"/>
      <c r="N876" s="2"/>
    </row>
    <row r="877" spans="1:14" ht="30" customHeight="1" x14ac:dyDescent="0.35">
      <c r="A877" t="s">
        <v>2346</v>
      </c>
      <c r="B877" t="s">
        <v>2347</v>
      </c>
      <c r="C877" t="s">
        <v>2266</v>
      </c>
      <c r="D877" t="s">
        <v>1560</v>
      </c>
      <c r="E877" s="2">
        <v>12439.4</v>
      </c>
      <c r="F877" s="2">
        <v>0</v>
      </c>
      <c r="G877" s="2">
        <v>2750000</v>
      </c>
      <c r="H877" s="8">
        <f t="shared" si="28"/>
        <v>2750000</v>
      </c>
      <c r="I877" s="10">
        <f t="shared" si="29"/>
        <v>4.5234181818181816E-3</v>
      </c>
      <c r="L877" s="2"/>
      <c r="M877" s="2"/>
      <c r="N877" s="2"/>
    </row>
    <row r="878" spans="1:14" ht="30" customHeight="1" x14ac:dyDescent="0.35">
      <c r="A878" t="s">
        <v>1768</v>
      </c>
      <c r="B878" t="s">
        <v>1769</v>
      </c>
      <c r="C878" t="s">
        <v>2224</v>
      </c>
      <c r="D878" t="s">
        <v>1673</v>
      </c>
      <c r="E878" s="2">
        <v>27359.67</v>
      </c>
      <c r="F878" s="2">
        <v>198946.65</v>
      </c>
      <c r="G878" s="2"/>
      <c r="H878" s="8">
        <f t="shared" si="28"/>
        <v>198946.65</v>
      </c>
      <c r="I878" s="10">
        <f t="shared" si="29"/>
        <v>0.13752264740321085</v>
      </c>
      <c r="L878" s="2"/>
      <c r="M878" s="2"/>
      <c r="N878" s="2"/>
    </row>
    <row r="879" spans="1:14" ht="30" customHeight="1" x14ac:dyDescent="0.35">
      <c r="A879" t="s">
        <v>1770</v>
      </c>
      <c r="B879" t="s">
        <v>1771</v>
      </c>
      <c r="C879" t="s">
        <v>259</v>
      </c>
      <c r="D879" t="s">
        <v>258</v>
      </c>
      <c r="E879" s="2">
        <v>5307.65</v>
      </c>
      <c r="F879" s="2">
        <v>447572.78</v>
      </c>
      <c r="G879" s="2">
        <v>83005.850000000006</v>
      </c>
      <c r="H879" s="8">
        <f t="shared" si="28"/>
        <v>530578.63</v>
      </c>
      <c r="I879" s="10">
        <f t="shared" si="29"/>
        <v>1.0003512580218317E-2</v>
      </c>
      <c r="L879" s="2"/>
      <c r="M879" s="2"/>
      <c r="N879" s="2"/>
    </row>
    <row r="880" spans="1:14" ht="30" customHeight="1" x14ac:dyDescent="0.35">
      <c r="A880" t="s">
        <v>1772</v>
      </c>
      <c r="B880" t="s">
        <v>1773</v>
      </c>
      <c r="C880" t="s">
        <v>2225</v>
      </c>
      <c r="D880" t="s">
        <v>308</v>
      </c>
      <c r="E880" s="2">
        <v>7118.74</v>
      </c>
      <c r="F880" s="2"/>
      <c r="G880" s="2"/>
      <c r="H880" s="8" t="str">
        <f t="shared" si="28"/>
        <v/>
      </c>
      <c r="I880" s="10" t="str">
        <f t="shared" si="29"/>
        <v/>
      </c>
      <c r="L880" s="2"/>
      <c r="M880" s="2"/>
      <c r="N880" s="2"/>
    </row>
    <row r="881" spans="1:14" ht="30" customHeight="1" x14ac:dyDescent="0.35">
      <c r="A881" t="s">
        <v>1774</v>
      </c>
      <c r="B881" t="s">
        <v>1775</v>
      </c>
      <c r="C881" t="s">
        <v>465</v>
      </c>
      <c r="D881" t="s">
        <v>464</v>
      </c>
      <c r="E881" s="2">
        <v>214997.11</v>
      </c>
      <c r="F881" s="2">
        <v>1799231.55</v>
      </c>
      <c r="G881" s="2"/>
      <c r="H881" s="8">
        <f t="shared" si="28"/>
        <v>1799231.55</v>
      </c>
      <c r="I881" s="10">
        <f t="shared" si="29"/>
        <v>0.11949385280621606</v>
      </c>
      <c r="L881" s="2"/>
      <c r="M881" s="2"/>
      <c r="N881" s="2"/>
    </row>
    <row r="882" spans="1:14" ht="30" customHeight="1" x14ac:dyDescent="0.35">
      <c r="A882" t="s">
        <v>1776</v>
      </c>
      <c r="B882" t="s">
        <v>1777</v>
      </c>
      <c r="C882" t="s">
        <v>2266</v>
      </c>
      <c r="D882" t="s">
        <v>1560</v>
      </c>
      <c r="E882" s="2">
        <v>66072.460000000006</v>
      </c>
      <c r="F882" s="2">
        <v>1900000</v>
      </c>
      <c r="G882" s="2">
        <v>0</v>
      </c>
      <c r="H882" s="8">
        <f t="shared" si="28"/>
        <v>1900000</v>
      </c>
      <c r="I882" s="10">
        <f t="shared" si="29"/>
        <v>3.4774978947368425E-2</v>
      </c>
      <c r="L882" s="2"/>
      <c r="M882" s="2"/>
      <c r="N882" s="2"/>
    </row>
    <row r="883" spans="1:14" ht="30" customHeight="1" x14ac:dyDescent="0.35">
      <c r="A883" t="s">
        <v>1778</v>
      </c>
      <c r="B883" t="s">
        <v>1779</v>
      </c>
      <c r="C883" t="s">
        <v>57</v>
      </c>
      <c r="D883" t="s">
        <v>56</v>
      </c>
      <c r="E883" s="2">
        <v>47285.06</v>
      </c>
      <c r="F883" s="2">
        <v>727847.58</v>
      </c>
      <c r="G883" s="2">
        <v>108937.17</v>
      </c>
      <c r="H883" s="8">
        <f t="shared" si="28"/>
        <v>836784.75</v>
      </c>
      <c r="I883" s="10">
        <f t="shared" si="29"/>
        <v>5.6508032681044915E-2</v>
      </c>
      <c r="L883" s="2"/>
      <c r="M883" s="2"/>
      <c r="N883" s="2"/>
    </row>
    <row r="884" spans="1:14" ht="30" customHeight="1" x14ac:dyDescent="0.35">
      <c r="A884" t="s">
        <v>1780</v>
      </c>
      <c r="B884" t="s">
        <v>1781</v>
      </c>
      <c r="C884" t="s">
        <v>2224</v>
      </c>
      <c r="D884" t="s">
        <v>1673</v>
      </c>
      <c r="E884" s="2">
        <v>79318.5</v>
      </c>
      <c r="F884" s="2">
        <v>575000</v>
      </c>
      <c r="G884" s="2"/>
      <c r="H884" s="8">
        <f t="shared" si="28"/>
        <v>575000</v>
      </c>
      <c r="I884" s="10">
        <f t="shared" si="29"/>
        <v>0.13794521739130436</v>
      </c>
      <c r="L884" s="2"/>
      <c r="M884" s="2"/>
      <c r="N884" s="2"/>
    </row>
    <row r="885" spans="1:14" ht="30" customHeight="1" x14ac:dyDescent="0.35">
      <c r="A885" t="s">
        <v>1782</v>
      </c>
      <c r="B885" t="s">
        <v>1783</v>
      </c>
      <c r="C885" t="s">
        <v>2224</v>
      </c>
      <c r="D885" t="s">
        <v>1673</v>
      </c>
      <c r="E885" s="2">
        <v>1896042.56</v>
      </c>
      <c r="F885" s="2">
        <v>5220563.5599999996</v>
      </c>
      <c r="G885" s="2"/>
      <c r="H885" s="8">
        <f t="shared" si="28"/>
        <v>5220563.5599999996</v>
      </c>
      <c r="I885" s="10">
        <f t="shared" si="29"/>
        <v>0.36318733374448181</v>
      </c>
      <c r="L885" s="2"/>
      <c r="M885" s="2"/>
      <c r="N885" s="2"/>
    </row>
    <row r="886" spans="1:14" ht="30" customHeight="1" x14ac:dyDescent="0.35">
      <c r="A886" t="s">
        <v>1784</v>
      </c>
      <c r="B886" t="s">
        <v>1785</v>
      </c>
      <c r="C886" t="s">
        <v>253</v>
      </c>
      <c r="D886" t="s">
        <v>252</v>
      </c>
      <c r="E886" s="2">
        <v>3940.06</v>
      </c>
      <c r="F886" s="2">
        <v>1157192.2</v>
      </c>
      <c r="G886" s="2"/>
      <c r="H886" s="8">
        <f t="shared" si="28"/>
        <v>1157192.2</v>
      </c>
      <c r="I886" s="10">
        <f t="shared" si="29"/>
        <v>3.4048449341431788E-3</v>
      </c>
      <c r="L886" s="2"/>
      <c r="M886" s="2"/>
      <c r="N886" s="2"/>
    </row>
    <row r="887" spans="1:14" ht="30" customHeight="1" x14ac:dyDescent="0.35">
      <c r="A887" t="s">
        <v>1786</v>
      </c>
      <c r="B887" t="s">
        <v>1787</v>
      </c>
      <c r="C887" t="s">
        <v>101</v>
      </c>
      <c r="D887" t="s">
        <v>100</v>
      </c>
      <c r="E887" s="2">
        <v>3216.52</v>
      </c>
      <c r="F887" s="2">
        <v>75361.14</v>
      </c>
      <c r="G887" s="2"/>
      <c r="H887" s="8">
        <f t="shared" si="28"/>
        <v>75361.14</v>
      </c>
      <c r="I887" s="10">
        <f t="shared" si="29"/>
        <v>4.2681413789653393E-2</v>
      </c>
      <c r="L887" s="2"/>
      <c r="M887" s="2"/>
      <c r="N887" s="2"/>
    </row>
    <row r="888" spans="1:14" ht="30" customHeight="1" x14ac:dyDescent="0.35">
      <c r="A888" t="s">
        <v>1788</v>
      </c>
      <c r="B888" t="s">
        <v>1789</v>
      </c>
      <c r="C888" t="s">
        <v>253</v>
      </c>
      <c r="D888" t="s">
        <v>252</v>
      </c>
      <c r="E888" s="2">
        <v>69158.45</v>
      </c>
      <c r="F888" s="2">
        <v>79745.87</v>
      </c>
      <c r="G888" s="2">
        <v>270254.13</v>
      </c>
      <c r="H888" s="8">
        <f t="shared" si="28"/>
        <v>350000</v>
      </c>
      <c r="I888" s="10">
        <f t="shared" si="29"/>
        <v>0.19759557142857143</v>
      </c>
      <c r="L888" s="2"/>
      <c r="M888" s="2"/>
      <c r="N888" s="2"/>
    </row>
    <row r="889" spans="1:14" ht="30" customHeight="1" x14ac:dyDescent="0.35">
      <c r="A889" t="s">
        <v>1790</v>
      </c>
      <c r="B889" t="s">
        <v>1791</v>
      </c>
      <c r="C889" t="s">
        <v>41</v>
      </c>
      <c r="D889" t="s">
        <v>40</v>
      </c>
      <c r="E889" s="2">
        <v>1154</v>
      </c>
      <c r="F889" s="2">
        <v>72492.62</v>
      </c>
      <c r="G889" s="2"/>
      <c r="H889" s="8">
        <f t="shared" si="28"/>
        <v>72492.62</v>
      </c>
      <c r="I889" s="10">
        <f t="shared" si="29"/>
        <v>1.5918861809657316E-2</v>
      </c>
      <c r="L889" s="2"/>
      <c r="M889" s="2"/>
      <c r="N889" s="2"/>
    </row>
    <row r="890" spans="1:14" ht="30" customHeight="1" x14ac:dyDescent="0.35">
      <c r="A890" t="s">
        <v>1792</v>
      </c>
      <c r="B890" t="s">
        <v>1793</v>
      </c>
      <c r="C890" t="s">
        <v>73</v>
      </c>
      <c r="D890" t="s">
        <v>72</v>
      </c>
      <c r="E890" s="2">
        <v>3981.88</v>
      </c>
      <c r="F890" s="2">
        <v>70683.820000000007</v>
      </c>
      <c r="G890" s="2">
        <v>33040.9</v>
      </c>
      <c r="H890" s="8">
        <f t="shared" si="28"/>
        <v>103724.72</v>
      </c>
      <c r="I890" s="10">
        <f t="shared" si="29"/>
        <v>3.8388920211112648E-2</v>
      </c>
      <c r="L890" s="2"/>
      <c r="M890" s="2"/>
      <c r="N890" s="2"/>
    </row>
    <row r="891" spans="1:14" ht="30" customHeight="1" x14ac:dyDescent="0.35">
      <c r="A891" t="s">
        <v>1794</v>
      </c>
      <c r="B891" t="s">
        <v>1795</v>
      </c>
      <c r="C891" t="s">
        <v>2266</v>
      </c>
      <c r="D891" t="s">
        <v>1560</v>
      </c>
      <c r="E891" s="2">
        <v>928873.05</v>
      </c>
      <c r="F891" s="2">
        <v>3771609.92</v>
      </c>
      <c r="G891" s="2"/>
      <c r="H891" s="8">
        <f t="shared" si="28"/>
        <v>3771609.92</v>
      </c>
      <c r="I891" s="10">
        <f t="shared" si="29"/>
        <v>0.24628025424219907</v>
      </c>
      <c r="L891" s="2"/>
      <c r="M891" s="2"/>
      <c r="N891" s="2"/>
    </row>
    <row r="892" spans="1:14" ht="30" customHeight="1" x14ac:dyDescent="0.35">
      <c r="A892" t="s">
        <v>1796</v>
      </c>
      <c r="B892" t="s">
        <v>1797</v>
      </c>
      <c r="C892" t="s">
        <v>29</v>
      </c>
      <c r="D892" t="s">
        <v>28</v>
      </c>
      <c r="E892" s="2">
        <v>2520.86</v>
      </c>
      <c r="F892" s="2">
        <v>0</v>
      </c>
      <c r="G892" s="2">
        <v>32500</v>
      </c>
      <c r="H892" s="8">
        <f t="shared" si="28"/>
        <v>32500</v>
      </c>
      <c r="I892" s="10">
        <f t="shared" si="29"/>
        <v>7.7564923076923087E-2</v>
      </c>
      <c r="L892" s="2"/>
      <c r="M892" s="2"/>
      <c r="N892" s="2"/>
    </row>
    <row r="893" spans="1:14" ht="30" customHeight="1" x14ac:dyDescent="0.35">
      <c r="A893" t="s">
        <v>1798</v>
      </c>
      <c r="B893" t="s">
        <v>1799</v>
      </c>
      <c r="C893" t="s">
        <v>259</v>
      </c>
      <c r="D893" t="s">
        <v>258</v>
      </c>
      <c r="E893" s="2">
        <v>131553.03</v>
      </c>
      <c r="F893" s="2">
        <v>786924.66</v>
      </c>
      <c r="G893" s="2"/>
      <c r="H893" s="8">
        <f t="shared" si="28"/>
        <v>786924.66</v>
      </c>
      <c r="I893" s="10">
        <f t="shared" si="29"/>
        <v>0.1671736021082374</v>
      </c>
      <c r="L893" s="2"/>
      <c r="M893" s="2"/>
      <c r="N893" s="2"/>
    </row>
    <row r="894" spans="1:14" ht="30" customHeight="1" x14ac:dyDescent="0.35">
      <c r="A894" t="s">
        <v>1800</v>
      </c>
      <c r="B894" t="s">
        <v>1801</v>
      </c>
      <c r="C894" t="s">
        <v>385</v>
      </c>
      <c r="D894" t="s">
        <v>384</v>
      </c>
      <c r="E894" s="2"/>
      <c r="F894" s="2">
        <v>473300.33</v>
      </c>
      <c r="G894" s="2"/>
      <c r="H894" s="8">
        <f t="shared" si="28"/>
        <v>473300.33</v>
      </c>
      <c r="I894" s="10">
        <f t="shared" si="29"/>
        <v>0</v>
      </c>
      <c r="L894" s="2"/>
      <c r="M894" s="2"/>
      <c r="N894" s="2"/>
    </row>
    <row r="895" spans="1:14" ht="30" customHeight="1" x14ac:dyDescent="0.35">
      <c r="A895" t="s">
        <v>1802</v>
      </c>
      <c r="B895" t="s">
        <v>1803</v>
      </c>
      <c r="C895" t="s">
        <v>2266</v>
      </c>
      <c r="D895" t="s">
        <v>1560</v>
      </c>
      <c r="E895" s="2"/>
      <c r="F895" s="2">
        <v>1317492.8700000001</v>
      </c>
      <c r="G895" s="2"/>
      <c r="H895" s="8">
        <f t="shared" si="28"/>
        <v>1317492.8700000001</v>
      </c>
      <c r="I895" s="10">
        <f t="shared" si="29"/>
        <v>0</v>
      </c>
      <c r="L895" s="2"/>
      <c r="M895" s="2"/>
      <c r="N895" s="2"/>
    </row>
    <row r="896" spans="1:14" ht="30" customHeight="1" x14ac:dyDescent="0.35">
      <c r="A896" t="s">
        <v>1804</v>
      </c>
      <c r="B896" t="s">
        <v>1805</v>
      </c>
      <c r="C896" t="s">
        <v>2273</v>
      </c>
      <c r="D896" t="s">
        <v>1552</v>
      </c>
      <c r="E896" s="2">
        <v>46103.39</v>
      </c>
      <c r="F896" s="2">
        <v>1180733.8600000001</v>
      </c>
      <c r="G896" s="2"/>
      <c r="H896" s="8">
        <f t="shared" si="28"/>
        <v>1180733.8600000001</v>
      </c>
      <c r="I896" s="10">
        <f t="shared" si="29"/>
        <v>3.904638594848122E-2</v>
      </c>
      <c r="L896" s="2"/>
      <c r="M896" s="2"/>
      <c r="N896" s="2"/>
    </row>
    <row r="897" spans="1:14" ht="30" customHeight="1" x14ac:dyDescent="0.35">
      <c r="A897" t="s">
        <v>1806</v>
      </c>
      <c r="B897" t="s">
        <v>1807</v>
      </c>
      <c r="C897" t="s">
        <v>77</v>
      </c>
      <c r="D897" t="s">
        <v>76</v>
      </c>
      <c r="E897" s="2">
        <v>272829.19</v>
      </c>
      <c r="F897" s="2"/>
      <c r="G897" s="2"/>
      <c r="H897" s="8" t="str">
        <f t="shared" si="28"/>
        <v/>
      </c>
      <c r="I897" s="10" t="str">
        <f t="shared" si="29"/>
        <v/>
      </c>
      <c r="L897" s="2"/>
      <c r="M897" s="2"/>
      <c r="N897" s="2"/>
    </row>
    <row r="898" spans="1:14" ht="30" customHeight="1" x14ac:dyDescent="0.35">
      <c r="A898" t="s">
        <v>1808</v>
      </c>
      <c r="B898" t="s">
        <v>1809</v>
      </c>
      <c r="C898" t="s">
        <v>2266</v>
      </c>
      <c r="D898" t="s">
        <v>1560</v>
      </c>
      <c r="E898" s="2">
        <v>155</v>
      </c>
      <c r="F898" s="2">
        <v>799887.54</v>
      </c>
      <c r="G898" s="2"/>
      <c r="H898" s="8">
        <f t="shared" si="28"/>
        <v>799887.54</v>
      </c>
      <c r="I898" s="10">
        <f t="shared" si="29"/>
        <v>1.9377724023554609E-4</v>
      </c>
      <c r="L898" s="2"/>
      <c r="M898" s="2"/>
      <c r="N898" s="2"/>
    </row>
    <row r="899" spans="1:14" ht="30" customHeight="1" x14ac:dyDescent="0.35">
      <c r="A899" t="s">
        <v>1810</v>
      </c>
      <c r="B899" t="s">
        <v>1811</v>
      </c>
      <c r="C899" t="s">
        <v>33</v>
      </c>
      <c r="D899" t="s">
        <v>32</v>
      </c>
      <c r="E899" s="2">
        <v>666.42</v>
      </c>
      <c r="F899" s="2">
        <v>14968.68</v>
      </c>
      <c r="G899" s="2">
        <v>31.32</v>
      </c>
      <c r="H899" s="8">
        <f t="shared" si="28"/>
        <v>15000</v>
      </c>
      <c r="I899" s="10">
        <f t="shared" si="29"/>
        <v>4.4427999999999995E-2</v>
      </c>
      <c r="L899" s="2"/>
      <c r="M899" s="2"/>
      <c r="N899" s="2"/>
    </row>
    <row r="900" spans="1:14" ht="30" customHeight="1" x14ac:dyDescent="0.35">
      <c r="A900" t="s">
        <v>1812</v>
      </c>
      <c r="B900" t="s">
        <v>1813</v>
      </c>
      <c r="C900" t="s">
        <v>77</v>
      </c>
      <c r="D900" t="s">
        <v>76</v>
      </c>
      <c r="E900" s="2">
        <v>26137.73</v>
      </c>
      <c r="F900" s="2">
        <v>15323.36</v>
      </c>
      <c r="G900" s="2"/>
      <c r="H900" s="8">
        <f t="shared" si="28"/>
        <v>15323.36</v>
      </c>
      <c r="I900" s="10">
        <f t="shared" si="29"/>
        <v>1.7057440404715414</v>
      </c>
      <c r="L900" s="2"/>
      <c r="M900" s="2"/>
      <c r="N900" s="2"/>
    </row>
    <row r="901" spans="1:14" ht="30" customHeight="1" x14ac:dyDescent="0.35">
      <c r="A901" t="s">
        <v>1814</v>
      </c>
      <c r="B901" t="s">
        <v>1815</v>
      </c>
      <c r="C901" t="s">
        <v>2266</v>
      </c>
      <c r="D901" t="s">
        <v>1560</v>
      </c>
      <c r="E901" s="2"/>
      <c r="F901" s="2">
        <v>558374.24</v>
      </c>
      <c r="G901" s="2"/>
      <c r="H901" s="8">
        <f t="shared" si="28"/>
        <v>558374.24</v>
      </c>
      <c r="I901" s="10">
        <f t="shared" si="29"/>
        <v>0</v>
      </c>
      <c r="L901" s="2"/>
      <c r="M901" s="2"/>
      <c r="N901" s="2"/>
    </row>
    <row r="902" spans="1:14" ht="30" customHeight="1" x14ac:dyDescent="0.35">
      <c r="A902" t="s">
        <v>1816</v>
      </c>
      <c r="B902" t="s">
        <v>1817</v>
      </c>
      <c r="C902" t="s">
        <v>73</v>
      </c>
      <c r="D902" t="s">
        <v>72</v>
      </c>
      <c r="E902" s="2">
        <v>762872.02</v>
      </c>
      <c r="F902" s="2"/>
      <c r="G902" s="2"/>
      <c r="H902" s="8" t="str">
        <f t="shared" si="28"/>
        <v/>
      </c>
      <c r="I902" s="10" t="str">
        <f t="shared" si="29"/>
        <v/>
      </c>
      <c r="L902" s="2"/>
      <c r="M902" s="2"/>
      <c r="N902" s="2"/>
    </row>
    <row r="903" spans="1:14" ht="30" customHeight="1" x14ac:dyDescent="0.35">
      <c r="A903" t="s">
        <v>1818</v>
      </c>
      <c r="B903" t="s">
        <v>1819</v>
      </c>
      <c r="C903" t="s">
        <v>57</v>
      </c>
      <c r="D903" t="s">
        <v>56</v>
      </c>
      <c r="E903" s="2">
        <v>1858.98</v>
      </c>
      <c r="F903" s="2">
        <v>70668</v>
      </c>
      <c r="G903" s="2">
        <v>532</v>
      </c>
      <c r="H903" s="8">
        <f t="shared" si="28"/>
        <v>71200</v>
      </c>
      <c r="I903" s="10">
        <f t="shared" si="29"/>
        <v>2.6109269662921347E-2</v>
      </c>
      <c r="L903" s="2"/>
      <c r="M903" s="2"/>
      <c r="N903" s="2"/>
    </row>
    <row r="904" spans="1:14" ht="30" customHeight="1" x14ac:dyDescent="0.35">
      <c r="A904" t="s">
        <v>1820</v>
      </c>
      <c r="B904" t="s">
        <v>1821</v>
      </c>
      <c r="C904" t="s">
        <v>487</v>
      </c>
      <c r="D904" t="s">
        <v>486</v>
      </c>
      <c r="E904" s="2">
        <v>124657.49</v>
      </c>
      <c r="F904" s="2">
        <v>3650203.94</v>
      </c>
      <c r="G904" s="2"/>
      <c r="H904" s="8">
        <f t="shared" si="28"/>
        <v>3650203.94</v>
      </c>
      <c r="I904" s="10">
        <f t="shared" si="29"/>
        <v>3.4150828843826191E-2</v>
      </c>
      <c r="L904" s="2"/>
      <c r="M904" s="2"/>
      <c r="N904" s="2"/>
    </row>
    <row r="905" spans="1:14" ht="30" customHeight="1" x14ac:dyDescent="0.35">
      <c r="A905" t="s">
        <v>1822</v>
      </c>
      <c r="B905" t="s">
        <v>1823</v>
      </c>
      <c r="C905" t="s">
        <v>2266</v>
      </c>
      <c r="D905" t="s">
        <v>1560</v>
      </c>
      <c r="E905" s="2">
        <v>21009.71</v>
      </c>
      <c r="F905" s="2">
        <v>953019.57</v>
      </c>
      <c r="G905" s="2"/>
      <c r="H905" s="8">
        <f t="shared" si="28"/>
        <v>953019.57</v>
      </c>
      <c r="I905" s="10">
        <f t="shared" si="29"/>
        <v>2.2045412981393446E-2</v>
      </c>
      <c r="L905" s="2"/>
      <c r="M905" s="2"/>
      <c r="N905" s="2"/>
    </row>
    <row r="906" spans="1:14" ht="30" customHeight="1" x14ac:dyDescent="0.35">
      <c r="A906" t="s">
        <v>1824</v>
      </c>
      <c r="B906" t="s">
        <v>1825</v>
      </c>
      <c r="C906" t="s">
        <v>101</v>
      </c>
      <c r="D906" t="s">
        <v>100</v>
      </c>
      <c r="E906" s="2">
        <v>274150.43</v>
      </c>
      <c r="F906" s="2">
        <v>376737.15</v>
      </c>
      <c r="G906" s="2">
        <v>163296.84</v>
      </c>
      <c r="H906" s="8">
        <f t="shared" si="28"/>
        <v>540033.99</v>
      </c>
      <c r="I906" s="10">
        <f t="shared" si="29"/>
        <v>0.50765402748075172</v>
      </c>
      <c r="L906" s="2"/>
      <c r="M906" s="2"/>
      <c r="N906" s="2"/>
    </row>
    <row r="907" spans="1:14" ht="30" customHeight="1" x14ac:dyDescent="0.35">
      <c r="A907" t="s">
        <v>1826</v>
      </c>
      <c r="B907" t="s">
        <v>1827</v>
      </c>
      <c r="C907" t="s">
        <v>259</v>
      </c>
      <c r="D907" t="s">
        <v>258</v>
      </c>
      <c r="E907" s="2"/>
      <c r="F907" s="2">
        <v>3333415.61</v>
      </c>
      <c r="G907" s="2">
        <v>266584.39</v>
      </c>
      <c r="H907" s="8">
        <f t="shared" si="28"/>
        <v>3600000</v>
      </c>
      <c r="I907" s="10">
        <f t="shared" si="29"/>
        <v>0</v>
      </c>
      <c r="L907" s="2"/>
      <c r="M907" s="2"/>
      <c r="N907" s="2"/>
    </row>
    <row r="908" spans="1:14" ht="30" customHeight="1" x14ac:dyDescent="0.35">
      <c r="A908" t="s">
        <v>1828</v>
      </c>
      <c r="B908" t="s">
        <v>1829</v>
      </c>
      <c r="C908" t="s">
        <v>259</v>
      </c>
      <c r="D908" t="s">
        <v>258</v>
      </c>
      <c r="E908" s="2">
        <v>16542.28</v>
      </c>
      <c r="F908" s="2">
        <v>2810432.8</v>
      </c>
      <c r="G908" s="2">
        <v>30000</v>
      </c>
      <c r="H908" s="8">
        <f t="shared" si="28"/>
        <v>2840432.8</v>
      </c>
      <c r="I908" s="10">
        <f t="shared" si="29"/>
        <v>5.823858955578882E-3</v>
      </c>
      <c r="L908" s="2"/>
      <c r="M908" s="2"/>
      <c r="N908" s="2"/>
    </row>
    <row r="909" spans="1:14" ht="30" customHeight="1" x14ac:dyDescent="0.35">
      <c r="A909" t="s">
        <v>1830</v>
      </c>
      <c r="B909" t="s">
        <v>1831</v>
      </c>
      <c r="C909" t="s">
        <v>2266</v>
      </c>
      <c r="D909" t="s">
        <v>1560</v>
      </c>
      <c r="E909" s="2">
        <v>527.80999999999995</v>
      </c>
      <c r="F909" s="2">
        <v>59903.58</v>
      </c>
      <c r="G909" s="2">
        <v>96.42</v>
      </c>
      <c r="H909" s="8">
        <f t="shared" si="28"/>
        <v>60000</v>
      </c>
      <c r="I909" s="10">
        <f t="shared" si="29"/>
        <v>8.7968333333333319E-3</v>
      </c>
      <c r="L909" s="2"/>
      <c r="M909" s="2"/>
      <c r="N909" s="2"/>
    </row>
    <row r="910" spans="1:14" ht="30" customHeight="1" x14ac:dyDescent="0.35">
      <c r="A910" t="s">
        <v>1832</v>
      </c>
      <c r="B910" t="s">
        <v>1833</v>
      </c>
      <c r="C910" t="s">
        <v>73</v>
      </c>
      <c r="D910" t="s">
        <v>72</v>
      </c>
      <c r="E910" s="2">
        <v>5058.62</v>
      </c>
      <c r="F910" s="2">
        <v>219077.41</v>
      </c>
      <c r="G910" s="2">
        <v>2050.0700000000002</v>
      </c>
      <c r="H910" s="8">
        <f t="shared" si="28"/>
        <v>221127.48</v>
      </c>
      <c r="I910" s="10">
        <f t="shared" si="29"/>
        <v>2.2876487354715026E-2</v>
      </c>
      <c r="L910" s="2"/>
      <c r="M910" s="2"/>
      <c r="N910" s="2"/>
    </row>
    <row r="911" spans="1:14" ht="30" customHeight="1" x14ac:dyDescent="0.35">
      <c r="A911" t="s">
        <v>1834</v>
      </c>
      <c r="B911" t="s">
        <v>1835</v>
      </c>
      <c r="C911" t="s">
        <v>2225</v>
      </c>
      <c r="D911" t="s">
        <v>308</v>
      </c>
      <c r="E911" s="2">
        <v>470.25</v>
      </c>
      <c r="F911" s="2">
        <v>233968.92</v>
      </c>
      <c r="G911" s="2"/>
      <c r="H911" s="8">
        <f t="shared" si="28"/>
        <v>233968.92</v>
      </c>
      <c r="I911" s="10">
        <f t="shared" si="29"/>
        <v>2.0098823382182556E-3</v>
      </c>
      <c r="L911" s="2"/>
      <c r="M911" s="2"/>
      <c r="N911" s="2"/>
    </row>
    <row r="912" spans="1:14" ht="30" customHeight="1" x14ac:dyDescent="0.35">
      <c r="A912" t="s">
        <v>1836</v>
      </c>
      <c r="B912" t="s">
        <v>1837</v>
      </c>
      <c r="C912" t="s">
        <v>15</v>
      </c>
      <c r="D912" t="s">
        <v>14</v>
      </c>
      <c r="E912" s="2">
        <v>12141.79</v>
      </c>
      <c r="F912" s="2">
        <v>1984543.53</v>
      </c>
      <c r="G912" s="2">
        <v>420456.47</v>
      </c>
      <c r="H912" s="8">
        <f t="shared" si="28"/>
        <v>2405000</v>
      </c>
      <c r="I912" s="10">
        <f t="shared" si="29"/>
        <v>5.0485613305613309E-3</v>
      </c>
      <c r="L912" s="2"/>
      <c r="M912" s="2"/>
      <c r="N912" s="2"/>
    </row>
    <row r="913" spans="1:14" ht="30" customHeight="1" x14ac:dyDescent="0.35">
      <c r="A913" t="s">
        <v>1838</v>
      </c>
      <c r="B913" t="s">
        <v>1839</v>
      </c>
      <c r="C913" t="s">
        <v>259</v>
      </c>
      <c r="D913" t="s">
        <v>258</v>
      </c>
      <c r="E913" s="2">
        <v>204308.02</v>
      </c>
      <c r="F913" s="2">
        <v>65000</v>
      </c>
      <c r="G913" s="2">
        <v>285000</v>
      </c>
      <c r="H913" s="8">
        <f t="shared" si="28"/>
        <v>350000</v>
      </c>
      <c r="I913" s="10">
        <f t="shared" si="29"/>
        <v>0.58373719999999996</v>
      </c>
      <c r="L913" s="2"/>
      <c r="M913" s="2"/>
      <c r="N913" s="2"/>
    </row>
    <row r="914" spans="1:14" ht="30" customHeight="1" x14ac:dyDescent="0.35">
      <c r="A914" t="s">
        <v>1840</v>
      </c>
      <c r="B914" t="s">
        <v>1841</v>
      </c>
      <c r="C914" t="s">
        <v>57</v>
      </c>
      <c r="D914" t="s">
        <v>56</v>
      </c>
      <c r="E914" s="2">
        <v>290</v>
      </c>
      <c r="F914" s="2">
        <v>85362.02</v>
      </c>
      <c r="G914" s="2">
        <v>4537.9799999999996</v>
      </c>
      <c r="H914" s="8">
        <f t="shared" si="28"/>
        <v>89900</v>
      </c>
      <c r="I914" s="10">
        <f t="shared" si="29"/>
        <v>3.2258064516129032E-3</v>
      </c>
      <c r="L914" s="2"/>
      <c r="M914" s="2"/>
      <c r="N914" s="2"/>
    </row>
    <row r="915" spans="1:14" ht="30" customHeight="1" x14ac:dyDescent="0.35">
      <c r="A915" t="s">
        <v>1842</v>
      </c>
      <c r="B915" t="s">
        <v>1843</v>
      </c>
      <c r="C915" t="s">
        <v>259</v>
      </c>
      <c r="D915" t="s">
        <v>258</v>
      </c>
      <c r="E915" s="2">
        <v>963996.23</v>
      </c>
      <c r="F915" s="2">
        <v>1274968.19</v>
      </c>
      <c r="G915" s="2"/>
      <c r="H915" s="8">
        <f t="shared" si="28"/>
        <v>1274968.19</v>
      </c>
      <c r="I915" s="10">
        <f t="shared" si="29"/>
        <v>0.75609433832227613</v>
      </c>
      <c r="L915" s="2"/>
      <c r="M915" s="2"/>
      <c r="N915" s="2"/>
    </row>
    <row r="916" spans="1:14" ht="30" customHeight="1" x14ac:dyDescent="0.35">
      <c r="A916" t="s">
        <v>1844</v>
      </c>
      <c r="B916" t="s">
        <v>1845</v>
      </c>
      <c r="C916" t="s">
        <v>51</v>
      </c>
      <c r="D916" t="s">
        <v>50</v>
      </c>
      <c r="E916" s="2">
        <v>180588.49</v>
      </c>
      <c r="F916" s="2">
        <v>69376.22</v>
      </c>
      <c r="G916" s="2">
        <v>19423.78</v>
      </c>
      <c r="H916" s="8">
        <f t="shared" si="28"/>
        <v>88800</v>
      </c>
      <c r="I916" s="10">
        <f t="shared" si="29"/>
        <v>2.0336541666666665</v>
      </c>
      <c r="L916" s="2"/>
      <c r="M916" s="2"/>
      <c r="N916" s="2"/>
    </row>
    <row r="917" spans="1:14" ht="30" customHeight="1" x14ac:dyDescent="0.35">
      <c r="A917" t="s">
        <v>1846</v>
      </c>
      <c r="B917" t="s">
        <v>1847</v>
      </c>
      <c r="C917" t="s">
        <v>2266</v>
      </c>
      <c r="D917" t="s">
        <v>1560</v>
      </c>
      <c r="E917" s="2">
        <v>26364.79</v>
      </c>
      <c r="F917" s="2">
        <v>395552.4</v>
      </c>
      <c r="G917" s="2"/>
      <c r="H917" s="8">
        <f t="shared" si="28"/>
        <v>395552.4</v>
      </c>
      <c r="I917" s="10">
        <f t="shared" si="29"/>
        <v>6.665309071566751E-2</v>
      </c>
      <c r="L917" s="2"/>
      <c r="M917" s="2"/>
      <c r="N917" s="2"/>
    </row>
    <row r="918" spans="1:14" ht="30" customHeight="1" x14ac:dyDescent="0.35">
      <c r="A918" t="s">
        <v>1848</v>
      </c>
      <c r="B918" t="s">
        <v>1849</v>
      </c>
      <c r="C918" t="s">
        <v>2273</v>
      </c>
      <c r="D918" t="s">
        <v>1552</v>
      </c>
      <c r="E918" s="2">
        <v>13594.96</v>
      </c>
      <c r="F918" s="2">
        <v>718286.66</v>
      </c>
      <c r="G918" s="2"/>
      <c r="H918" s="8">
        <f t="shared" si="28"/>
        <v>718286.66</v>
      </c>
      <c r="I918" s="10">
        <f t="shared" si="29"/>
        <v>1.8926928143145522E-2</v>
      </c>
      <c r="L918" s="2"/>
      <c r="M918" s="2"/>
      <c r="N918" s="2"/>
    </row>
    <row r="919" spans="1:14" ht="30" customHeight="1" x14ac:dyDescent="0.35">
      <c r="A919" t="s">
        <v>1850</v>
      </c>
      <c r="B919" t="s">
        <v>1851</v>
      </c>
      <c r="C919" t="s">
        <v>2263</v>
      </c>
      <c r="D919" t="s">
        <v>1233</v>
      </c>
      <c r="E919" s="2">
        <v>34821.5</v>
      </c>
      <c r="F919" s="2"/>
      <c r="G919" s="2"/>
      <c r="H919" s="8" t="str">
        <f t="shared" si="28"/>
        <v/>
      </c>
      <c r="I919" s="10" t="str">
        <f t="shared" si="29"/>
        <v/>
      </c>
      <c r="L919" s="2"/>
      <c r="M919" s="2"/>
      <c r="N919" s="2"/>
    </row>
    <row r="920" spans="1:14" ht="30" customHeight="1" x14ac:dyDescent="0.35">
      <c r="A920" t="s">
        <v>1852</v>
      </c>
      <c r="B920" t="s">
        <v>1853</v>
      </c>
      <c r="C920" t="s">
        <v>41</v>
      </c>
      <c r="D920" t="s">
        <v>40</v>
      </c>
      <c r="E920" s="2">
        <v>1837.64</v>
      </c>
      <c r="F920" s="2">
        <v>34193.800000000003</v>
      </c>
      <c r="G920" s="2">
        <v>65806.2</v>
      </c>
      <c r="H920" s="8">
        <f t="shared" si="28"/>
        <v>100000</v>
      </c>
      <c r="I920" s="10">
        <f t="shared" si="29"/>
        <v>1.8376400000000001E-2</v>
      </c>
      <c r="L920" s="2"/>
      <c r="M920" s="2"/>
      <c r="N920" s="2"/>
    </row>
    <row r="921" spans="1:14" ht="30" customHeight="1" x14ac:dyDescent="0.35">
      <c r="A921" t="s">
        <v>1854</v>
      </c>
      <c r="B921" t="s">
        <v>1855</v>
      </c>
      <c r="C921" t="s">
        <v>15</v>
      </c>
      <c r="D921" t="s">
        <v>14</v>
      </c>
      <c r="E921" s="2">
        <v>622910.31000000006</v>
      </c>
      <c r="F921" s="2">
        <v>6358291.9000000004</v>
      </c>
      <c r="G921" s="2">
        <v>1250000</v>
      </c>
      <c r="H921" s="8">
        <f t="shared" si="28"/>
        <v>7608291.9000000004</v>
      </c>
      <c r="I921" s="10">
        <f t="shared" si="29"/>
        <v>8.1872556703561805E-2</v>
      </c>
      <c r="L921" s="2"/>
      <c r="M921" s="2"/>
      <c r="N921" s="2"/>
    </row>
    <row r="922" spans="1:14" ht="30" customHeight="1" x14ac:dyDescent="0.35">
      <c r="A922" t="s">
        <v>1856</v>
      </c>
      <c r="B922" t="s">
        <v>1857</v>
      </c>
      <c r="C922" t="s">
        <v>19</v>
      </c>
      <c r="D922" t="s">
        <v>18</v>
      </c>
      <c r="E922" s="2">
        <v>27579.97</v>
      </c>
      <c r="F922" s="2"/>
      <c r="G922" s="2"/>
      <c r="H922" s="8" t="str">
        <f t="shared" si="28"/>
        <v/>
      </c>
      <c r="I922" s="10" t="str">
        <f t="shared" si="29"/>
        <v/>
      </c>
      <c r="L922" s="2"/>
      <c r="M922" s="2"/>
      <c r="N922" s="2"/>
    </row>
    <row r="923" spans="1:14" ht="30" customHeight="1" x14ac:dyDescent="0.35">
      <c r="A923" t="s">
        <v>1858</v>
      </c>
      <c r="B923" t="s">
        <v>1859</v>
      </c>
      <c r="C923" t="s">
        <v>2259</v>
      </c>
      <c r="D923" t="s">
        <v>713</v>
      </c>
      <c r="E923" s="2">
        <v>31511</v>
      </c>
      <c r="F923" s="2">
        <v>42213.120000000003</v>
      </c>
      <c r="G923" s="2"/>
      <c r="H923" s="8">
        <f t="shared" si="28"/>
        <v>42213.120000000003</v>
      </c>
      <c r="I923" s="10">
        <f t="shared" si="29"/>
        <v>0.74647408199157039</v>
      </c>
      <c r="L923" s="2"/>
      <c r="M923" s="2"/>
      <c r="N923" s="2"/>
    </row>
    <row r="924" spans="1:14" ht="30" customHeight="1" x14ac:dyDescent="0.35">
      <c r="A924" t="s">
        <v>1860</v>
      </c>
      <c r="B924" t="s">
        <v>1861</v>
      </c>
      <c r="C924" t="s">
        <v>2225</v>
      </c>
      <c r="D924" t="s">
        <v>308</v>
      </c>
      <c r="E924" s="2"/>
      <c r="F924" s="2">
        <v>46572.99</v>
      </c>
      <c r="G924" s="2"/>
      <c r="H924" s="8">
        <f t="shared" si="28"/>
        <v>46572.99</v>
      </c>
      <c r="I924" s="10">
        <f t="shared" si="29"/>
        <v>0</v>
      </c>
      <c r="L924" s="2"/>
      <c r="M924" s="2"/>
      <c r="N924" s="2"/>
    </row>
    <row r="925" spans="1:14" ht="30" customHeight="1" x14ac:dyDescent="0.35">
      <c r="A925" t="s">
        <v>1862</v>
      </c>
      <c r="B925" t="s">
        <v>1863</v>
      </c>
      <c r="C925" t="s">
        <v>77</v>
      </c>
      <c r="D925" t="s">
        <v>76</v>
      </c>
      <c r="E925" s="2">
        <v>2702.28</v>
      </c>
      <c r="F925" s="2"/>
      <c r="G925" s="2"/>
      <c r="H925" s="8" t="str">
        <f t="shared" si="28"/>
        <v/>
      </c>
      <c r="I925" s="10" t="str">
        <f t="shared" si="29"/>
        <v/>
      </c>
      <c r="L925" s="2"/>
      <c r="M925" s="2"/>
      <c r="N925" s="2"/>
    </row>
    <row r="926" spans="1:14" ht="30" customHeight="1" x14ac:dyDescent="0.35">
      <c r="A926" t="s">
        <v>1864</v>
      </c>
      <c r="B926" t="s">
        <v>1865</v>
      </c>
      <c r="C926" t="s">
        <v>19</v>
      </c>
      <c r="D926" t="s">
        <v>18</v>
      </c>
      <c r="E926" s="2">
        <v>609489.46</v>
      </c>
      <c r="F926" s="2"/>
      <c r="G926" s="2"/>
      <c r="H926" s="8" t="str">
        <f t="shared" si="28"/>
        <v/>
      </c>
      <c r="I926" s="10" t="str">
        <f t="shared" si="29"/>
        <v/>
      </c>
      <c r="L926" s="2"/>
      <c r="M926" s="2"/>
      <c r="N926" s="2"/>
    </row>
    <row r="927" spans="1:14" ht="30" customHeight="1" x14ac:dyDescent="0.35">
      <c r="A927" t="s">
        <v>1866</v>
      </c>
      <c r="B927" t="s">
        <v>1867</v>
      </c>
      <c r="C927" t="s">
        <v>77</v>
      </c>
      <c r="D927" t="s">
        <v>76</v>
      </c>
      <c r="E927" s="2">
        <v>40.47</v>
      </c>
      <c r="F927" s="2"/>
      <c r="G927" s="2"/>
      <c r="H927" s="8" t="str">
        <f t="shared" ref="H927:H987" si="30">IF(ISBLANK(F927), "",(F927+G927))</f>
        <v/>
      </c>
      <c r="I927" s="10" t="str">
        <f t="shared" ref="I927:I987" si="31">IF(ISBLANK(F927), "", E927/H927)</f>
        <v/>
      </c>
      <c r="L927" s="2"/>
      <c r="M927" s="2"/>
      <c r="N927" s="2"/>
    </row>
    <row r="928" spans="1:14" ht="30" customHeight="1" x14ac:dyDescent="0.35">
      <c r="A928" t="s">
        <v>1868</v>
      </c>
      <c r="B928" t="s">
        <v>1869</v>
      </c>
      <c r="C928" t="s">
        <v>2225</v>
      </c>
      <c r="D928" t="s">
        <v>308</v>
      </c>
      <c r="E928" s="2">
        <v>1156.8800000000001</v>
      </c>
      <c r="F928" s="2"/>
      <c r="G928" s="2"/>
      <c r="H928" s="8" t="str">
        <f t="shared" si="30"/>
        <v/>
      </c>
      <c r="I928" s="10" t="str">
        <f t="shared" si="31"/>
        <v/>
      </c>
      <c r="L928" s="2"/>
      <c r="M928" s="2"/>
      <c r="N928" s="2"/>
    </row>
    <row r="929" spans="1:14" ht="30" customHeight="1" x14ac:dyDescent="0.35">
      <c r="A929" t="s">
        <v>1870</v>
      </c>
      <c r="B929" t="s">
        <v>1871</v>
      </c>
      <c r="C929" t="s">
        <v>19</v>
      </c>
      <c r="D929" t="s">
        <v>18</v>
      </c>
      <c r="E929" s="2">
        <v>30060.34</v>
      </c>
      <c r="F929" s="2"/>
      <c r="G929" s="2"/>
      <c r="H929" s="8" t="str">
        <f t="shared" si="30"/>
        <v/>
      </c>
      <c r="I929" s="10" t="str">
        <f t="shared" si="31"/>
        <v/>
      </c>
      <c r="L929" s="2"/>
      <c r="M929" s="2"/>
      <c r="N929" s="2"/>
    </row>
    <row r="930" spans="1:14" ht="30" customHeight="1" x14ac:dyDescent="0.35">
      <c r="A930" t="s">
        <v>1872</v>
      </c>
      <c r="B930" t="s">
        <v>1873</v>
      </c>
      <c r="C930" t="s">
        <v>51</v>
      </c>
      <c r="D930" t="s">
        <v>50</v>
      </c>
      <c r="E930" s="2">
        <v>203363.05</v>
      </c>
      <c r="F930" s="2"/>
      <c r="G930" s="2"/>
      <c r="H930" s="8" t="str">
        <f t="shared" si="30"/>
        <v/>
      </c>
      <c r="I930" s="10" t="str">
        <f t="shared" si="31"/>
        <v/>
      </c>
      <c r="L930" s="2"/>
      <c r="M930" s="2"/>
      <c r="N930" s="2"/>
    </row>
    <row r="931" spans="1:14" ht="30" customHeight="1" x14ac:dyDescent="0.35">
      <c r="A931" t="s">
        <v>1874</v>
      </c>
      <c r="B931" t="s">
        <v>1875</v>
      </c>
      <c r="C931" t="s">
        <v>19</v>
      </c>
      <c r="D931" t="s">
        <v>18</v>
      </c>
      <c r="E931" s="2">
        <v>7713.16</v>
      </c>
      <c r="F931" s="2"/>
      <c r="G931" s="2"/>
      <c r="H931" s="8" t="str">
        <f t="shared" si="30"/>
        <v/>
      </c>
      <c r="I931" s="10" t="str">
        <f t="shared" si="31"/>
        <v/>
      </c>
      <c r="L931" s="2"/>
      <c r="M931" s="2"/>
      <c r="N931" s="2"/>
    </row>
    <row r="932" spans="1:14" ht="30" customHeight="1" x14ac:dyDescent="0.35">
      <c r="A932" t="s">
        <v>1876</v>
      </c>
      <c r="B932" t="s">
        <v>1877</v>
      </c>
      <c r="C932" t="s">
        <v>19</v>
      </c>
      <c r="D932" t="s">
        <v>18</v>
      </c>
      <c r="E932" s="2">
        <v>58772.73</v>
      </c>
      <c r="F932" s="2"/>
      <c r="G932" s="2"/>
      <c r="H932" s="8" t="str">
        <f t="shared" si="30"/>
        <v/>
      </c>
      <c r="I932" s="10" t="str">
        <f t="shared" si="31"/>
        <v/>
      </c>
      <c r="L932" s="2"/>
      <c r="M932" s="2"/>
      <c r="N932" s="2"/>
    </row>
    <row r="933" spans="1:14" ht="30" customHeight="1" x14ac:dyDescent="0.35">
      <c r="A933" t="s">
        <v>1878</v>
      </c>
      <c r="B933" t="s">
        <v>1879</v>
      </c>
      <c r="C933" t="s">
        <v>2263</v>
      </c>
      <c r="D933" t="s">
        <v>1233</v>
      </c>
      <c r="E933" s="2">
        <v>83706.95</v>
      </c>
      <c r="F933" s="2"/>
      <c r="G933" s="2"/>
      <c r="H933" s="8" t="str">
        <f t="shared" si="30"/>
        <v/>
      </c>
      <c r="I933" s="10" t="str">
        <f t="shared" si="31"/>
        <v/>
      </c>
      <c r="L933" s="2"/>
      <c r="M933" s="2"/>
      <c r="N933" s="2"/>
    </row>
    <row r="934" spans="1:14" ht="30" customHeight="1" x14ac:dyDescent="0.35">
      <c r="A934" t="s">
        <v>1880</v>
      </c>
      <c r="B934" t="s">
        <v>1881</v>
      </c>
      <c r="C934" t="s">
        <v>51</v>
      </c>
      <c r="D934" t="s">
        <v>50</v>
      </c>
      <c r="E934" s="2">
        <v>19586.04</v>
      </c>
      <c r="F934" s="2">
        <v>14459.36</v>
      </c>
      <c r="G934" s="2"/>
      <c r="H934" s="8">
        <f t="shared" si="30"/>
        <v>14459.36</v>
      </c>
      <c r="I934" s="10">
        <f t="shared" si="31"/>
        <v>1.3545578780803575</v>
      </c>
      <c r="L934" s="2"/>
      <c r="M934" s="2"/>
      <c r="N934" s="2"/>
    </row>
    <row r="935" spans="1:14" ht="30" customHeight="1" x14ac:dyDescent="0.35">
      <c r="A935" t="s">
        <v>2348</v>
      </c>
      <c r="B935" t="s">
        <v>2349</v>
      </c>
      <c r="C935" t="s">
        <v>2225</v>
      </c>
      <c r="D935" t="s">
        <v>308</v>
      </c>
      <c r="E935" s="2">
        <v>20.309999999999999</v>
      </c>
      <c r="F935" s="2"/>
      <c r="G935" s="2"/>
      <c r="H935" s="8" t="str">
        <f t="shared" si="30"/>
        <v/>
      </c>
      <c r="I935" s="10" t="str">
        <f t="shared" si="31"/>
        <v/>
      </c>
      <c r="L935" s="2"/>
      <c r="M935" s="2"/>
      <c r="N935" s="2"/>
    </row>
    <row r="936" spans="1:14" ht="30" customHeight="1" x14ac:dyDescent="0.35">
      <c r="A936" t="s">
        <v>2232</v>
      </c>
      <c r="B936" t="s">
        <v>2233</v>
      </c>
      <c r="C936" t="s">
        <v>51</v>
      </c>
      <c r="D936" t="s">
        <v>50</v>
      </c>
      <c r="E936" s="2">
        <v>67458.38</v>
      </c>
      <c r="F936" s="2"/>
      <c r="G936" s="2"/>
      <c r="H936" s="8" t="str">
        <f t="shared" si="30"/>
        <v/>
      </c>
      <c r="I936" s="10" t="str">
        <f t="shared" si="31"/>
        <v/>
      </c>
      <c r="L936" s="2"/>
      <c r="M936" s="2"/>
      <c r="N936" s="2"/>
    </row>
    <row r="937" spans="1:14" ht="30" customHeight="1" x14ac:dyDescent="0.35">
      <c r="A937" t="s">
        <v>1882</v>
      </c>
      <c r="B937" t="s">
        <v>1883</v>
      </c>
      <c r="C937" t="s">
        <v>51</v>
      </c>
      <c r="D937" t="s">
        <v>50</v>
      </c>
      <c r="E937" s="2">
        <v>15987.84</v>
      </c>
      <c r="F937" s="2"/>
      <c r="G937" s="2"/>
      <c r="H937" s="8" t="str">
        <f t="shared" si="30"/>
        <v/>
      </c>
      <c r="I937" s="10" t="str">
        <f t="shared" si="31"/>
        <v/>
      </c>
      <c r="L937" s="2"/>
      <c r="M937" s="2"/>
      <c r="N937" s="2"/>
    </row>
    <row r="938" spans="1:14" ht="30" customHeight="1" x14ac:dyDescent="0.35">
      <c r="A938" t="s">
        <v>1884</v>
      </c>
      <c r="B938" t="s">
        <v>1885</v>
      </c>
      <c r="C938" t="s">
        <v>51</v>
      </c>
      <c r="D938" t="s">
        <v>50</v>
      </c>
      <c r="E938" s="2">
        <v>491267</v>
      </c>
      <c r="F938" s="2"/>
      <c r="G938" s="2"/>
      <c r="H938" s="8" t="str">
        <f t="shared" si="30"/>
        <v/>
      </c>
      <c r="I938" s="10" t="str">
        <f t="shared" si="31"/>
        <v/>
      </c>
      <c r="L938" s="2"/>
      <c r="M938" s="2"/>
      <c r="N938" s="2"/>
    </row>
    <row r="939" spans="1:14" ht="30" customHeight="1" x14ac:dyDescent="0.35">
      <c r="A939" t="s">
        <v>1886</v>
      </c>
      <c r="B939" t="s">
        <v>1887</v>
      </c>
      <c r="C939" t="s">
        <v>51</v>
      </c>
      <c r="D939" t="s">
        <v>50</v>
      </c>
      <c r="E939" s="2">
        <v>87990.26</v>
      </c>
      <c r="F939" s="2"/>
      <c r="G939" s="2"/>
      <c r="H939" s="8" t="str">
        <f t="shared" si="30"/>
        <v/>
      </c>
      <c r="I939" s="10" t="str">
        <f t="shared" si="31"/>
        <v/>
      </c>
      <c r="L939" s="2"/>
      <c r="M939" s="2"/>
      <c r="N939" s="2"/>
    </row>
    <row r="940" spans="1:14" ht="30" customHeight="1" x14ac:dyDescent="0.35">
      <c r="A940" t="s">
        <v>1888</v>
      </c>
      <c r="B940" t="s">
        <v>1889</v>
      </c>
      <c r="C940" t="s">
        <v>385</v>
      </c>
      <c r="D940" t="s">
        <v>384</v>
      </c>
      <c r="E940" s="2">
        <v>912.74</v>
      </c>
      <c r="F940" s="2"/>
      <c r="G940" s="2"/>
      <c r="H940" s="8" t="str">
        <f t="shared" si="30"/>
        <v/>
      </c>
      <c r="I940" s="10" t="str">
        <f t="shared" si="31"/>
        <v/>
      </c>
      <c r="L940" s="2"/>
      <c r="M940" s="2"/>
      <c r="N940" s="2"/>
    </row>
    <row r="941" spans="1:14" ht="30" customHeight="1" x14ac:dyDescent="0.35">
      <c r="A941" t="s">
        <v>1890</v>
      </c>
      <c r="B941" t="s">
        <v>1891</v>
      </c>
      <c r="C941" t="s">
        <v>41</v>
      </c>
      <c r="D941" t="s">
        <v>40</v>
      </c>
      <c r="E941" s="2">
        <v>766588.04</v>
      </c>
      <c r="F941" s="2"/>
      <c r="G941" s="2"/>
      <c r="H941" s="8" t="str">
        <f t="shared" si="30"/>
        <v/>
      </c>
      <c r="I941" s="10" t="str">
        <f t="shared" si="31"/>
        <v/>
      </c>
      <c r="L941" s="2"/>
      <c r="M941" s="2"/>
      <c r="N941" s="2"/>
    </row>
    <row r="942" spans="1:14" ht="30" customHeight="1" x14ac:dyDescent="0.35">
      <c r="A942" t="s">
        <v>1892</v>
      </c>
      <c r="B942" t="s">
        <v>1893</v>
      </c>
      <c r="C942" t="s">
        <v>2263</v>
      </c>
      <c r="D942" t="s">
        <v>1233</v>
      </c>
      <c r="E942" s="2">
        <v>76877.81</v>
      </c>
      <c r="F942" s="2"/>
      <c r="G942" s="2"/>
      <c r="H942" s="8" t="str">
        <f t="shared" si="30"/>
        <v/>
      </c>
      <c r="I942" s="10" t="str">
        <f t="shared" si="31"/>
        <v/>
      </c>
      <c r="L942" s="2"/>
      <c r="M942" s="2"/>
      <c r="N942" s="2"/>
    </row>
    <row r="943" spans="1:14" ht="30" customHeight="1" x14ac:dyDescent="0.35">
      <c r="A943" t="s">
        <v>1894</v>
      </c>
      <c r="B943" t="s">
        <v>1895</v>
      </c>
      <c r="C943" t="s">
        <v>29</v>
      </c>
      <c r="D943" t="s">
        <v>28</v>
      </c>
      <c r="E943" s="2">
        <v>11614.28</v>
      </c>
      <c r="F943" s="2"/>
      <c r="G943" s="2"/>
      <c r="H943" s="8" t="str">
        <f t="shared" si="30"/>
        <v/>
      </c>
      <c r="I943" s="10" t="str">
        <f t="shared" si="31"/>
        <v/>
      </c>
      <c r="L943" s="2"/>
      <c r="M943" s="2"/>
      <c r="N943" s="2"/>
    </row>
    <row r="944" spans="1:14" ht="30" customHeight="1" x14ac:dyDescent="0.35">
      <c r="A944" t="s">
        <v>2350</v>
      </c>
      <c r="B944" t="s">
        <v>2351</v>
      </c>
      <c r="C944" t="s">
        <v>19</v>
      </c>
      <c r="D944" t="s">
        <v>18</v>
      </c>
      <c r="E944" s="2">
        <v>0.03</v>
      </c>
      <c r="F944" s="2"/>
      <c r="G944" s="2"/>
      <c r="H944" s="8" t="str">
        <f t="shared" si="30"/>
        <v/>
      </c>
      <c r="I944" s="10" t="str">
        <f t="shared" si="31"/>
        <v/>
      </c>
      <c r="L944" s="2"/>
      <c r="M944" s="2"/>
      <c r="N944" s="2"/>
    </row>
    <row r="945" spans="1:14" ht="30" customHeight="1" x14ac:dyDescent="0.35">
      <c r="A945" t="s">
        <v>1896</v>
      </c>
      <c r="B945" t="s">
        <v>1897</v>
      </c>
      <c r="C945" t="s">
        <v>29</v>
      </c>
      <c r="D945" t="s">
        <v>28</v>
      </c>
      <c r="E945" s="2">
        <v>47023.360000000001</v>
      </c>
      <c r="F945" s="2">
        <v>14287.17</v>
      </c>
      <c r="G945" s="2"/>
      <c r="H945" s="8">
        <f t="shared" si="30"/>
        <v>14287.17</v>
      </c>
      <c r="I945" s="10">
        <f t="shared" si="31"/>
        <v>3.2912998165486935</v>
      </c>
      <c r="L945" s="2"/>
      <c r="M945" s="2"/>
      <c r="N945" s="2"/>
    </row>
    <row r="946" spans="1:14" ht="30" customHeight="1" x14ac:dyDescent="0.35">
      <c r="A946" t="s">
        <v>1898</v>
      </c>
      <c r="B946" t="s">
        <v>1899</v>
      </c>
      <c r="C946" t="s">
        <v>101</v>
      </c>
      <c r="D946" t="s">
        <v>100</v>
      </c>
      <c r="E946" s="2">
        <v>531680.14</v>
      </c>
      <c r="F946" s="2">
        <v>0.28000000000000003</v>
      </c>
      <c r="G946" s="2">
        <v>249999.72</v>
      </c>
      <c r="H946" s="8">
        <f t="shared" si="30"/>
        <v>250000</v>
      </c>
      <c r="I946" s="10">
        <f t="shared" si="31"/>
        <v>2.1267205599999999</v>
      </c>
      <c r="L946" s="2"/>
      <c r="M946" s="2"/>
      <c r="N946" s="2"/>
    </row>
    <row r="947" spans="1:14" ht="30" customHeight="1" x14ac:dyDescent="0.35">
      <c r="A947" t="s">
        <v>1900</v>
      </c>
      <c r="B947" t="s">
        <v>1901</v>
      </c>
      <c r="C947" t="s">
        <v>77</v>
      </c>
      <c r="D947" t="s">
        <v>76</v>
      </c>
      <c r="E947" s="2">
        <v>38178.76</v>
      </c>
      <c r="F947" s="2"/>
      <c r="G947" s="2"/>
      <c r="H947" s="8" t="str">
        <f t="shared" si="30"/>
        <v/>
      </c>
      <c r="I947" s="10" t="str">
        <f t="shared" si="31"/>
        <v/>
      </c>
      <c r="L947" s="2"/>
      <c r="M947" s="2"/>
      <c r="N947" s="2"/>
    </row>
    <row r="948" spans="1:14" ht="30" customHeight="1" x14ac:dyDescent="0.35">
      <c r="A948" t="s">
        <v>1902</v>
      </c>
      <c r="B948" t="s">
        <v>1903</v>
      </c>
      <c r="C948" t="s">
        <v>51</v>
      </c>
      <c r="D948" t="s">
        <v>50</v>
      </c>
      <c r="E948" s="2">
        <v>6.96</v>
      </c>
      <c r="F948" s="2">
        <v>9665.73</v>
      </c>
      <c r="G948" s="2"/>
      <c r="H948" s="8">
        <f t="shared" si="30"/>
        <v>9665.73</v>
      </c>
      <c r="I948" s="10">
        <f t="shared" si="31"/>
        <v>7.2006977227793457E-4</v>
      </c>
      <c r="L948" s="2"/>
      <c r="M948" s="2"/>
      <c r="N948" s="2"/>
    </row>
    <row r="949" spans="1:14" ht="30" customHeight="1" x14ac:dyDescent="0.35">
      <c r="A949" t="s">
        <v>1904</v>
      </c>
      <c r="B949" t="s">
        <v>1905</v>
      </c>
      <c r="C949" t="s">
        <v>259</v>
      </c>
      <c r="D949" t="s">
        <v>258</v>
      </c>
      <c r="E949" s="2">
        <v>813125.95</v>
      </c>
      <c r="F949" s="2">
        <v>145000</v>
      </c>
      <c r="G949" s="2">
        <v>105000</v>
      </c>
      <c r="H949" s="8">
        <f t="shared" si="30"/>
        <v>250000</v>
      </c>
      <c r="I949" s="10">
        <f t="shared" si="31"/>
        <v>3.2525037999999999</v>
      </c>
      <c r="L949" s="2"/>
      <c r="M949" s="2"/>
      <c r="N949" s="2"/>
    </row>
    <row r="950" spans="1:14" ht="30" customHeight="1" x14ac:dyDescent="0.35">
      <c r="A950" t="s">
        <v>1906</v>
      </c>
      <c r="B950" t="s">
        <v>1907</v>
      </c>
      <c r="C950" t="s">
        <v>19</v>
      </c>
      <c r="D950" t="s">
        <v>18</v>
      </c>
      <c r="E950" s="2">
        <v>404335.65</v>
      </c>
      <c r="F950" s="2">
        <v>0</v>
      </c>
      <c r="G950" s="2">
        <v>285000</v>
      </c>
      <c r="H950" s="8">
        <f t="shared" si="30"/>
        <v>285000</v>
      </c>
      <c r="I950" s="10">
        <f t="shared" si="31"/>
        <v>1.4187215789473686</v>
      </c>
      <c r="L950" s="2"/>
      <c r="M950" s="2"/>
      <c r="N950" s="2"/>
    </row>
    <row r="951" spans="1:14" ht="30" customHeight="1" x14ac:dyDescent="0.35">
      <c r="A951" t="s">
        <v>1908</v>
      </c>
      <c r="B951" t="s">
        <v>1909</v>
      </c>
      <c r="C951" t="s">
        <v>33</v>
      </c>
      <c r="D951" t="s">
        <v>32</v>
      </c>
      <c r="E951" s="2">
        <v>4787.47</v>
      </c>
      <c r="F951" s="2">
        <v>233289.26</v>
      </c>
      <c r="G951" s="2"/>
      <c r="H951" s="8">
        <f t="shared" si="30"/>
        <v>233289.26</v>
      </c>
      <c r="I951" s="10">
        <f t="shared" si="31"/>
        <v>2.0521604809411287E-2</v>
      </c>
      <c r="L951" s="2"/>
      <c r="M951" s="2"/>
      <c r="N951" s="2"/>
    </row>
    <row r="952" spans="1:14" ht="30" customHeight="1" x14ac:dyDescent="0.35">
      <c r="A952" t="s">
        <v>1910</v>
      </c>
      <c r="B952" t="s">
        <v>1911</v>
      </c>
      <c r="C952" t="s">
        <v>19</v>
      </c>
      <c r="D952" t="s">
        <v>18</v>
      </c>
      <c r="E952" s="2">
        <v>106665.99</v>
      </c>
      <c r="F952" s="2">
        <v>0</v>
      </c>
      <c r="G952" s="2">
        <v>300</v>
      </c>
      <c r="H952" s="8">
        <f t="shared" si="30"/>
        <v>300</v>
      </c>
      <c r="I952" s="10">
        <f t="shared" si="31"/>
        <v>355.55330000000004</v>
      </c>
      <c r="L952" s="2"/>
      <c r="M952" s="2"/>
      <c r="N952" s="2"/>
    </row>
    <row r="953" spans="1:14" ht="30" customHeight="1" x14ac:dyDescent="0.35">
      <c r="A953" t="s">
        <v>2352</v>
      </c>
      <c r="B953" t="s">
        <v>2353</v>
      </c>
      <c r="C953" t="s">
        <v>57</v>
      </c>
      <c r="D953" t="s">
        <v>56</v>
      </c>
      <c r="E953" s="2">
        <v>1960.62</v>
      </c>
      <c r="F953" s="2"/>
      <c r="G953" s="2"/>
      <c r="H953" s="8" t="str">
        <f t="shared" si="30"/>
        <v/>
      </c>
      <c r="I953" s="10" t="str">
        <f t="shared" si="31"/>
        <v/>
      </c>
      <c r="L953" s="2"/>
      <c r="M953" s="2"/>
      <c r="N953" s="2"/>
    </row>
    <row r="954" spans="1:14" ht="30" customHeight="1" x14ac:dyDescent="0.35">
      <c r="A954" t="s">
        <v>1912</v>
      </c>
      <c r="B954" t="s">
        <v>1913</v>
      </c>
      <c r="C954" t="s">
        <v>2266</v>
      </c>
      <c r="D954" t="s">
        <v>1560</v>
      </c>
      <c r="E954" s="2">
        <v>4581.2700000000004</v>
      </c>
      <c r="F954" s="2">
        <v>2744358.76</v>
      </c>
      <c r="G954" s="2">
        <v>255641.24</v>
      </c>
      <c r="H954" s="8">
        <f t="shared" si="30"/>
        <v>3000000</v>
      </c>
      <c r="I954" s="10">
        <f t="shared" si="31"/>
        <v>1.52709E-3</v>
      </c>
      <c r="L954" s="2"/>
      <c r="M954" s="2"/>
      <c r="N954" s="2"/>
    </row>
    <row r="955" spans="1:14" ht="30" customHeight="1" x14ac:dyDescent="0.35">
      <c r="A955" t="s">
        <v>1914</v>
      </c>
      <c r="B955" t="s">
        <v>1915</v>
      </c>
      <c r="C955" t="s">
        <v>2224</v>
      </c>
      <c r="D955" t="s">
        <v>1673</v>
      </c>
      <c r="E955" s="2">
        <v>1285.56</v>
      </c>
      <c r="F955" s="2">
        <v>39669.49</v>
      </c>
      <c r="G955" s="2"/>
      <c r="H955" s="8">
        <f t="shared" si="30"/>
        <v>39669.49</v>
      </c>
      <c r="I955" s="10">
        <f t="shared" si="31"/>
        <v>3.2406769030809322E-2</v>
      </c>
      <c r="L955" s="2"/>
      <c r="M955" s="2"/>
      <c r="N955" s="2"/>
    </row>
    <row r="956" spans="1:14" ht="30" customHeight="1" x14ac:dyDescent="0.35">
      <c r="A956" t="s">
        <v>1916</v>
      </c>
      <c r="B956" t="s">
        <v>1917</v>
      </c>
      <c r="C956" t="s">
        <v>19</v>
      </c>
      <c r="D956" t="s">
        <v>18</v>
      </c>
      <c r="E956" s="2">
        <v>57907.99</v>
      </c>
      <c r="F956" s="2">
        <v>246018.87</v>
      </c>
      <c r="G956" s="2"/>
      <c r="H956" s="8">
        <f t="shared" si="30"/>
        <v>246018.87</v>
      </c>
      <c r="I956" s="10">
        <f t="shared" si="31"/>
        <v>0.23538027794372032</v>
      </c>
      <c r="L956" s="2"/>
      <c r="M956" s="2"/>
      <c r="N956" s="2"/>
    </row>
    <row r="957" spans="1:14" ht="30" customHeight="1" x14ac:dyDescent="0.35">
      <c r="A957" t="s">
        <v>1918</v>
      </c>
      <c r="B957" t="s">
        <v>1919</v>
      </c>
      <c r="C957" t="s">
        <v>465</v>
      </c>
      <c r="D957" t="s">
        <v>464</v>
      </c>
      <c r="E957" s="2">
        <v>365144.23</v>
      </c>
      <c r="F957" s="2">
        <v>3034351.67</v>
      </c>
      <c r="G957" s="2">
        <v>500000</v>
      </c>
      <c r="H957" s="8">
        <f t="shared" si="30"/>
        <v>3534351.67</v>
      </c>
      <c r="I957" s="10">
        <f t="shared" si="31"/>
        <v>0.10331293093989144</v>
      </c>
      <c r="L957" s="2"/>
      <c r="M957" s="2"/>
      <c r="N957" s="2"/>
    </row>
    <row r="958" spans="1:14" ht="30" customHeight="1" x14ac:dyDescent="0.35">
      <c r="A958" t="s">
        <v>1920</v>
      </c>
      <c r="B958" t="s">
        <v>1921</v>
      </c>
      <c r="C958" t="s">
        <v>33</v>
      </c>
      <c r="D958" t="s">
        <v>32</v>
      </c>
      <c r="E958" s="2">
        <v>543790.59</v>
      </c>
      <c r="F958" s="2">
        <v>564098.18000000005</v>
      </c>
      <c r="G958" s="2">
        <v>19901.82</v>
      </c>
      <c r="H958" s="8">
        <f t="shared" si="30"/>
        <v>584000</v>
      </c>
      <c r="I958" s="10">
        <f t="shared" si="31"/>
        <v>0.93114827054794513</v>
      </c>
      <c r="L958" s="2"/>
      <c r="M958" s="2"/>
      <c r="N958" s="2"/>
    </row>
    <row r="959" spans="1:14" ht="30" customHeight="1" x14ac:dyDescent="0.35">
      <c r="A959" t="s">
        <v>1922</v>
      </c>
      <c r="B959" t="s">
        <v>1923</v>
      </c>
      <c r="C959" t="s">
        <v>51</v>
      </c>
      <c r="D959" t="s">
        <v>50</v>
      </c>
      <c r="E959" s="2">
        <v>115723.85</v>
      </c>
      <c r="F959" s="2"/>
      <c r="G959" s="2"/>
      <c r="H959" s="8" t="str">
        <f t="shared" si="30"/>
        <v/>
      </c>
      <c r="I959" s="10" t="str">
        <f t="shared" si="31"/>
        <v/>
      </c>
      <c r="L959" s="2"/>
      <c r="M959" s="2"/>
      <c r="N959" s="2"/>
    </row>
    <row r="960" spans="1:14" ht="30" customHeight="1" x14ac:dyDescent="0.35">
      <c r="A960" t="s">
        <v>2354</v>
      </c>
      <c r="B960" t="s">
        <v>2355</v>
      </c>
      <c r="C960" t="s">
        <v>2356</v>
      </c>
      <c r="D960" t="s">
        <v>2357</v>
      </c>
      <c r="E960" s="2">
        <v>229.56</v>
      </c>
      <c r="F960" s="2"/>
      <c r="G960" s="2"/>
      <c r="H960" s="8" t="str">
        <f t="shared" si="30"/>
        <v/>
      </c>
      <c r="I960" s="10" t="str">
        <f t="shared" si="31"/>
        <v/>
      </c>
      <c r="L960" s="2"/>
      <c r="M960" s="2"/>
      <c r="N960" s="2"/>
    </row>
    <row r="961" spans="1:14" ht="30" customHeight="1" x14ac:dyDescent="0.35">
      <c r="A961" t="s">
        <v>1924</v>
      </c>
      <c r="B961" t="s">
        <v>1925</v>
      </c>
      <c r="C961" t="s">
        <v>77</v>
      </c>
      <c r="D961" t="s">
        <v>76</v>
      </c>
      <c r="E961" s="2">
        <v>12881.81</v>
      </c>
      <c r="F961" s="2"/>
      <c r="G961" s="2"/>
      <c r="H961" s="8" t="str">
        <f t="shared" si="30"/>
        <v/>
      </c>
      <c r="I961" s="10" t="str">
        <f t="shared" si="31"/>
        <v/>
      </c>
      <c r="L961" s="2"/>
      <c r="M961" s="2"/>
      <c r="N961" s="2"/>
    </row>
    <row r="962" spans="1:14" ht="30" customHeight="1" x14ac:dyDescent="0.35">
      <c r="A962" t="s">
        <v>1926</v>
      </c>
      <c r="B962" t="s">
        <v>1927</v>
      </c>
      <c r="C962" t="s">
        <v>51</v>
      </c>
      <c r="D962" t="s">
        <v>50</v>
      </c>
      <c r="E962" s="2">
        <v>123095.55</v>
      </c>
      <c r="F962" s="2"/>
      <c r="G962" s="2"/>
      <c r="H962" s="8" t="str">
        <f t="shared" si="30"/>
        <v/>
      </c>
      <c r="I962" s="10" t="str">
        <f t="shared" si="31"/>
        <v/>
      </c>
      <c r="L962" s="2"/>
      <c r="M962" s="2"/>
      <c r="N962" s="2"/>
    </row>
    <row r="963" spans="1:14" ht="30" customHeight="1" x14ac:dyDescent="0.35">
      <c r="A963" t="s">
        <v>1928</v>
      </c>
      <c r="B963" t="s">
        <v>1929</v>
      </c>
      <c r="C963" t="s">
        <v>2263</v>
      </c>
      <c r="D963" t="s">
        <v>1233</v>
      </c>
      <c r="E963" s="2">
        <v>12735.15</v>
      </c>
      <c r="F963" s="2"/>
      <c r="G963" s="2"/>
      <c r="H963" s="8" t="str">
        <f t="shared" si="30"/>
        <v/>
      </c>
      <c r="I963" s="10" t="str">
        <f t="shared" si="31"/>
        <v/>
      </c>
      <c r="L963" s="2"/>
      <c r="M963" s="2"/>
      <c r="N963" s="2"/>
    </row>
    <row r="964" spans="1:14" ht="30" customHeight="1" x14ac:dyDescent="0.35">
      <c r="A964" t="s">
        <v>2358</v>
      </c>
      <c r="B964" t="s">
        <v>2359</v>
      </c>
      <c r="C964" t="s">
        <v>385</v>
      </c>
      <c r="D964" t="s">
        <v>384</v>
      </c>
      <c r="E964" s="2">
        <v>7411.92</v>
      </c>
      <c r="F964" s="2"/>
      <c r="G964" s="2"/>
      <c r="H964" s="8" t="str">
        <f t="shared" si="30"/>
        <v/>
      </c>
      <c r="I964" s="10" t="str">
        <f t="shared" si="31"/>
        <v/>
      </c>
      <c r="L964" s="2"/>
      <c r="M964" s="2"/>
      <c r="N964" s="2"/>
    </row>
    <row r="965" spans="1:14" ht="30" customHeight="1" x14ac:dyDescent="0.35">
      <c r="A965" t="s">
        <v>1930</v>
      </c>
      <c r="B965" t="s">
        <v>1931</v>
      </c>
      <c r="C965" t="s">
        <v>19</v>
      </c>
      <c r="D965" t="s">
        <v>18</v>
      </c>
      <c r="E965" s="2">
        <v>444167.61</v>
      </c>
      <c r="F965" s="2"/>
      <c r="G965" s="2"/>
      <c r="H965" s="8" t="str">
        <f t="shared" si="30"/>
        <v/>
      </c>
      <c r="I965" s="10" t="str">
        <f t="shared" si="31"/>
        <v/>
      </c>
      <c r="L965" s="2"/>
      <c r="M965" s="2"/>
      <c r="N965" s="2"/>
    </row>
    <row r="966" spans="1:14" ht="30" customHeight="1" x14ac:dyDescent="0.35">
      <c r="A966" t="s">
        <v>1932</v>
      </c>
      <c r="B966" t="s">
        <v>1933</v>
      </c>
      <c r="C966" t="s">
        <v>19</v>
      </c>
      <c r="D966" t="s">
        <v>18</v>
      </c>
      <c r="E966" s="2">
        <v>373.3</v>
      </c>
      <c r="F966" s="2"/>
      <c r="G966" s="2"/>
      <c r="H966" s="8" t="str">
        <f t="shared" si="30"/>
        <v/>
      </c>
      <c r="I966" s="10" t="str">
        <f t="shared" si="31"/>
        <v/>
      </c>
      <c r="L966" s="2"/>
      <c r="M966" s="2"/>
      <c r="N966" s="2"/>
    </row>
    <row r="967" spans="1:14" ht="30" customHeight="1" x14ac:dyDescent="0.35">
      <c r="A967" t="s">
        <v>2360</v>
      </c>
      <c r="B967" t="s">
        <v>2361</v>
      </c>
      <c r="C967" t="s">
        <v>2362</v>
      </c>
      <c r="D967" t="s">
        <v>1066</v>
      </c>
      <c r="E967" s="2"/>
      <c r="F967" s="2">
        <v>23682.67</v>
      </c>
      <c r="G967" s="2"/>
      <c r="H967" s="8">
        <f t="shared" si="30"/>
        <v>23682.67</v>
      </c>
      <c r="I967" s="10">
        <f t="shared" si="31"/>
        <v>0</v>
      </c>
      <c r="L967" s="2"/>
      <c r="M967" s="2"/>
      <c r="N967" s="2"/>
    </row>
    <row r="968" spans="1:14" ht="30" customHeight="1" x14ac:dyDescent="0.35">
      <c r="A968" t="s">
        <v>1934</v>
      </c>
      <c r="B968" t="s">
        <v>1935</v>
      </c>
      <c r="C968" t="s">
        <v>2225</v>
      </c>
      <c r="D968" t="s">
        <v>308</v>
      </c>
      <c r="E968" s="2"/>
      <c r="F968" s="2">
        <v>36328.28</v>
      </c>
      <c r="G968" s="2"/>
      <c r="H968" s="8">
        <f t="shared" si="30"/>
        <v>36328.28</v>
      </c>
      <c r="I968" s="10">
        <f t="shared" si="31"/>
        <v>0</v>
      </c>
      <c r="L968" s="2"/>
      <c r="M968" s="2"/>
      <c r="N968" s="2"/>
    </row>
    <row r="969" spans="1:14" ht="30" customHeight="1" x14ac:dyDescent="0.35">
      <c r="A969" t="s">
        <v>1936</v>
      </c>
      <c r="B969" t="s">
        <v>1937</v>
      </c>
      <c r="C969" t="s">
        <v>77</v>
      </c>
      <c r="D969" t="s">
        <v>76</v>
      </c>
      <c r="E969" s="2">
        <v>10676.22</v>
      </c>
      <c r="F969" s="2">
        <v>1.51</v>
      </c>
      <c r="G969" s="2">
        <v>2498.4899999999998</v>
      </c>
      <c r="H969" s="8">
        <f t="shared" si="30"/>
        <v>2500</v>
      </c>
      <c r="I969" s="10">
        <f t="shared" si="31"/>
        <v>4.2704879999999994</v>
      </c>
      <c r="L969" s="2"/>
      <c r="M969" s="2"/>
      <c r="N969" s="2"/>
    </row>
    <row r="970" spans="1:14" ht="30" customHeight="1" x14ac:dyDescent="0.35">
      <c r="A970" t="s">
        <v>1938</v>
      </c>
      <c r="B970" t="s">
        <v>1939</v>
      </c>
      <c r="C970" t="s">
        <v>2225</v>
      </c>
      <c r="D970" t="s">
        <v>308</v>
      </c>
      <c r="E970" s="2">
        <v>253042.08</v>
      </c>
      <c r="F970" s="2"/>
      <c r="G970" s="2"/>
      <c r="H970" s="8" t="str">
        <f t="shared" si="30"/>
        <v/>
      </c>
      <c r="I970" s="10" t="str">
        <f t="shared" si="31"/>
        <v/>
      </c>
      <c r="L970" s="2"/>
      <c r="M970" s="2"/>
      <c r="N970" s="2"/>
    </row>
    <row r="971" spans="1:14" ht="30" customHeight="1" x14ac:dyDescent="0.35">
      <c r="A971" t="s">
        <v>1940</v>
      </c>
      <c r="B971" t="s">
        <v>1941</v>
      </c>
      <c r="C971" t="s">
        <v>51</v>
      </c>
      <c r="D971" t="s">
        <v>50</v>
      </c>
      <c r="E971" s="2">
        <v>59299.23</v>
      </c>
      <c r="F971" s="2"/>
      <c r="G971" s="2"/>
      <c r="H971" s="8" t="str">
        <f t="shared" si="30"/>
        <v/>
      </c>
      <c r="I971" s="10" t="str">
        <f t="shared" si="31"/>
        <v/>
      </c>
      <c r="L971" s="2"/>
      <c r="M971" s="2"/>
      <c r="N971" s="2"/>
    </row>
    <row r="972" spans="1:14" ht="30" customHeight="1" x14ac:dyDescent="0.35">
      <c r="A972" t="s">
        <v>1942</v>
      </c>
      <c r="B972" t="s">
        <v>1943</v>
      </c>
      <c r="C972" t="s">
        <v>77</v>
      </c>
      <c r="D972" t="s">
        <v>76</v>
      </c>
      <c r="E972" s="2">
        <v>1753022.61</v>
      </c>
      <c r="F972" s="2"/>
      <c r="G972" s="2"/>
      <c r="H972" s="8" t="str">
        <f t="shared" si="30"/>
        <v/>
      </c>
      <c r="I972" s="10" t="str">
        <f t="shared" si="31"/>
        <v/>
      </c>
      <c r="L972" s="2"/>
      <c r="M972" s="2"/>
      <c r="N972" s="2"/>
    </row>
    <row r="973" spans="1:14" ht="30" customHeight="1" x14ac:dyDescent="0.35">
      <c r="A973" t="s">
        <v>1944</v>
      </c>
      <c r="B973" t="s">
        <v>1945</v>
      </c>
      <c r="C973" t="s">
        <v>73</v>
      </c>
      <c r="D973" t="s">
        <v>72</v>
      </c>
      <c r="E973" s="2"/>
      <c r="F973" s="2">
        <v>28478.09</v>
      </c>
      <c r="G973" s="2">
        <v>71521.91</v>
      </c>
      <c r="H973" s="8">
        <f t="shared" si="30"/>
        <v>100000</v>
      </c>
      <c r="I973" s="10">
        <f t="shared" si="31"/>
        <v>0</v>
      </c>
      <c r="L973" s="2"/>
      <c r="M973" s="2"/>
      <c r="N973" s="2"/>
    </row>
    <row r="974" spans="1:14" ht="30" customHeight="1" x14ac:dyDescent="0.35">
      <c r="A974" t="s">
        <v>1946</v>
      </c>
      <c r="B974" t="s">
        <v>1947</v>
      </c>
      <c r="C974" t="s">
        <v>77</v>
      </c>
      <c r="D974" t="s">
        <v>76</v>
      </c>
      <c r="E974" s="2">
        <v>49889.31</v>
      </c>
      <c r="F974" s="2">
        <v>107.09</v>
      </c>
      <c r="G974" s="2">
        <v>1892.91</v>
      </c>
      <c r="H974" s="8">
        <f t="shared" si="30"/>
        <v>2000</v>
      </c>
      <c r="I974" s="10">
        <f t="shared" si="31"/>
        <v>24.944654999999997</v>
      </c>
      <c r="L974" s="2"/>
      <c r="M974" s="2"/>
      <c r="N974" s="2"/>
    </row>
    <row r="975" spans="1:14" ht="30" customHeight="1" x14ac:dyDescent="0.35">
      <c r="A975" t="s">
        <v>1948</v>
      </c>
      <c r="B975" t="s">
        <v>1949</v>
      </c>
      <c r="C975" t="s">
        <v>2263</v>
      </c>
      <c r="D975" t="s">
        <v>1233</v>
      </c>
      <c r="E975" s="2">
        <v>2721.21</v>
      </c>
      <c r="F975" s="2">
        <v>28144.51</v>
      </c>
      <c r="G975" s="2"/>
      <c r="H975" s="8">
        <f t="shared" si="30"/>
        <v>28144.51</v>
      </c>
      <c r="I975" s="10">
        <f t="shared" si="31"/>
        <v>9.6687062592313744E-2</v>
      </c>
      <c r="L975" s="2"/>
      <c r="M975" s="2"/>
      <c r="N975" s="2"/>
    </row>
    <row r="976" spans="1:14" ht="30" customHeight="1" x14ac:dyDescent="0.35">
      <c r="A976" t="s">
        <v>1950</v>
      </c>
      <c r="B976" t="s">
        <v>1951</v>
      </c>
      <c r="C976" t="s">
        <v>2225</v>
      </c>
      <c r="D976" t="s">
        <v>308</v>
      </c>
      <c r="E976" s="2">
        <v>48660.38</v>
      </c>
      <c r="F976" s="2"/>
      <c r="G976" s="2"/>
      <c r="H976" s="8" t="str">
        <f t="shared" si="30"/>
        <v/>
      </c>
      <c r="I976" s="10" t="str">
        <f t="shared" si="31"/>
        <v/>
      </c>
      <c r="L976" s="2"/>
      <c r="M976" s="2"/>
      <c r="N976" s="2"/>
    </row>
    <row r="977" spans="1:14" ht="30" customHeight="1" x14ac:dyDescent="0.35">
      <c r="A977" t="s">
        <v>2363</v>
      </c>
      <c r="B977" t="s">
        <v>2364</v>
      </c>
      <c r="C977" t="s">
        <v>57</v>
      </c>
      <c r="D977" t="s">
        <v>56</v>
      </c>
      <c r="E977" s="2">
        <v>1.07</v>
      </c>
      <c r="F977" s="2"/>
      <c r="G977" s="2"/>
      <c r="H977" s="8" t="str">
        <f t="shared" si="30"/>
        <v/>
      </c>
      <c r="I977" s="10" t="str">
        <f t="shared" si="31"/>
        <v/>
      </c>
      <c r="L977" s="2"/>
      <c r="M977" s="2"/>
      <c r="N977" s="2"/>
    </row>
    <row r="978" spans="1:14" ht="30" customHeight="1" x14ac:dyDescent="0.35">
      <c r="A978" t="s">
        <v>1952</v>
      </c>
      <c r="B978" t="s">
        <v>1953</v>
      </c>
      <c r="C978" t="s">
        <v>57</v>
      </c>
      <c r="D978" t="s">
        <v>56</v>
      </c>
      <c r="E978" s="2">
        <v>6736.15</v>
      </c>
      <c r="F978" s="2"/>
      <c r="G978" s="2"/>
      <c r="H978" s="8" t="str">
        <f t="shared" si="30"/>
        <v/>
      </c>
      <c r="I978" s="10" t="str">
        <f t="shared" si="31"/>
        <v/>
      </c>
      <c r="L978" s="2"/>
      <c r="M978" s="2"/>
      <c r="N978" s="2"/>
    </row>
    <row r="979" spans="1:14" ht="30" customHeight="1" x14ac:dyDescent="0.35">
      <c r="A979" t="s">
        <v>2365</v>
      </c>
      <c r="B979" t="s">
        <v>2366</v>
      </c>
      <c r="C979" t="s">
        <v>57</v>
      </c>
      <c r="D979" t="s">
        <v>56</v>
      </c>
      <c r="E979" s="2">
        <v>372.6</v>
      </c>
      <c r="F979" s="2"/>
      <c r="G979" s="2"/>
      <c r="H979" s="8" t="str">
        <f t="shared" si="30"/>
        <v/>
      </c>
      <c r="I979" s="10" t="str">
        <f t="shared" si="31"/>
        <v/>
      </c>
      <c r="L979" s="2"/>
      <c r="M979" s="2"/>
      <c r="N979" s="2"/>
    </row>
    <row r="980" spans="1:14" ht="30" customHeight="1" x14ac:dyDescent="0.35">
      <c r="A980" t="s">
        <v>1954</v>
      </c>
      <c r="B980" t="s">
        <v>1955</v>
      </c>
      <c r="C980" t="s">
        <v>57</v>
      </c>
      <c r="D980" t="s">
        <v>56</v>
      </c>
      <c r="E980" s="2">
        <v>44523.56</v>
      </c>
      <c r="F980" s="2"/>
      <c r="G980" s="2"/>
      <c r="H980" s="8" t="str">
        <f t="shared" si="30"/>
        <v/>
      </c>
      <c r="I980" s="10" t="str">
        <f t="shared" si="31"/>
        <v/>
      </c>
      <c r="L980" s="2"/>
      <c r="M980" s="2"/>
      <c r="N980" s="2"/>
    </row>
    <row r="981" spans="1:14" ht="30" customHeight="1" x14ac:dyDescent="0.35">
      <c r="A981" t="s">
        <v>1956</v>
      </c>
      <c r="B981" t="s">
        <v>1957</v>
      </c>
      <c r="C981" t="s">
        <v>606</v>
      </c>
      <c r="D981" t="s">
        <v>605</v>
      </c>
      <c r="E981" s="2">
        <v>8780.44</v>
      </c>
      <c r="F981" s="2"/>
      <c r="G981" s="2"/>
      <c r="H981" s="8" t="str">
        <f t="shared" si="30"/>
        <v/>
      </c>
      <c r="I981" s="10" t="str">
        <f t="shared" si="31"/>
        <v/>
      </c>
      <c r="L981" s="2"/>
      <c r="M981" s="2"/>
      <c r="N981" s="2"/>
    </row>
    <row r="982" spans="1:14" ht="30" customHeight="1" x14ac:dyDescent="0.35">
      <c r="A982" t="s">
        <v>1958</v>
      </c>
      <c r="B982" t="s">
        <v>1959</v>
      </c>
      <c r="C982" t="s">
        <v>51</v>
      </c>
      <c r="D982" t="s">
        <v>50</v>
      </c>
      <c r="E982" s="2">
        <v>5231.9399999999996</v>
      </c>
      <c r="F982" s="2"/>
      <c r="G982" s="2"/>
      <c r="H982" s="8" t="str">
        <f t="shared" si="30"/>
        <v/>
      </c>
      <c r="I982" s="10" t="str">
        <f t="shared" si="31"/>
        <v/>
      </c>
      <c r="L982" s="2"/>
      <c r="M982" s="2"/>
      <c r="N982" s="2"/>
    </row>
    <row r="983" spans="1:14" ht="30" customHeight="1" x14ac:dyDescent="0.35">
      <c r="A983" t="s">
        <v>1960</v>
      </c>
      <c r="B983" t="s">
        <v>1961</v>
      </c>
      <c r="C983" t="s">
        <v>57</v>
      </c>
      <c r="D983" t="s">
        <v>56</v>
      </c>
      <c r="E983" s="2">
        <v>3165.21</v>
      </c>
      <c r="F983" s="2"/>
      <c r="G983" s="2"/>
      <c r="H983" s="8" t="str">
        <f t="shared" si="30"/>
        <v/>
      </c>
      <c r="I983" s="10" t="str">
        <f t="shared" si="31"/>
        <v/>
      </c>
      <c r="L983" s="2"/>
      <c r="M983" s="2"/>
      <c r="N983" s="2"/>
    </row>
    <row r="984" spans="1:14" ht="30" customHeight="1" x14ac:dyDescent="0.35">
      <c r="A984" t="s">
        <v>1962</v>
      </c>
      <c r="B984" t="s">
        <v>1963</v>
      </c>
      <c r="C984" t="s">
        <v>57</v>
      </c>
      <c r="D984" t="s">
        <v>56</v>
      </c>
      <c r="E984" s="2">
        <v>16272.18</v>
      </c>
      <c r="F984" s="2"/>
      <c r="G984" s="2"/>
      <c r="H984" s="8" t="str">
        <f t="shared" si="30"/>
        <v/>
      </c>
      <c r="I984" s="10" t="str">
        <f t="shared" si="31"/>
        <v/>
      </c>
      <c r="L984" s="2"/>
      <c r="M984" s="2"/>
      <c r="N984" s="2"/>
    </row>
    <row r="985" spans="1:14" ht="30" customHeight="1" x14ac:dyDescent="0.35">
      <c r="A985" t="s">
        <v>1964</v>
      </c>
      <c r="B985" t="s">
        <v>1965</v>
      </c>
      <c r="C985" t="s">
        <v>51</v>
      </c>
      <c r="D985" t="s">
        <v>50</v>
      </c>
      <c r="E985" s="2"/>
      <c r="F985" s="2">
        <v>118872.02</v>
      </c>
      <c r="G985" s="2"/>
      <c r="H985" s="8">
        <f t="shared" si="30"/>
        <v>118872.02</v>
      </c>
      <c r="I985" s="10">
        <f t="shared" si="31"/>
        <v>0</v>
      </c>
      <c r="L985" s="2"/>
      <c r="M985" s="2"/>
      <c r="N985" s="2"/>
    </row>
    <row r="986" spans="1:14" ht="30" customHeight="1" x14ac:dyDescent="0.35">
      <c r="A986" t="s">
        <v>1966</v>
      </c>
      <c r="B986" t="s">
        <v>1967</v>
      </c>
      <c r="C986" t="s">
        <v>33</v>
      </c>
      <c r="D986" t="s">
        <v>32</v>
      </c>
      <c r="E986" s="2">
        <v>70902.320000000007</v>
      </c>
      <c r="F986" s="2"/>
      <c r="G986" s="2"/>
      <c r="H986" s="8" t="str">
        <f t="shared" si="30"/>
        <v/>
      </c>
      <c r="I986" s="10" t="str">
        <f t="shared" si="31"/>
        <v/>
      </c>
      <c r="L986" s="2"/>
      <c r="M986" s="2"/>
      <c r="N986" s="2"/>
    </row>
    <row r="987" spans="1:14" ht="30" customHeight="1" x14ac:dyDescent="0.35">
      <c r="A987" t="s">
        <v>1968</v>
      </c>
      <c r="B987" t="s">
        <v>1969</v>
      </c>
      <c r="C987" t="s">
        <v>57</v>
      </c>
      <c r="D987" t="s">
        <v>56</v>
      </c>
      <c r="E987" s="2">
        <v>13968.79</v>
      </c>
      <c r="F987" s="2"/>
      <c r="G987" s="2"/>
      <c r="H987" s="8" t="str">
        <f t="shared" si="30"/>
        <v/>
      </c>
      <c r="I987" s="10" t="str">
        <f t="shared" si="31"/>
        <v/>
      </c>
      <c r="L987" s="2"/>
      <c r="M987" s="2"/>
      <c r="N987" s="2"/>
    </row>
    <row r="988" spans="1:14" ht="30" customHeight="1" x14ac:dyDescent="0.35">
      <c r="A988" t="s">
        <v>1970</v>
      </c>
      <c r="B988" t="s">
        <v>1971</v>
      </c>
      <c r="C988" t="s">
        <v>51</v>
      </c>
      <c r="D988" t="s">
        <v>50</v>
      </c>
      <c r="E988" s="2">
        <v>1298.05</v>
      </c>
      <c r="F988" s="2"/>
      <c r="G988" s="2"/>
      <c r="H988" s="8" t="str">
        <f t="shared" ref="H988:H1048" si="32">IF(ISBLANK(F988), "",(F988+G988))</f>
        <v/>
      </c>
      <c r="I988" s="10" t="str">
        <f t="shared" ref="I988:I1048" si="33">IF(ISBLANK(F988), "", E988/H988)</f>
        <v/>
      </c>
      <c r="L988" s="2"/>
      <c r="M988" s="2"/>
      <c r="N988" s="2"/>
    </row>
    <row r="989" spans="1:14" ht="30" customHeight="1" x14ac:dyDescent="0.35">
      <c r="A989" t="s">
        <v>2367</v>
      </c>
      <c r="B989" t="s">
        <v>2368</v>
      </c>
      <c r="C989" t="s">
        <v>57</v>
      </c>
      <c r="D989" t="s">
        <v>56</v>
      </c>
      <c r="E989" s="2">
        <v>211.78</v>
      </c>
      <c r="F989" s="2"/>
      <c r="G989" s="2"/>
      <c r="H989" s="8" t="str">
        <f t="shared" si="32"/>
        <v/>
      </c>
      <c r="I989" s="10" t="str">
        <f t="shared" si="33"/>
        <v/>
      </c>
      <c r="L989" s="2"/>
      <c r="M989" s="2"/>
      <c r="N989" s="2"/>
    </row>
    <row r="990" spans="1:14" ht="30" customHeight="1" x14ac:dyDescent="0.35">
      <c r="A990" t="s">
        <v>1972</v>
      </c>
      <c r="B990" t="s">
        <v>1973</v>
      </c>
      <c r="C990" t="s">
        <v>606</v>
      </c>
      <c r="D990" t="s">
        <v>605</v>
      </c>
      <c r="E990" s="2">
        <v>1839.82</v>
      </c>
      <c r="F990" s="2"/>
      <c r="G990" s="2"/>
      <c r="H990" s="8" t="str">
        <f t="shared" si="32"/>
        <v/>
      </c>
      <c r="I990" s="10" t="str">
        <f t="shared" si="33"/>
        <v/>
      </c>
      <c r="L990" s="2"/>
      <c r="M990" s="2"/>
      <c r="N990" s="2"/>
    </row>
    <row r="991" spans="1:14" ht="30" customHeight="1" x14ac:dyDescent="0.35">
      <c r="A991" t="s">
        <v>1974</v>
      </c>
      <c r="B991" t="s">
        <v>1975</v>
      </c>
      <c r="C991" t="s">
        <v>19</v>
      </c>
      <c r="D991" t="s">
        <v>18</v>
      </c>
      <c r="E991" s="2">
        <v>342803</v>
      </c>
      <c r="F991" s="2"/>
      <c r="G991" s="2"/>
      <c r="H991" s="8" t="str">
        <f t="shared" si="32"/>
        <v/>
      </c>
      <c r="I991" s="10" t="str">
        <f t="shared" si="33"/>
        <v/>
      </c>
      <c r="L991" s="2"/>
      <c r="M991" s="2"/>
      <c r="N991" s="2"/>
    </row>
    <row r="992" spans="1:14" ht="30" customHeight="1" x14ac:dyDescent="0.35">
      <c r="A992" t="s">
        <v>1976</v>
      </c>
      <c r="B992" t="s">
        <v>1977</v>
      </c>
      <c r="C992" t="s">
        <v>2225</v>
      </c>
      <c r="D992" t="s">
        <v>308</v>
      </c>
      <c r="E992" s="2">
        <v>21118.3</v>
      </c>
      <c r="F992" s="2">
        <v>0</v>
      </c>
      <c r="G992" s="2">
        <v>500</v>
      </c>
      <c r="H992" s="8">
        <f t="shared" si="32"/>
        <v>500</v>
      </c>
      <c r="I992" s="10">
        <f t="shared" si="33"/>
        <v>42.236599999999996</v>
      </c>
      <c r="L992" s="2"/>
      <c r="M992" s="2"/>
      <c r="N992" s="2"/>
    </row>
    <row r="993" spans="1:14" ht="30" customHeight="1" x14ac:dyDescent="0.35">
      <c r="A993" t="s">
        <v>1978</v>
      </c>
      <c r="B993" t="s">
        <v>1979</v>
      </c>
      <c r="C993" t="s">
        <v>19</v>
      </c>
      <c r="D993" t="s">
        <v>18</v>
      </c>
      <c r="E993" s="2">
        <v>4288.25</v>
      </c>
      <c r="F993" s="2"/>
      <c r="G993" s="2"/>
      <c r="H993" s="8" t="str">
        <f t="shared" si="32"/>
        <v/>
      </c>
      <c r="I993" s="10" t="str">
        <f t="shared" si="33"/>
        <v/>
      </c>
      <c r="L993" s="2"/>
      <c r="M993" s="2"/>
      <c r="N993" s="2"/>
    </row>
    <row r="994" spans="1:14" ht="30" customHeight="1" x14ac:dyDescent="0.35">
      <c r="A994" t="s">
        <v>1980</v>
      </c>
      <c r="B994" t="s">
        <v>1981</v>
      </c>
      <c r="C994" t="s">
        <v>57</v>
      </c>
      <c r="D994" t="s">
        <v>56</v>
      </c>
      <c r="E994" s="2">
        <v>67100.070000000007</v>
      </c>
      <c r="F994" s="2"/>
      <c r="G994" s="2"/>
      <c r="H994" s="8" t="str">
        <f t="shared" si="32"/>
        <v/>
      </c>
      <c r="I994" s="10" t="str">
        <f t="shared" si="33"/>
        <v/>
      </c>
      <c r="L994" s="2"/>
      <c r="M994" s="2"/>
      <c r="N994" s="2"/>
    </row>
    <row r="995" spans="1:14" ht="30" customHeight="1" x14ac:dyDescent="0.35">
      <c r="A995" t="s">
        <v>1982</v>
      </c>
      <c r="B995" t="s">
        <v>1983</v>
      </c>
      <c r="C995" t="s">
        <v>606</v>
      </c>
      <c r="D995" t="s">
        <v>605</v>
      </c>
      <c r="E995" s="2">
        <v>-641.88</v>
      </c>
      <c r="F995" s="2"/>
      <c r="G995" s="2"/>
      <c r="H995" s="8" t="str">
        <f t="shared" si="32"/>
        <v/>
      </c>
      <c r="I995" s="10" t="str">
        <f t="shared" si="33"/>
        <v/>
      </c>
      <c r="L995" s="2"/>
      <c r="M995" s="2"/>
      <c r="N995" s="2"/>
    </row>
    <row r="996" spans="1:14" ht="30" customHeight="1" x14ac:dyDescent="0.35">
      <c r="A996" t="s">
        <v>1984</v>
      </c>
      <c r="B996" t="s">
        <v>1985</v>
      </c>
      <c r="C996" t="s">
        <v>2259</v>
      </c>
      <c r="D996" t="s">
        <v>713</v>
      </c>
      <c r="E996" s="2">
        <v>98373.25</v>
      </c>
      <c r="F996" s="2"/>
      <c r="G996" s="2"/>
      <c r="H996" s="8" t="str">
        <f t="shared" si="32"/>
        <v/>
      </c>
      <c r="I996" s="10" t="str">
        <f t="shared" si="33"/>
        <v/>
      </c>
      <c r="L996" s="2"/>
      <c r="M996" s="2"/>
      <c r="N996" s="2"/>
    </row>
    <row r="997" spans="1:14" ht="30" customHeight="1" x14ac:dyDescent="0.35">
      <c r="A997" t="s">
        <v>2369</v>
      </c>
      <c r="B997" t="s">
        <v>2370</v>
      </c>
      <c r="C997" t="s">
        <v>33</v>
      </c>
      <c r="D997" t="s">
        <v>32</v>
      </c>
      <c r="E997" s="2">
        <v>0</v>
      </c>
      <c r="F997" s="2"/>
      <c r="G997" s="2"/>
      <c r="H997" s="8" t="str">
        <f t="shared" si="32"/>
        <v/>
      </c>
      <c r="I997" s="10" t="str">
        <f t="shared" si="33"/>
        <v/>
      </c>
      <c r="L997" s="2"/>
      <c r="M997" s="2"/>
      <c r="N997" s="2"/>
    </row>
    <row r="998" spans="1:14" ht="30" customHeight="1" x14ac:dyDescent="0.35">
      <c r="A998" t="s">
        <v>1986</v>
      </c>
      <c r="B998" t="s">
        <v>1987</v>
      </c>
      <c r="C998" t="s">
        <v>57</v>
      </c>
      <c r="D998" t="s">
        <v>56</v>
      </c>
      <c r="E998" s="2">
        <v>1841.56</v>
      </c>
      <c r="F998" s="2"/>
      <c r="G998" s="2"/>
      <c r="H998" s="8" t="str">
        <f t="shared" si="32"/>
        <v/>
      </c>
      <c r="I998" s="10" t="str">
        <f t="shared" si="33"/>
        <v/>
      </c>
      <c r="L998" s="2"/>
      <c r="M998" s="2"/>
      <c r="N998" s="2"/>
    </row>
    <row r="999" spans="1:14" ht="30" customHeight="1" x14ac:dyDescent="0.35">
      <c r="A999" t="s">
        <v>1988</v>
      </c>
      <c r="B999" t="s">
        <v>1989</v>
      </c>
      <c r="C999" t="s">
        <v>57</v>
      </c>
      <c r="D999" t="s">
        <v>56</v>
      </c>
      <c r="E999" s="2">
        <v>12177.2</v>
      </c>
      <c r="F999" s="2"/>
      <c r="G999" s="2"/>
      <c r="H999" s="8" t="str">
        <f t="shared" si="32"/>
        <v/>
      </c>
      <c r="I999" s="10" t="str">
        <f t="shared" si="33"/>
        <v/>
      </c>
      <c r="L999" s="2"/>
      <c r="M999" s="2"/>
      <c r="N999" s="2"/>
    </row>
    <row r="1000" spans="1:14" ht="30" customHeight="1" x14ac:dyDescent="0.35">
      <c r="A1000" t="s">
        <v>1990</v>
      </c>
      <c r="B1000" t="s">
        <v>1991</v>
      </c>
      <c r="C1000" t="s">
        <v>57</v>
      </c>
      <c r="D1000" t="s">
        <v>56</v>
      </c>
      <c r="E1000" s="2">
        <v>35702.400000000001</v>
      </c>
      <c r="F1000" s="2">
        <v>0</v>
      </c>
      <c r="G1000" s="2">
        <v>1000</v>
      </c>
      <c r="H1000" s="8">
        <f t="shared" si="32"/>
        <v>1000</v>
      </c>
      <c r="I1000" s="10">
        <f t="shared" si="33"/>
        <v>35.702400000000004</v>
      </c>
      <c r="L1000" s="2"/>
      <c r="M1000" s="2"/>
      <c r="N1000" s="2"/>
    </row>
    <row r="1001" spans="1:14" ht="30" customHeight="1" x14ac:dyDescent="0.35">
      <c r="A1001" t="s">
        <v>1992</v>
      </c>
      <c r="B1001" t="s">
        <v>1993</v>
      </c>
      <c r="C1001" t="s">
        <v>19</v>
      </c>
      <c r="D1001" t="s">
        <v>18</v>
      </c>
      <c r="E1001" s="2">
        <v>108975.17</v>
      </c>
      <c r="F1001" s="2"/>
      <c r="G1001" s="2"/>
      <c r="H1001" s="8" t="str">
        <f t="shared" si="32"/>
        <v/>
      </c>
      <c r="I1001" s="10" t="str">
        <f t="shared" si="33"/>
        <v/>
      </c>
      <c r="L1001" s="2"/>
      <c r="M1001" s="2"/>
      <c r="N1001" s="2"/>
    </row>
    <row r="1002" spans="1:14" ht="30" customHeight="1" x14ac:dyDescent="0.35">
      <c r="A1002" t="s">
        <v>1994</v>
      </c>
      <c r="B1002" t="s">
        <v>1995</v>
      </c>
      <c r="C1002" t="s">
        <v>57</v>
      </c>
      <c r="D1002" t="s">
        <v>56</v>
      </c>
      <c r="E1002" s="2">
        <v>20688.939999999999</v>
      </c>
      <c r="F1002" s="2">
        <v>0</v>
      </c>
      <c r="G1002" s="2">
        <v>2000</v>
      </c>
      <c r="H1002" s="8">
        <f t="shared" si="32"/>
        <v>2000</v>
      </c>
      <c r="I1002" s="10">
        <f t="shared" si="33"/>
        <v>10.344469999999999</v>
      </c>
      <c r="L1002" s="2"/>
      <c r="M1002" s="2"/>
      <c r="N1002" s="2"/>
    </row>
    <row r="1003" spans="1:14" ht="30" customHeight="1" x14ac:dyDescent="0.35">
      <c r="A1003" t="s">
        <v>1996</v>
      </c>
      <c r="B1003" t="s">
        <v>1997</v>
      </c>
      <c r="C1003" t="s">
        <v>2259</v>
      </c>
      <c r="D1003" t="s">
        <v>713</v>
      </c>
      <c r="E1003" s="2">
        <v>7915.55</v>
      </c>
      <c r="F1003" s="2">
        <v>0</v>
      </c>
      <c r="G1003" s="2">
        <v>500</v>
      </c>
      <c r="H1003" s="8">
        <f t="shared" si="32"/>
        <v>500</v>
      </c>
      <c r="I1003" s="10">
        <f t="shared" si="33"/>
        <v>15.831100000000001</v>
      </c>
      <c r="L1003" s="2"/>
      <c r="M1003" s="2"/>
      <c r="N1003" s="2"/>
    </row>
    <row r="1004" spans="1:14" ht="30" customHeight="1" x14ac:dyDescent="0.35">
      <c r="A1004" t="s">
        <v>1998</v>
      </c>
      <c r="B1004" t="s">
        <v>1999</v>
      </c>
      <c r="C1004" t="s">
        <v>57</v>
      </c>
      <c r="D1004" t="s">
        <v>56</v>
      </c>
      <c r="E1004" s="2">
        <v>23159.15</v>
      </c>
      <c r="F1004" s="2"/>
      <c r="G1004" s="2"/>
      <c r="H1004" s="8" t="str">
        <f t="shared" si="32"/>
        <v/>
      </c>
      <c r="I1004" s="10" t="str">
        <f t="shared" si="33"/>
        <v/>
      </c>
      <c r="L1004" s="2"/>
      <c r="M1004" s="2"/>
      <c r="N1004" s="2"/>
    </row>
    <row r="1005" spans="1:14" ht="30" customHeight="1" x14ac:dyDescent="0.35">
      <c r="A1005" t="s">
        <v>2000</v>
      </c>
      <c r="B1005" t="s">
        <v>2001</v>
      </c>
      <c r="C1005" t="s">
        <v>33</v>
      </c>
      <c r="D1005" t="s">
        <v>32</v>
      </c>
      <c r="E1005" s="2">
        <v>59114.45</v>
      </c>
      <c r="F1005" s="2"/>
      <c r="G1005" s="2"/>
      <c r="H1005" s="8" t="str">
        <f t="shared" si="32"/>
        <v/>
      </c>
      <c r="I1005" s="10" t="str">
        <f t="shared" si="33"/>
        <v/>
      </c>
      <c r="L1005" s="2"/>
      <c r="M1005" s="2"/>
      <c r="N1005" s="2"/>
    </row>
    <row r="1006" spans="1:14" ht="30" customHeight="1" x14ac:dyDescent="0.35">
      <c r="A1006" t="s">
        <v>2002</v>
      </c>
      <c r="B1006" t="s">
        <v>2003</v>
      </c>
      <c r="C1006" t="s">
        <v>57</v>
      </c>
      <c r="D1006" t="s">
        <v>56</v>
      </c>
      <c r="E1006" s="2">
        <v>289469.65999999997</v>
      </c>
      <c r="F1006" s="2">
        <v>963.41</v>
      </c>
      <c r="G1006" s="2">
        <v>36.590000000000003</v>
      </c>
      <c r="H1006" s="8">
        <f t="shared" si="32"/>
        <v>1000</v>
      </c>
      <c r="I1006" s="10">
        <f t="shared" si="33"/>
        <v>289.46965999999998</v>
      </c>
      <c r="L1006" s="2"/>
      <c r="M1006" s="2"/>
      <c r="N1006" s="2"/>
    </row>
    <row r="1007" spans="1:14" ht="30" customHeight="1" x14ac:dyDescent="0.35">
      <c r="A1007" t="s">
        <v>2004</v>
      </c>
      <c r="B1007" t="s">
        <v>2005</v>
      </c>
      <c r="C1007" t="s">
        <v>57</v>
      </c>
      <c r="D1007" t="s">
        <v>56</v>
      </c>
      <c r="E1007" s="2">
        <v>142501.96</v>
      </c>
      <c r="F1007" s="2">
        <v>348999.61</v>
      </c>
      <c r="G1007" s="2"/>
      <c r="H1007" s="8">
        <f t="shared" si="32"/>
        <v>348999.61</v>
      </c>
      <c r="I1007" s="10">
        <f t="shared" si="33"/>
        <v>0.40831552791706555</v>
      </c>
      <c r="L1007" s="2"/>
      <c r="M1007" s="2"/>
      <c r="N1007" s="2"/>
    </row>
    <row r="1008" spans="1:14" ht="30" customHeight="1" x14ac:dyDescent="0.35">
      <c r="A1008" t="s">
        <v>2006</v>
      </c>
      <c r="B1008" t="s">
        <v>2007</v>
      </c>
      <c r="C1008" t="s">
        <v>57</v>
      </c>
      <c r="D1008" t="s">
        <v>56</v>
      </c>
      <c r="E1008" s="2">
        <v>9889.2800000000007</v>
      </c>
      <c r="F1008" s="2"/>
      <c r="G1008" s="2"/>
      <c r="H1008" s="8" t="str">
        <f t="shared" si="32"/>
        <v/>
      </c>
      <c r="I1008" s="10" t="str">
        <f t="shared" si="33"/>
        <v/>
      </c>
      <c r="L1008" s="2"/>
      <c r="M1008" s="2"/>
      <c r="N1008" s="2"/>
    </row>
    <row r="1009" spans="1:14" ht="30" customHeight="1" x14ac:dyDescent="0.35">
      <c r="A1009" t="s">
        <v>2008</v>
      </c>
      <c r="B1009" t="s">
        <v>2009</v>
      </c>
      <c r="C1009" t="s">
        <v>57</v>
      </c>
      <c r="D1009" t="s">
        <v>56</v>
      </c>
      <c r="E1009" s="2">
        <v>26031.09</v>
      </c>
      <c r="F1009" s="2"/>
      <c r="G1009" s="2"/>
      <c r="H1009" s="8" t="str">
        <f t="shared" si="32"/>
        <v/>
      </c>
      <c r="I1009" s="10" t="str">
        <f t="shared" si="33"/>
        <v/>
      </c>
      <c r="L1009" s="2"/>
      <c r="M1009" s="2"/>
      <c r="N1009" s="2"/>
    </row>
    <row r="1010" spans="1:14" ht="30" customHeight="1" x14ac:dyDescent="0.35">
      <c r="A1010" t="s">
        <v>2010</v>
      </c>
      <c r="B1010" t="s">
        <v>2011</v>
      </c>
      <c r="C1010" t="s">
        <v>19</v>
      </c>
      <c r="D1010" t="s">
        <v>18</v>
      </c>
      <c r="E1010" s="2">
        <v>2502</v>
      </c>
      <c r="F1010" s="2">
        <v>75216</v>
      </c>
      <c r="G1010" s="2">
        <v>784</v>
      </c>
      <c r="H1010" s="8">
        <f t="shared" si="32"/>
        <v>76000</v>
      </c>
      <c r="I1010" s="10">
        <f t="shared" si="33"/>
        <v>3.2921052631578948E-2</v>
      </c>
      <c r="L1010" s="2"/>
      <c r="M1010" s="2"/>
      <c r="N1010" s="2"/>
    </row>
    <row r="1011" spans="1:14" ht="30" customHeight="1" x14ac:dyDescent="0.35">
      <c r="A1011" t="s">
        <v>2012</v>
      </c>
      <c r="B1011" t="s">
        <v>2013</v>
      </c>
      <c r="C1011" t="s">
        <v>33</v>
      </c>
      <c r="D1011" t="s">
        <v>32</v>
      </c>
      <c r="E1011" s="2">
        <v>27550.42</v>
      </c>
      <c r="F1011" s="2"/>
      <c r="G1011" s="2"/>
      <c r="H1011" s="8" t="str">
        <f t="shared" si="32"/>
        <v/>
      </c>
      <c r="I1011" s="10" t="str">
        <f t="shared" si="33"/>
        <v/>
      </c>
      <c r="L1011" s="2"/>
      <c r="M1011" s="2"/>
      <c r="N1011" s="2"/>
    </row>
    <row r="1012" spans="1:14" ht="30" customHeight="1" x14ac:dyDescent="0.35">
      <c r="A1012" t="s">
        <v>2371</v>
      </c>
      <c r="B1012" t="s">
        <v>2372</v>
      </c>
      <c r="C1012" t="s">
        <v>33</v>
      </c>
      <c r="D1012" t="s">
        <v>32</v>
      </c>
      <c r="E1012" s="2">
        <v>3662.23</v>
      </c>
      <c r="F1012" s="2"/>
      <c r="G1012" s="2"/>
      <c r="H1012" s="8" t="str">
        <f t="shared" si="32"/>
        <v/>
      </c>
      <c r="I1012" s="10" t="str">
        <f t="shared" si="33"/>
        <v/>
      </c>
      <c r="L1012" s="2"/>
      <c r="M1012" s="2"/>
      <c r="N1012" s="2"/>
    </row>
    <row r="1013" spans="1:14" ht="30" customHeight="1" x14ac:dyDescent="0.35">
      <c r="A1013" t="s">
        <v>2373</v>
      </c>
      <c r="B1013" t="s">
        <v>2374</v>
      </c>
      <c r="C1013" t="s">
        <v>33</v>
      </c>
      <c r="D1013" t="s">
        <v>32</v>
      </c>
      <c r="E1013" s="2">
        <v>4343.8</v>
      </c>
      <c r="F1013" s="2"/>
      <c r="G1013" s="2"/>
      <c r="H1013" s="8" t="str">
        <f t="shared" si="32"/>
        <v/>
      </c>
      <c r="I1013" s="10" t="str">
        <f t="shared" si="33"/>
        <v/>
      </c>
      <c r="L1013" s="2"/>
      <c r="M1013" s="2"/>
      <c r="N1013" s="2"/>
    </row>
    <row r="1014" spans="1:14" ht="30" customHeight="1" x14ac:dyDescent="0.35">
      <c r="A1014" t="s">
        <v>2014</v>
      </c>
      <c r="B1014" t="s">
        <v>2015</v>
      </c>
      <c r="C1014" t="s">
        <v>606</v>
      </c>
      <c r="D1014" t="s">
        <v>605</v>
      </c>
      <c r="E1014" s="2">
        <v>42320.52</v>
      </c>
      <c r="F1014" s="2"/>
      <c r="G1014" s="2"/>
      <c r="H1014" s="8" t="str">
        <f t="shared" si="32"/>
        <v/>
      </c>
      <c r="I1014" s="10" t="str">
        <f t="shared" si="33"/>
        <v/>
      </c>
      <c r="L1014" s="2"/>
      <c r="M1014" s="2"/>
      <c r="N1014" s="2"/>
    </row>
    <row r="1015" spans="1:14" ht="30" customHeight="1" x14ac:dyDescent="0.35">
      <c r="A1015" t="s">
        <v>2016</v>
      </c>
      <c r="B1015" t="s">
        <v>2017</v>
      </c>
      <c r="C1015" t="s">
        <v>51</v>
      </c>
      <c r="D1015" t="s">
        <v>50</v>
      </c>
      <c r="E1015" s="2">
        <v>222531.71</v>
      </c>
      <c r="F1015" s="2"/>
      <c r="G1015" s="2"/>
      <c r="H1015" s="8" t="str">
        <f t="shared" si="32"/>
        <v/>
      </c>
      <c r="I1015" s="10" t="str">
        <f t="shared" si="33"/>
        <v/>
      </c>
      <c r="L1015" s="2"/>
      <c r="M1015" s="2"/>
      <c r="N1015" s="2"/>
    </row>
    <row r="1016" spans="1:14" ht="30" customHeight="1" x14ac:dyDescent="0.35">
      <c r="A1016" t="s">
        <v>2018</v>
      </c>
      <c r="B1016" t="s">
        <v>2019</v>
      </c>
      <c r="C1016" t="s">
        <v>77</v>
      </c>
      <c r="D1016" t="s">
        <v>76</v>
      </c>
      <c r="E1016" s="2">
        <v>184443.75</v>
      </c>
      <c r="F1016" s="2"/>
      <c r="G1016" s="2"/>
      <c r="H1016" s="8" t="str">
        <f t="shared" si="32"/>
        <v/>
      </c>
      <c r="I1016" s="10" t="str">
        <f t="shared" si="33"/>
        <v/>
      </c>
      <c r="L1016" s="2"/>
      <c r="M1016" s="2"/>
      <c r="N1016" s="2"/>
    </row>
    <row r="1017" spans="1:14" ht="30" customHeight="1" x14ac:dyDescent="0.35">
      <c r="A1017" t="s">
        <v>2020</v>
      </c>
      <c r="B1017" t="s">
        <v>2021</v>
      </c>
      <c r="C1017" t="s">
        <v>51</v>
      </c>
      <c r="D1017" t="s">
        <v>50</v>
      </c>
      <c r="E1017" s="2">
        <v>5599.53</v>
      </c>
      <c r="F1017" s="2"/>
      <c r="G1017" s="2"/>
      <c r="H1017" s="8" t="str">
        <f t="shared" si="32"/>
        <v/>
      </c>
      <c r="I1017" s="10" t="str">
        <f t="shared" si="33"/>
        <v/>
      </c>
      <c r="L1017" s="2"/>
      <c r="M1017" s="2"/>
      <c r="N1017" s="2"/>
    </row>
    <row r="1018" spans="1:14" ht="30" customHeight="1" x14ac:dyDescent="0.35">
      <c r="A1018" t="s">
        <v>2022</v>
      </c>
      <c r="B1018" t="s">
        <v>2023</v>
      </c>
      <c r="C1018" t="s">
        <v>19</v>
      </c>
      <c r="D1018" t="s">
        <v>18</v>
      </c>
      <c r="E1018" s="2">
        <v>71257.81</v>
      </c>
      <c r="F1018" s="2"/>
      <c r="G1018" s="2"/>
      <c r="H1018" s="8" t="str">
        <f t="shared" si="32"/>
        <v/>
      </c>
      <c r="I1018" s="10" t="str">
        <f t="shared" si="33"/>
        <v/>
      </c>
      <c r="L1018" s="2"/>
      <c r="M1018" s="2"/>
      <c r="N1018" s="2"/>
    </row>
    <row r="1019" spans="1:14" ht="30" customHeight="1" x14ac:dyDescent="0.35">
      <c r="A1019" t="s">
        <v>2024</v>
      </c>
      <c r="B1019" t="s">
        <v>2025</v>
      </c>
      <c r="C1019" t="s">
        <v>2259</v>
      </c>
      <c r="D1019" t="s">
        <v>713</v>
      </c>
      <c r="E1019" s="2">
        <v>144462.54</v>
      </c>
      <c r="F1019" s="2"/>
      <c r="G1019" s="2"/>
      <c r="H1019" s="8" t="str">
        <f t="shared" si="32"/>
        <v/>
      </c>
      <c r="I1019" s="10" t="str">
        <f t="shared" si="33"/>
        <v/>
      </c>
      <c r="L1019" s="2"/>
      <c r="M1019" s="2"/>
      <c r="N1019" s="2"/>
    </row>
    <row r="1020" spans="1:14" ht="30" customHeight="1" x14ac:dyDescent="0.35">
      <c r="A1020" t="s">
        <v>2026</v>
      </c>
      <c r="B1020" t="s">
        <v>2027</v>
      </c>
      <c r="C1020" t="s">
        <v>73</v>
      </c>
      <c r="D1020" t="s">
        <v>72</v>
      </c>
      <c r="E1020" s="2">
        <v>9.07</v>
      </c>
      <c r="F1020" s="2">
        <v>249901.06</v>
      </c>
      <c r="G1020" s="2">
        <v>98.94</v>
      </c>
      <c r="H1020" s="8">
        <f t="shared" si="32"/>
        <v>250000</v>
      </c>
      <c r="I1020" s="10">
        <f t="shared" si="33"/>
        <v>3.6279999999999998E-5</v>
      </c>
      <c r="L1020" s="2"/>
      <c r="M1020" s="2"/>
      <c r="N1020" s="2"/>
    </row>
    <row r="1021" spans="1:14" ht="30" customHeight="1" x14ac:dyDescent="0.35">
      <c r="A1021" t="s">
        <v>2028</v>
      </c>
      <c r="B1021" t="s">
        <v>2029</v>
      </c>
      <c r="C1021" t="s">
        <v>73</v>
      </c>
      <c r="D1021" t="s">
        <v>72</v>
      </c>
      <c r="E1021" s="2">
        <v>113.9</v>
      </c>
      <c r="F1021" s="2">
        <v>0</v>
      </c>
      <c r="G1021" s="2">
        <v>750000</v>
      </c>
      <c r="H1021" s="8">
        <f t="shared" si="32"/>
        <v>750000</v>
      </c>
      <c r="I1021" s="10">
        <f t="shared" si="33"/>
        <v>1.5186666666666668E-4</v>
      </c>
      <c r="L1021" s="2"/>
      <c r="M1021" s="2"/>
      <c r="N1021" s="2"/>
    </row>
    <row r="1022" spans="1:14" ht="30" customHeight="1" x14ac:dyDescent="0.35">
      <c r="A1022" t="s">
        <v>2030</v>
      </c>
      <c r="B1022" t="s">
        <v>2031</v>
      </c>
      <c r="C1022" t="s">
        <v>73</v>
      </c>
      <c r="D1022" t="s">
        <v>72</v>
      </c>
      <c r="E1022" s="2">
        <v>1510.99</v>
      </c>
      <c r="F1022" s="2">
        <v>149494.56</v>
      </c>
      <c r="G1022" s="2">
        <v>505.44</v>
      </c>
      <c r="H1022" s="8">
        <f t="shared" si="32"/>
        <v>150000</v>
      </c>
      <c r="I1022" s="10">
        <f t="shared" si="33"/>
        <v>1.0073266666666667E-2</v>
      </c>
      <c r="L1022" s="2"/>
      <c r="M1022" s="2"/>
      <c r="N1022" s="2"/>
    </row>
    <row r="1023" spans="1:14" ht="30" customHeight="1" x14ac:dyDescent="0.35">
      <c r="A1023" t="s">
        <v>2032</v>
      </c>
      <c r="B1023" t="s">
        <v>2033</v>
      </c>
      <c r="C1023" t="s">
        <v>73</v>
      </c>
      <c r="D1023" t="s">
        <v>72</v>
      </c>
      <c r="E1023" s="2">
        <v>48.15</v>
      </c>
      <c r="F1023" s="2">
        <v>62378.83</v>
      </c>
      <c r="G1023" s="2">
        <v>12621.17</v>
      </c>
      <c r="H1023" s="8">
        <f t="shared" si="32"/>
        <v>75000</v>
      </c>
      <c r="I1023" s="10">
        <f t="shared" si="33"/>
        <v>6.4199999999999999E-4</v>
      </c>
      <c r="L1023" s="2"/>
      <c r="M1023" s="2"/>
      <c r="N1023" s="2"/>
    </row>
    <row r="1024" spans="1:14" ht="30" customHeight="1" x14ac:dyDescent="0.35">
      <c r="A1024" t="s">
        <v>2034</v>
      </c>
      <c r="B1024" t="s">
        <v>2035</v>
      </c>
      <c r="C1024" t="s">
        <v>73</v>
      </c>
      <c r="D1024" t="s">
        <v>72</v>
      </c>
      <c r="E1024" s="2">
        <v>0.42</v>
      </c>
      <c r="F1024" s="2">
        <v>40000</v>
      </c>
      <c r="G1024" s="2">
        <v>0</v>
      </c>
      <c r="H1024" s="8">
        <f t="shared" si="32"/>
        <v>40000</v>
      </c>
      <c r="I1024" s="10">
        <f t="shared" si="33"/>
        <v>1.0499999999999999E-5</v>
      </c>
      <c r="L1024" s="2"/>
      <c r="M1024" s="2"/>
      <c r="N1024" s="2"/>
    </row>
    <row r="1025" spans="1:14" ht="30" customHeight="1" x14ac:dyDescent="0.35">
      <c r="A1025" t="s">
        <v>2036</v>
      </c>
      <c r="B1025" t="s">
        <v>2037</v>
      </c>
      <c r="C1025" t="s">
        <v>73</v>
      </c>
      <c r="D1025" t="s">
        <v>72</v>
      </c>
      <c r="E1025" s="2">
        <v>61.54</v>
      </c>
      <c r="F1025" s="2">
        <v>31760.89</v>
      </c>
      <c r="G1025" s="2">
        <v>18239.11</v>
      </c>
      <c r="H1025" s="8">
        <f t="shared" si="32"/>
        <v>50000</v>
      </c>
      <c r="I1025" s="10">
        <f t="shared" si="33"/>
        <v>1.2308E-3</v>
      </c>
      <c r="L1025" s="2"/>
      <c r="M1025" s="2"/>
      <c r="N1025" s="2"/>
    </row>
    <row r="1026" spans="1:14" ht="30" customHeight="1" x14ac:dyDescent="0.35">
      <c r="A1026" t="s">
        <v>2038</v>
      </c>
      <c r="B1026" t="s">
        <v>2039</v>
      </c>
      <c r="C1026" t="s">
        <v>73</v>
      </c>
      <c r="D1026" t="s">
        <v>72</v>
      </c>
      <c r="E1026" s="2"/>
      <c r="F1026" s="2">
        <v>17222.63</v>
      </c>
      <c r="G1026" s="2"/>
      <c r="H1026" s="8">
        <f t="shared" si="32"/>
        <v>17222.63</v>
      </c>
      <c r="I1026" s="10">
        <f t="shared" si="33"/>
        <v>0</v>
      </c>
      <c r="L1026" s="2"/>
      <c r="M1026" s="2"/>
      <c r="N1026" s="2"/>
    </row>
    <row r="1027" spans="1:14" ht="30" customHeight="1" x14ac:dyDescent="0.35">
      <c r="A1027" t="s">
        <v>2040</v>
      </c>
      <c r="B1027" t="s">
        <v>2041</v>
      </c>
      <c r="C1027" t="s">
        <v>51</v>
      </c>
      <c r="D1027" t="s">
        <v>50</v>
      </c>
      <c r="E1027" s="2">
        <v>196695.2</v>
      </c>
      <c r="F1027" s="2">
        <v>91552.41</v>
      </c>
      <c r="G1027" s="2"/>
      <c r="H1027" s="8">
        <f t="shared" si="32"/>
        <v>91552.41</v>
      </c>
      <c r="I1027" s="10">
        <f t="shared" si="33"/>
        <v>2.1484437165553589</v>
      </c>
      <c r="L1027" s="2"/>
      <c r="M1027" s="2"/>
      <c r="N1027" s="2"/>
    </row>
    <row r="1028" spans="1:14" ht="30" customHeight="1" x14ac:dyDescent="0.35">
      <c r="A1028" t="s">
        <v>2042</v>
      </c>
      <c r="B1028" t="s">
        <v>2043</v>
      </c>
      <c r="C1028" t="s">
        <v>19</v>
      </c>
      <c r="D1028" t="s">
        <v>18</v>
      </c>
      <c r="E1028" s="2">
        <v>20352.650000000001</v>
      </c>
      <c r="F1028" s="2"/>
      <c r="G1028" s="2"/>
      <c r="H1028" s="8" t="str">
        <f t="shared" si="32"/>
        <v/>
      </c>
      <c r="I1028" s="10" t="str">
        <f t="shared" si="33"/>
        <v/>
      </c>
      <c r="L1028" s="2"/>
      <c r="M1028" s="2"/>
      <c r="N1028" s="2"/>
    </row>
    <row r="1029" spans="1:14" ht="30" customHeight="1" x14ac:dyDescent="0.35">
      <c r="A1029" t="s">
        <v>2044</v>
      </c>
      <c r="B1029" t="s">
        <v>2045</v>
      </c>
      <c r="C1029" t="s">
        <v>2266</v>
      </c>
      <c r="D1029" t="s">
        <v>1560</v>
      </c>
      <c r="E1029" s="2">
        <v>18701.95</v>
      </c>
      <c r="F1029" s="2"/>
      <c r="G1029" s="2"/>
      <c r="H1029" s="8" t="str">
        <f t="shared" si="32"/>
        <v/>
      </c>
      <c r="I1029" s="10" t="str">
        <f t="shared" si="33"/>
        <v/>
      </c>
      <c r="L1029" s="2"/>
      <c r="M1029" s="2"/>
      <c r="N1029" s="2"/>
    </row>
    <row r="1030" spans="1:14" ht="30" customHeight="1" x14ac:dyDescent="0.35">
      <c r="A1030" t="s">
        <v>2046</v>
      </c>
      <c r="B1030" t="s">
        <v>2047</v>
      </c>
      <c r="C1030" t="s">
        <v>29</v>
      </c>
      <c r="D1030" t="s">
        <v>28</v>
      </c>
      <c r="E1030" s="2">
        <v>54612.9</v>
      </c>
      <c r="F1030" s="2"/>
      <c r="G1030" s="2"/>
      <c r="H1030" s="8" t="str">
        <f t="shared" si="32"/>
        <v/>
      </c>
      <c r="I1030" s="10" t="str">
        <f t="shared" si="33"/>
        <v/>
      </c>
      <c r="L1030" s="2"/>
      <c r="M1030" s="2"/>
      <c r="N1030" s="2"/>
    </row>
    <row r="1031" spans="1:14" ht="30" customHeight="1" x14ac:dyDescent="0.35">
      <c r="A1031" t="s">
        <v>2048</v>
      </c>
      <c r="B1031" t="s">
        <v>2049</v>
      </c>
      <c r="C1031" t="s">
        <v>19</v>
      </c>
      <c r="D1031" t="s">
        <v>18</v>
      </c>
      <c r="E1031" s="2">
        <v>181409.32</v>
      </c>
      <c r="F1031" s="2"/>
      <c r="G1031" s="2"/>
      <c r="H1031" s="8" t="str">
        <f t="shared" si="32"/>
        <v/>
      </c>
      <c r="I1031" s="10" t="str">
        <f t="shared" si="33"/>
        <v/>
      </c>
      <c r="L1031" s="2"/>
      <c r="M1031" s="2"/>
      <c r="N1031" s="2"/>
    </row>
    <row r="1032" spans="1:14" ht="30" customHeight="1" x14ac:dyDescent="0.35">
      <c r="A1032" t="s">
        <v>2050</v>
      </c>
      <c r="B1032" t="s">
        <v>2051</v>
      </c>
      <c r="C1032" t="s">
        <v>2238</v>
      </c>
      <c r="D1032" t="s">
        <v>2239</v>
      </c>
      <c r="E1032" s="2">
        <v>95512.85</v>
      </c>
      <c r="F1032" s="2"/>
      <c r="G1032" s="2"/>
      <c r="H1032" s="8" t="str">
        <f t="shared" si="32"/>
        <v/>
      </c>
      <c r="I1032" s="10" t="str">
        <f t="shared" si="33"/>
        <v/>
      </c>
      <c r="L1032" s="2"/>
      <c r="M1032" s="2"/>
      <c r="N1032" s="2"/>
    </row>
    <row r="1033" spans="1:14" ht="30" customHeight="1" x14ac:dyDescent="0.35">
      <c r="A1033" t="s">
        <v>2052</v>
      </c>
      <c r="B1033" t="s">
        <v>2053</v>
      </c>
      <c r="C1033" t="s">
        <v>29</v>
      </c>
      <c r="D1033" t="s">
        <v>28</v>
      </c>
      <c r="E1033" s="2">
        <v>2918.28</v>
      </c>
      <c r="F1033" s="2"/>
      <c r="G1033" s="2"/>
      <c r="H1033" s="8" t="str">
        <f t="shared" si="32"/>
        <v/>
      </c>
      <c r="I1033" s="10" t="str">
        <f t="shared" si="33"/>
        <v/>
      </c>
      <c r="L1033" s="2"/>
      <c r="M1033" s="2"/>
      <c r="N1033" s="2"/>
    </row>
    <row r="1034" spans="1:14" ht="30" customHeight="1" x14ac:dyDescent="0.35">
      <c r="A1034" t="s">
        <v>2054</v>
      </c>
      <c r="B1034" t="s">
        <v>2055</v>
      </c>
      <c r="C1034" t="s">
        <v>19</v>
      </c>
      <c r="D1034" t="s">
        <v>18</v>
      </c>
      <c r="E1034" s="2">
        <v>1890.58</v>
      </c>
      <c r="F1034" s="2"/>
      <c r="G1034" s="2"/>
      <c r="H1034" s="8" t="str">
        <f t="shared" si="32"/>
        <v/>
      </c>
      <c r="I1034" s="10" t="str">
        <f t="shared" si="33"/>
        <v/>
      </c>
      <c r="L1034" s="2"/>
      <c r="M1034" s="2"/>
      <c r="N1034" s="2"/>
    </row>
    <row r="1035" spans="1:14" ht="30" customHeight="1" x14ac:dyDescent="0.35">
      <c r="A1035" t="s">
        <v>2056</v>
      </c>
      <c r="B1035" t="s">
        <v>2057</v>
      </c>
      <c r="C1035" t="s">
        <v>19</v>
      </c>
      <c r="D1035" t="s">
        <v>18</v>
      </c>
      <c r="E1035" s="2">
        <v>1151720.4099999999</v>
      </c>
      <c r="F1035" s="2"/>
      <c r="G1035" s="2"/>
      <c r="H1035" s="8" t="str">
        <f t="shared" si="32"/>
        <v/>
      </c>
      <c r="I1035" s="10" t="str">
        <f t="shared" si="33"/>
        <v/>
      </c>
      <c r="L1035" s="2"/>
      <c r="M1035" s="2"/>
      <c r="N1035" s="2"/>
    </row>
    <row r="1036" spans="1:14" ht="30" customHeight="1" x14ac:dyDescent="0.35">
      <c r="A1036" t="s">
        <v>2058</v>
      </c>
      <c r="B1036" t="s">
        <v>2059</v>
      </c>
      <c r="C1036" t="s">
        <v>2266</v>
      </c>
      <c r="D1036" t="s">
        <v>1560</v>
      </c>
      <c r="E1036" s="2">
        <v>179985.29</v>
      </c>
      <c r="F1036" s="2">
        <v>656778.39</v>
      </c>
      <c r="G1036" s="2">
        <v>750000</v>
      </c>
      <c r="H1036" s="8">
        <f t="shared" si="32"/>
        <v>1406778.3900000001</v>
      </c>
      <c r="I1036" s="10">
        <f t="shared" si="33"/>
        <v>0.12794146631723566</v>
      </c>
      <c r="L1036" s="2"/>
      <c r="M1036" s="2"/>
      <c r="N1036" s="2"/>
    </row>
    <row r="1037" spans="1:14" ht="30" customHeight="1" x14ac:dyDescent="0.35">
      <c r="A1037" t="s">
        <v>2060</v>
      </c>
      <c r="B1037" t="s">
        <v>2061</v>
      </c>
      <c r="C1037" t="s">
        <v>77</v>
      </c>
      <c r="D1037" t="s">
        <v>76</v>
      </c>
      <c r="E1037" s="2">
        <v>3224.66</v>
      </c>
      <c r="F1037" s="2">
        <v>0</v>
      </c>
      <c r="G1037" s="2">
        <v>1500</v>
      </c>
      <c r="H1037" s="8">
        <f t="shared" si="32"/>
        <v>1500</v>
      </c>
      <c r="I1037" s="10">
        <f t="shared" si="33"/>
        <v>2.1497733333333331</v>
      </c>
      <c r="L1037" s="2"/>
      <c r="M1037" s="2"/>
      <c r="N1037" s="2"/>
    </row>
    <row r="1038" spans="1:14" ht="30" customHeight="1" x14ac:dyDescent="0.35">
      <c r="A1038" t="s">
        <v>2062</v>
      </c>
      <c r="B1038" t="s">
        <v>2063</v>
      </c>
      <c r="C1038" t="s">
        <v>29</v>
      </c>
      <c r="D1038" t="s">
        <v>28</v>
      </c>
      <c r="E1038" s="2">
        <v>1729.28</v>
      </c>
      <c r="F1038" s="2"/>
      <c r="G1038" s="2"/>
      <c r="H1038" s="8" t="str">
        <f t="shared" si="32"/>
        <v/>
      </c>
      <c r="I1038" s="10" t="str">
        <f t="shared" si="33"/>
        <v/>
      </c>
      <c r="L1038" s="2"/>
      <c r="M1038" s="2"/>
      <c r="N1038" s="2"/>
    </row>
    <row r="1039" spans="1:14" ht="30" customHeight="1" x14ac:dyDescent="0.35">
      <c r="A1039" t="s">
        <v>2064</v>
      </c>
      <c r="B1039" t="s">
        <v>2065</v>
      </c>
      <c r="C1039" t="s">
        <v>2238</v>
      </c>
      <c r="D1039" t="s">
        <v>2239</v>
      </c>
      <c r="E1039" s="2">
        <v>97762.98</v>
      </c>
      <c r="F1039" s="2"/>
      <c r="G1039" s="2"/>
      <c r="H1039" s="8" t="str">
        <f t="shared" si="32"/>
        <v/>
      </c>
      <c r="I1039" s="10" t="str">
        <f t="shared" si="33"/>
        <v/>
      </c>
      <c r="L1039" s="2"/>
      <c r="M1039" s="2"/>
      <c r="N1039" s="2"/>
    </row>
    <row r="1040" spans="1:14" ht="30" customHeight="1" x14ac:dyDescent="0.35">
      <c r="A1040" t="s">
        <v>2066</v>
      </c>
      <c r="B1040" t="s">
        <v>2067</v>
      </c>
      <c r="C1040" t="s">
        <v>29</v>
      </c>
      <c r="D1040" t="s">
        <v>28</v>
      </c>
      <c r="E1040" s="2">
        <v>6859.02</v>
      </c>
      <c r="F1040" s="2"/>
      <c r="G1040" s="2"/>
      <c r="H1040" s="8" t="str">
        <f t="shared" si="32"/>
        <v/>
      </c>
      <c r="I1040" s="10" t="str">
        <f t="shared" si="33"/>
        <v/>
      </c>
      <c r="L1040" s="2"/>
      <c r="M1040" s="2"/>
      <c r="N1040" s="2"/>
    </row>
    <row r="1041" spans="1:14" ht="30" customHeight="1" x14ac:dyDescent="0.35">
      <c r="A1041" t="s">
        <v>2068</v>
      </c>
      <c r="B1041" t="s">
        <v>2069</v>
      </c>
      <c r="C1041" t="s">
        <v>19</v>
      </c>
      <c r="D1041" t="s">
        <v>18</v>
      </c>
      <c r="E1041" s="2">
        <v>589.82000000000005</v>
      </c>
      <c r="F1041" s="2"/>
      <c r="G1041" s="2"/>
      <c r="H1041" s="8" t="str">
        <f t="shared" si="32"/>
        <v/>
      </c>
      <c r="I1041" s="10" t="str">
        <f t="shared" si="33"/>
        <v/>
      </c>
      <c r="L1041" s="2"/>
      <c r="M1041" s="2"/>
      <c r="N1041" s="2"/>
    </row>
    <row r="1042" spans="1:14" ht="30" customHeight="1" x14ac:dyDescent="0.35">
      <c r="A1042" t="s">
        <v>2070</v>
      </c>
      <c r="B1042" t="s">
        <v>2071</v>
      </c>
      <c r="C1042" t="s">
        <v>51</v>
      </c>
      <c r="D1042" t="s">
        <v>50</v>
      </c>
      <c r="E1042" s="2">
        <v>307968.92</v>
      </c>
      <c r="F1042" s="2"/>
      <c r="G1042" s="2"/>
      <c r="H1042" s="8" t="str">
        <f t="shared" si="32"/>
        <v/>
      </c>
      <c r="I1042" s="10" t="str">
        <f t="shared" si="33"/>
        <v/>
      </c>
      <c r="L1042" s="2"/>
      <c r="M1042" s="2"/>
      <c r="N1042" s="2"/>
    </row>
    <row r="1043" spans="1:14" ht="30" customHeight="1" x14ac:dyDescent="0.35">
      <c r="A1043" t="s">
        <v>2072</v>
      </c>
      <c r="B1043" t="s">
        <v>2073</v>
      </c>
      <c r="C1043" t="s">
        <v>259</v>
      </c>
      <c r="D1043" t="s">
        <v>258</v>
      </c>
      <c r="E1043" s="2">
        <v>1125.8</v>
      </c>
      <c r="F1043" s="2"/>
      <c r="G1043" s="2"/>
      <c r="H1043" s="8" t="str">
        <f t="shared" si="32"/>
        <v/>
      </c>
      <c r="I1043" s="10" t="str">
        <f t="shared" si="33"/>
        <v/>
      </c>
      <c r="L1043" s="2"/>
      <c r="M1043" s="2"/>
      <c r="N1043" s="2"/>
    </row>
    <row r="1044" spans="1:14" ht="30" customHeight="1" x14ac:dyDescent="0.35">
      <c r="A1044" t="s">
        <v>2074</v>
      </c>
      <c r="B1044" t="s">
        <v>2075</v>
      </c>
      <c r="C1044" t="s">
        <v>2259</v>
      </c>
      <c r="D1044" t="s">
        <v>713</v>
      </c>
      <c r="E1044" s="2"/>
      <c r="F1044" s="2">
        <v>600485.37</v>
      </c>
      <c r="G1044" s="2"/>
      <c r="H1044" s="8">
        <f t="shared" si="32"/>
        <v>600485.37</v>
      </c>
      <c r="I1044" s="10">
        <f t="shared" si="33"/>
        <v>0</v>
      </c>
      <c r="L1044" s="2"/>
      <c r="M1044" s="2"/>
      <c r="N1044" s="2"/>
    </row>
    <row r="1045" spans="1:14" ht="30" customHeight="1" x14ac:dyDescent="0.35">
      <c r="A1045" t="s">
        <v>2078</v>
      </c>
      <c r="B1045" t="s">
        <v>2079</v>
      </c>
      <c r="C1045" t="s">
        <v>19</v>
      </c>
      <c r="D1045" t="s">
        <v>18</v>
      </c>
      <c r="E1045" s="2">
        <v>78144.539999999994</v>
      </c>
      <c r="F1045" s="2">
        <v>171545.06</v>
      </c>
      <c r="G1045" s="2"/>
      <c r="H1045" s="8">
        <f t="shared" si="32"/>
        <v>171545.06</v>
      </c>
      <c r="I1045" s="10">
        <f t="shared" si="33"/>
        <v>0.45553360732159814</v>
      </c>
      <c r="L1045" s="2"/>
      <c r="M1045" s="2"/>
      <c r="N1045" s="2"/>
    </row>
    <row r="1046" spans="1:14" ht="30" customHeight="1" x14ac:dyDescent="0.35">
      <c r="A1046" t="s">
        <v>2080</v>
      </c>
      <c r="B1046" t="s">
        <v>2081</v>
      </c>
      <c r="C1046" t="s">
        <v>2225</v>
      </c>
      <c r="D1046" t="s">
        <v>308</v>
      </c>
      <c r="E1046" s="2">
        <v>101319.54</v>
      </c>
      <c r="F1046" s="2"/>
      <c r="G1046" s="2"/>
      <c r="H1046" s="8" t="str">
        <f t="shared" si="32"/>
        <v/>
      </c>
      <c r="I1046" s="10" t="str">
        <f t="shared" si="33"/>
        <v/>
      </c>
      <c r="L1046" s="2"/>
      <c r="M1046" s="2"/>
      <c r="N1046" s="2"/>
    </row>
    <row r="1047" spans="1:14" ht="30" customHeight="1" x14ac:dyDescent="0.35">
      <c r="A1047" t="s">
        <v>2082</v>
      </c>
      <c r="B1047" t="s">
        <v>2083</v>
      </c>
      <c r="C1047" t="s">
        <v>2266</v>
      </c>
      <c r="D1047" t="s">
        <v>1560</v>
      </c>
      <c r="E1047" s="2">
        <v>3535089.68</v>
      </c>
      <c r="F1047" s="2"/>
      <c r="G1047" s="2"/>
      <c r="H1047" s="8" t="str">
        <f t="shared" si="32"/>
        <v/>
      </c>
      <c r="I1047" s="10" t="str">
        <f t="shared" si="33"/>
        <v/>
      </c>
      <c r="L1047" s="2"/>
      <c r="M1047" s="2"/>
      <c r="N1047" s="2"/>
    </row>
    <row r="1048" spans="1:14" ht="30" customHeight="1" x14ac:dyDescent="0.35">
      <c r="A1048" t="s">
        <v>2084</v>
      </c>
      <c r="B1048" t="s">
        <v>2085</v>
      </c>
      <c r="C1048" t="s">
        <v>2273</v>
      </c>
      <c r="D1048" t="s">
        <v>1552</v>
      </c>
      <c r="E1048" s="2">
        <v>395993.99</v>
      </c>
      <c r="F1048" s="2"/>
      <c r="G1048" s="2"/>
      <c r="H1048" s="8" t="str">
        <f t="shared" si="32"/>
        <v/>
      </c>
      <c r="I1048" s="10" t="str">
        <f t="shared" si="33"/>
        <v/>
      </c>
      <c r="L1048" s="2"/>
      <c r="M1048" s="2"/>
      <c r="N1048" s="2"/>
    </row>
    <row r="1049" spans="1:14" ht="30" customHeight="1" x14ac:dyDescent="0.35">
      <c r="A1049">
        <v>934</v>
      </c>
      <c r="B1049" t="s">
        <v>2087</v>
      </c>
      <c r="C1049" t="s">
        <v>101</v>
      </c>
      <c r="D1049" t="s">
        <v>100</v>
      </c>
      <c r="E1049" s="2">
        <v>4770.8599999999997</v>
      </c>
      <c r="F1049" s="2">
        <v>489413.11</v>
      </c>
      <c r="G1049" s="2">
        <v>0</v>
      </c>
      <c r="H1049" s="8">
        <f t="shared" ref="H1049:H1110" si="34">IF(ISBLANK(F1049), "",(F1049+G1049))</f>
        <v>489413.11</v>
      </c>
      <c r="I1049" s="10">
        <f t="shared" ref="I1049:I1110" si="35">IF(ISBLANK(F1049), "", E1049/H1049)</f>
        <v>9.7481246466814102E-3</v>
      </c>
      <c r="L1049" s="2"/>
      <c r="M1049" s="2"/>
      <c r="N1049" s="2"/>
    </row>
    <row r="1050" spans="1:14" ht="30" customHeight="1" x14ac:dyDescent="0.35">
      <c r="A1050" t="s">
        <v>2088</v>
      </c>
      <c r="B1050" t="s">
        <v>2089</v>
      </c>
      <c r="C1050" t="s">
        <v>33</v>
      </c>
      <c r="D1050" t="s">
        <v>32</v>
      </c>
      <c r="E1050" s="2">
        <v>662827.49</v>
      </c>
      <c r="F1050" s="2"/>
      <c r="G1050" s="2"/>
      <c r="H1050" s="8" t="str">
        <f t="shared" si="34"/>
        <v/>
      </c>
      <c r="I1050" s="10" t="str">
        <f t="shared" si="35"/>
        <v/>
      </c>
      <c r="L1050" s="2"/>
      <c r="M1050" s="2"/>
      <c r="N1050" s="2"/>
    </row>
    <row r="1051" spans="1:14" ht="30" customHeight="1" x14ac:dyDescent="0.35">
      <c r="A1051" t="s">
        <v>2090</v>
      </c>
      <c r="B1051" t="s">
        <v>2091</v>
      </c>
      <c r="C1051" t="s">
        <v>2259</v>
      </c>
      <c r="D1051" t="s">
        <v>713</v>
      </c>
      <c r="E1051" s="2">
        <v>37994.29</v>
      </c>
      <c r="F1051" s="2"/>
      <c r="G1051" s="2"/>
      <c r="H1051" s="8" t="str">
        <f t="shared" si="34"/>
        <v/>
      </c>
      <c r="I1051" s="10" t="str">
        <f t="shared" si="35"/>
        <v/>
      </c>
      <c r="L1051" s="2"/>
      <c r="M1051" s="2"/>
      <c r="N1051" s="2"/>
    </row>
    <row r="1052" spans="1:14" ht="30" customHeight="1" x14ac:dyDescent="0.35">
      <c r="A1052" t="s">
        <v>2092</v>
      </c>
      <c r="B1052" t="s">
        <v>2093</v>
      </c>
      <c r="C1052" t="s">
        <v>19</v>
      </c>
      <c r="D1052" t="s">
        <v>18</v>
      </c>
      <c r="E1052" s="2">
        <v>20566.32</v>
      </c>
      <c r="F1052" s="2"/>
      <c r="G1052" s="2"/>
      <c r="H1052" s="8" t="str">
        <f t="shared" si="34"/>
        <v/>
      </c>
      <c r="I1052" s="10" t="str">
        <f t="shared" si="35"/>
        <v/>
      </c>
      <c r="L1052" s="2"/>
      <c r="M1052" s="2"/>
      <c r="N1052" s="2"/>
    </row>
    <row r="1053" spans="1:14" ht="30" customHeight="1" x14ac:dyDescent="0.35">
      <c r="A1053" t="s">
        <v>2094</v>
      </c>
      <c r="B1053" t="s">
        <v>2095</v>
      </c>
      <c r="C1053" t="s">
        <v>51</v>
      </c>
      <c r="D1053" t="s">
        <v>50</v>
      </c>
      <c r="E1053" s="2">
        <v>556499.91</v>
      </c>
      <c r="F1053" s="2"/>
      <c r="G1053" s="2"/>
      <c r="H1053" s="8" t="str">
        <f t="shared" si="34"/>
        <v/>
      </c>
      <c r="I1053" s="10" t="str">
        <f t="shared" si="35"/>
        <v/>
      </c>
      <c r="L1053" s="2"/>
      <c r="M1053" s="2"/>
      <c r="N1053" s="2"/>
    </row>
    <row r="1054" spans="1:14" ht="30" customHeight="1" x14ac:dyDescent="0.35">
      <c r="A1054" t="s">
        <v>2096</v>
      </c>
      <c r="B1054" t="s">
        <v>2097</v>
      </c>
      <c r="C1054" t="s">
        <v>19</v>
      </c>
      <c r="D1054" t="s">
        <v>18</v>
      </c>
      <c r="E1054" s="2">
        <v>32661.279999999999</v>
      </c>
      <c r="F1054" s="2"/>
      <c r="G1054" s="2"/>
      <c r="H1054" s="8" t="str">
        <f t="shared" si="34"/>
        <v/>
      </c>
      <c r="I1054" s="10" t="str">
        <f t="shared" si="35"/>
        <v/>
      </c>
      <c r="L1054" s="2"/>
      <c r="M1054" s="2"/>
      <c r="N1054" s="2"/>
    </row>
    <row r="1055" spans="1:14" ht="30" customHeight="1" x14ac:dyDescent="0.35">
      <c r="A1055" t="s">
        <v>2098</v>
      </c>
      <c r="B1055" t="s">
        <v>2099</v>
      </c>
      <c r="C1055" t="s">
        <v>19</v>
      </c>
      <c r="D1055" t="s">
        <v>18</v>
      </c>
      <c r="E1055" s="2">
        <v>263735.95</v>
      </c>
      <c r="F1055" s="2"/>
      <c r="G1055" s="2"/>
      <c r="H1055" s="8" t="str">
        <f t="shared" si="34"/>
        <v/>
      </c>
      <c r="I1055" s="10" t="str">
        <f t="shared" si="35"/>
        <v/>
      </c>
      <c r="L1055" s="2"/>
      <c r="M1055" s="2"/>
      <c r="N1055" s="2"/>
    </row>
    <row r="1056" spans="1:14" ht="30" customHeight="1" x14ac:dyDescent="0.35">
      <c r="A1056" t="s">
        <v>2100</v>
      </c>
      <c r="B1056" t="s">
        <v>2101</v>
      </c>
      <c r="C1056" t="s">
        <v>33</v>
      </c>
      <c r="D1056" t="s">
        <v>32</v>
      </c>
      <c r="E1056" s="2">
        <v>78060.19</v>
      </c>
      <c r="F1056" s="2"/>
      <c r="G1056" s="2"/>
      <c r="H1056" s="8" t="str">
        <f t="shared" si="34"/>
        <v/>
      </c>
      <c r="I1056" s="10" t="str">
        <f t="shared" si="35"/>
        <v/>
      </c>
      <c r="L1056" s="2"/>
      <c r="M1056" s="2"/>
      <c r="N1056" s="2"/>
    </row>
    <row r="1057" spans="1:14" ht="30" customHeight="1" x14ac:dyDescent="0.35">
      <c r="A1057" t="s">
        <v>2102</v>
      </c>
      <c r="B1057" t="s">
        <v>2103</v>
      </c>
      <c r="C1057" t="s">
        <v>51</v>
      </c>
      <c r="D1057" t="s">
        <v>50</v>
      </c>
      <c r="E1057" s="2">
        <v>600.74</v>
      </c>
      <c r="F1057" s="2"/>
      <c r="G1057" s="2"/>
      <c r="H1057" s="8" t="str">
        <f t="shared" si="34"/>
        <v/>
      </c>
      <c r="I1057" s="10" t="str">
        <f t="shared" si="35"/>
        <v/>
      </c>
      <c r="L1057" s="2"/>
      <c r="M1057" s="2"/>
      <c r="N1057" s="2"/>
    </row>
    <row r="1058" spans="1:14" ht="30" customHeight="1" x14ac:dyDescent="0.35">
      <c r="A1058" t="s">
        <v>2104</v>
      </c>
      <c r="B1058" t="s">
        <v>2105</v>
      </c>
      <c r="C1058" t="s">
        <v>77</v>
      </c>
      <c r="D1058" t="s">
        <v>76</v>
      </c>
      <c r="E1058" s="2">
        <v>343477.26</v>
      </c>
      <c r="F1058" s="2"/>
      <c r="G1058" s="2"/>
      <c r="H1058" s="8" t="str">
        <f t="shared" si="34"/>
        <v/>
      </c>
      <c r="I1058" s="10" t="str">
        <f t="shared" si="35"/>
        <v/>
      </c>
      <c r="L1058" s="2"/>
      <c r="M1058" s="2"/>
      <c r="N1058" s="2"/>
    </row>
    <row r="1059" spans="1:14" ht="30" customHeight="1" x14ac:dyDescent="0.35">
      <c r="A1059" t="s">
        <v>2106</v>
      </c>
      <c r="B1059" t="s">
        <v>2107</v>
      </c>
      <c r="C1059" t="s">
        <v>2259</v>
      </c>
      <c r="D1059" t="s">
        <v>713</v>
      </c>
      <c r="E1059" s="2">
        <v>3689.64</v>
      </c>
      <c r="F1059" s="2"/>
      <c r="G1059" s="2"/>
      <c r="H1059" s="8" t="str">
        <f t="shared" si="34"/>
        <v/>
      </c>
      <c r="I1059" s="10" t="str">
        <f t="shared" si="35"/>
        <v/>
      </c>
      <c r="L1059" s="2"/>
      <c r="M1059" s="2"/>
      <c r="N1059" s="2"/>
    </row>
    <row r="1060" spans="1:14" ht="30" customHeight="1" x14ac:dyDescent="0.35">
      <c r="A1060" t="s">
        <v>2375</v>
      </c>
      <c r="B1060" t="s">
        <v>2376</v>
      </c>
      <c r="C1060" t="s">
        <v>385</v>
      </c>
      <c r="D1060" t="s">
        <v>384</v>
      </c>
      <c r="E1060" s="2">
        <v>9522.9500000000007</v>
      </c>
      <c r="F1060" s="2"/>
      <c r="G1060" s="2"/>
      <c r="H1060" s="8" t="str">
        <f t="shared" si="34"/>
        <v/>
      </c>
      <c r="I1060" s="10" t="str">
        <f t="shared" si="35"/>
        <v/>
      </c>
      <c r="L1060" s="2"/>
      <c r="M1060" s="2"/>
      <c r="N1060" s="2"/>
    </row>
    <row r="1061" spans="1:14" ht="30" customHeight="1" x14ac:dyDescent="0.35">
      <c r="A1061" t="s">
        <v>2108</v>
      </c>
      <c r="B1061" t="s">
        <v>2109</v>
      </c>
      <c r="C1061" t="s">
        <v>2259</v>
      </c>
      <c r="D1061" t="s">
        <v>713</v>
      </c>
      <c r="E1061" s="2">
        <v>8496.1299999999992</v>
      </c>
      <c r="F1061" s="2"/>
      <c r="G1061" s="2"/>
      <c r="H1061" s="8" t="str">
        <f t="shared" si="34"/>
        <v/>
      </c>
      <c r="I1061" s="10" t="str">
        <f t="shared" si="35"/>
        <v/>
      </c>
      <c r="L1061" s="2"/>
      <c r="M1061" s="2"/>
      <c r="N1061" s="2"/>
    </row>
    <row r="1062" spans="1:14" ht="30" customHeight="1" x14ac:dyDescent="0.35">
      <c r="A1062" t="s">
        <v>2110</v>
      </c>
      <c r="B1062" t="s">
        <v>2111</v>
      </c>
      <c r="C1062" t="s">
        <v>19</v>
      </c>
      <c r="D1062" t="s">
        <v>18</v>
      </c>
      <c r="E1062" s="2">
        <v>85790</v>
      </c>
      <c r="F1062" s="2"/>
      <c r="G1062" s="2"/>
      <c r="H1062" s="8" t="str">
        <f t="shared" si="34"/>
        <v/>
      </c>
      <c r="I1062" s="10" t="str">
        <f t="shared" si="35"/>
        <v/>
      </c>
      <c r="L1062" s="2"/>
      <c r="M1062" s="2"/>
      <c r="N1062" s="2"/>
    </row>
    <row r="1063" spans="1:14" ht="30" customHeight="1" x14ac:dyDescent="0.35">
      <c r="A1063" t="s">
        <v>2112</v>
      </c>
      <c r="B1063" t="s">
        <v>2113</v>
      </c>
      <c r="C1063" t="s">
        <v>29</v>
      </c>
      <c r="D1063" t="s">
        <v>28</v>
      </c>
      <c r="E1063" s="2">
        <v>177111.79</v>
      </c>
      <c r="F1063" s="2"/>
      <c r="G1063" s="2"/>
      <c r="H1063" s="8" t="str">
        <f t="shared" si="34"/>
        <v/>
      </c>
      <c r="I1063" s="10" t="str">
        <f t="shared" si="35"/>
        <v/>
      </c>
      <c r="L1063" s="2"/>
      <c r="M1063" s="2"/>
      <c r="N1063" s="2"/>
    </row>
    <row r="1064" spans="1:14" ht="30" customHeight="1" x14ac:dyDescent="0.35">
      <c r="A1064" t="s">
        <v>2114</v>
      </c>
      <c r="B1064" t="s">
        <v>2115</v>
      </c>
      <c r="C1064" t="s">
        <v>33</v>
      </c>
      <c r="D1064" t="s">
        <v>32</v>
      </c>
      <c r="E1064" s="2">
        <v>107723.58</v>
      </c>
      <c r="F1064" s="2"/>
      <c r="G1064" s="2"/>
      <c r="H1064" s="8" t="str">
        <f t="shared" si="34"/>
        <v/>
      </c>
      <c r="I1064" s="10" t="str">
        <f t="shared" si="35"/>
        <v/>
      </c>
      <c r="L1064" s="2"/>
      <c r="M1064" s="2"/>
      <c r="N1064" s="2"/>
    </row>
    <row r="1065" spans="1:14" ht="30" customHeight="1" x14ac:dyDescent="0.35">
      <c r="A1065" t="s">
        <v>2116</v>
      </c>
      <c r="B1065" t="s">
        <v>2117</v>
      </c>
      <c r="C1065" t="s">
        <v>2259</v>
      </c>
      <c r="D1065" t="s">
        <v>713</v>
      </c>
      <c r="E1065" s="2">
        <v>93793.42</v>
      </c>
      <c r="F1065" s="2"/>
      <c r="G1065" s="2"/>
      <c r="H1065" s="8" t="str">
        <f t="shared" si="34"/>
        <v/>
      </c>
      <c r="I1065" s="10" t="str">
        <f t="shared" si="35"/>
        <v/>
      </c>
      <c r="L1065" s="2"/>
      <c r="M1065" s="2"/>
      <c r="N1065" s="2"/>
    </row>
    <row r="1066" spans="1:14" ht="30" customHeight="1" x14ac:dyDescent="0.35">
      <c r="A1066" t="s">
        <v>2118</v>
      </c>
      <c r="B1066" t="s">
        <v>2119</v>
      </c>
      <c r="C1066" t="s">
        <v>29</v>
      </c>
      <c r="D1066" t="s">
        <v>28</v>
      </c>
      <c r="E1066" s="2">
        <v>333553.07</v>
      </c>
      <c r="F1066" s="2"/>
      <c r="G1066" s="2"/>
      <c r="H1066" s="8" t="str">
        <f t="shared" si="34"/>
        <v/>
      </c>
      <c r="I1066" s="10" t="str">
        <f t="shared" si="35"/>
        <v/>
      </c>
      <c r="L1066" s="2"/>
      <c r="M1066" s="2"/>
      <c r="N1066" s="2"/>
    </row>
    <row r="1067" spans="1:14" ht="30" customHeight="1" x14ac:dyDescent="0.35">
      <c r="A1067" t="s">
        <v>2120</v>
      </c>
      <c r="B1067" t="s">
        <v>2121</v>
      </c>
      <c r="C1067" t="s">
        <v>2273</v>
      </c>
      <c r="D1067" t="s">
        <v>1552</v>
      </c>
      <c r="E1067" s="2">
        <v>3274697.5</v>
      </c>
      <c r="F1067" s="2"/>
      <c r="G1067" s="2"/>
      <c r="H1067" s="8" t="str">
        <f t="shared" si="34"/>
        <v/>
      </c>
      <c r="I1067" s="10" t="str">
        <f t="shared" si="35"/>
        <v/>
      </c>
      <c r="L1067" s="2"/>
      <c r="M1067" s="2"/>
      <c r="N1067" s="2"/>
    </row>
    <row r="1068" spans="1:14" ht="30" customHeight="1" x14ac:dyDescent="0.35">
      <c r="A1068" t="s">
        <v>2122</v>
      </c>
      <c r="B1068" t="s">
        <v>2123</v>
      </c>
      <c r="C1068" t="s">
        <v>29</v>
      </c>
      <c r="D1068" t="s">
        <v>28</v>
      </c>
      <c r="E1068" s="2">
        <v>754628.26</v>
      </c>
      <c r="F1068" s="2"/>
      <c r="G1068" s="2"/>
      <c r="H1068" s="8" t="str">
        <f t="shared" si="34"/>
        <v/>
      </c>
      <c r="I1068" s="10" t="str">
        <f t="shared" si="35"/>
        <v/>
      </c>
      <c r="L1068" s="2"/>
      <c r="M1068" s="2"/>
      <c r="N1068" s="2"/>
    </row>
    <row r="1069" spans="1:14" ht="30" customHeight="1" x14ac:dyDescent="0.35">
      <c r="A1069" t="s">
        <v>2377</v>
      </c>
      <c r="B1069" t="s">
        <v>2378</v>
      </c>
      <c r="C1069" t="s">
        <v>33</v>
      </c>
      <c r="D1069" t="s">
        <v>32</v>
      </c>
      <c r="E1069" s="2">
        <v>53443.38</v>
      </c>
      <c r="F1069" s="2"/>
      <c r="G1069" s="2"/>
      <c r="H1069" s="8" t="str">
        <f t="shared" si="34"/>
        <v/>
      </c>
      <c r="I1069" s="10" t="str">
        <f t="shared" si="35"/>
        <v/>
      </c>
      <c r="L1069" s="2"/>
      <c r="M1069" s="2"/>
      <c r="N1069" s="2"/>
    </row>
    <row r="1070" spans="1:14" ht="30" customHeight="1" x14ac:dyDescent="0.35">
      <c r="A1070" t="s">
        <v>2124</v>
      </c>
      <c r="B1070" t="s">
        <v>2125</v>
      </c>
      <c r="C1070" t="s">
        <v>461</v>
      </c>
      <c r="D1070" t="s">
        <v>460</v>
      </c>
      <c r="E1070" s="2">
        <v>1643.97</v>
      </c>
      <c r="F1070" s="2"/>
      <c r="G1070" s="2"/>
      <c r="H1070" s="8" t="str">
        <f t="shared" si="34"/>
        <v/>
      </c>
      <c r="I1070" s="10" t="str">
        <f t="shared" si="35"/>
        <v/>
      </c>
      <c r="L1070" s="2"/>
      <c r="M1070" s="2"/>
      <c r="N1070" s="2"/>
    </row>
    <row r="1071" spans="1:14" ht="30" customHeight="1" x14ac:dyDescent="0.35">
      <c r="A1071" t="s">
        <v>2126</v>
      </c>
      <c r="B1071" t="s">
        <v>2127</v>
      </c>
      <c r="C1071" t="s">
        <v>2238</v>
      </c>
      <c r="D1071" t="s">
        <v>2239</v>
      </c>
      <c r="E1071" s="2">
        <v>96.52</v>
      </c>
      <c r="F1071" s="2">
        <v>144081.18</v>
      </c>
      <c r="G1071" s="2">
        <v>5818.82</v>
      </c>
      <c r="H1071" s="8">
        <f t="shared" si="34"/>
        <v>149900</v>
      </c>
      <c r="I1071" s="10">
        <f t="shared" si="35"/>
        <v>6.4389593062041354E-4</v>
      </c>
      <c r="L1071" s="2"/>
      <c r="M1071" s="2"/>
      <c r="N1071" s="2"/>
    </row>
    <row r="1072" spans="1:14" ht="30" customHeight="1" x14ac:dyDescent="0.35">
      <c r="A1072" t="s">
        <v>2128</v>
      </c>
      <c r="B1072" t="s">
        <v>2129</v>
      </c>
      <c r="C1072" t="s">
        <v>33</v>
      </c>
      <c r="D1072" t="s">
        <v>32</v>
      </c>
      <c r="E1072" s="2">
        <v>194535.11</v>
      </c>
      <c r="F1072" s="2"/>
      <c r="G1072" s="2"/>
      <c r="H1072" s="8" t="str">
        <f t="shared" si="34"/>
        <v/>
      </c>
      <c r="I1072" s="10" t="str">
        <f t="shared" si="35"/>
        <v/>
      </c>
      <c r="L1072" s="2"/>
      <c r="M1072" s="2"/>
      <c r="N1072" s="2"/>
    </row>
    <row r="1073" spans="1:14" ht="30" customHeight="1" x14ac:dyDescent="0.35">
      <c r="A1073" t="s">
        <v>2130</v>
      </c>
      <c r="B1073" t="s">
        <v>2131</v>
      </c>
      <c r="C1073" t="s">
        <v>2238</v>
      </c>
      <c r="D1073" t="s">
        <v>2239</v>
      </c>
      <c r="E1073" s="2">
        <v>56712</v>
      </c>
      <c r="F1073" s="2"/>
      <c r="G1073" s="2"/>
      <c r="H1073" s="8" t="str">
        <f t="shared" si="34"/>
        <v/>
      </c>
      <c r="I1073" s="10" t="str">
        <f t="shared" si="35"/>
        <v/>
      </c>
      <c r="L1073" s="2"/>
      <c r="M1073" s="2"/>
      <c r="N1073" s="2"/>
    </row>
    <row r="1074" spans="1:14" ht="30" customHeight="1" x14ac:dyDescent="0.35">
      <c r="A1074" t="s">
        <v>2132</v>
      </c>
      <c r="B1074" t="s">
        <v>2133</v>
      </c>
      <c r="C1074" t="s">
        <v>2238</v>
      </c>
      <c r="D1074" t="s">
        <v>2239</v>
      </c>
      <c r="E1074" s="2">
        <v>232522.56</v>
      </c>
      <c r="F1074" s="2"/>
      <c r="G1074" s="2"/>
      <c r="H1074" s="8" t="str">
        <f t="shared" si="34"/>
        <v/>
      </c>
      <c r="I1074" s="10" t="str">
        <f t="shared" si="35"/>
        <v/>
      </c>
      <c r="L1074" s="2"/>
      <c r="M1074" s="2"/>
      <c r="N1074" s="2"/>
    </row>
    <row r="1075" spans="1:14" ht="30" customHeight="1" x14ac:dyDescent="0.35">
      <c r="A1075" t="s">
        <v>2134</v>
      </c>
      <c r="B1075" t="s">
        <v>2135</v>
      </c>
      <c r="C1075" t="s">
        <v>33</v>
      </c>
      <c r="D1075" t="s">
        <v>32</v>
      </c>
      <c r="E1075" s="2">
        <v>689322.14</v>
      </c>
      <c r="F1075" s="2"/>
      <c r="G1075" s="2"/>
      <c r="H1075" s="8" t="str">
        <f t="shared" si="34"/>
        <v/>
      </c>
      <c r="I1075" s="10" t="str">
        <f t="shared" si="35"/>
        <v/>
      </c>
      <c r="L1075" s="2"/>
      <c r="M1075" s="2"/>
      <c r="N1075" s="2"/>
    </row>
    <row r="1076" spans="1:14" ht="30" customHeight="1" x14ac:dyDescent="0.35">
      <c r="A1076" t="s">
        <v>2136</v>
      </c>
      <c r="B1076" t="s">
        <v>2137</v>
      </c>
      <c r="C1076" t="s">
        <v>2259</v>
      </c>
      <c r="D1076" t="s">
        <v>713</v>
      </c>
      <c r="E1076" s="2">
        <v>285963.14</v>
      </c>
      <c r="F1076" s="2"/>
      <c r="G1076" s="2"/>
      <c r="H1076" s="8" t="str">
        <f t="shared" si="34"/>
        <v/>
      </c>
      <c r="I1076" s="10" t="str">
        <f t="shared" si="35"/>
        <v/>
      </c>
      <c r="L1076" s="2"/>
      <c r="M1076" s="2"/>
      <c r="N1076" s="2"/>
    </row>
    <row r="1077" spans="1:14" ht="30" customHeight="1" x14ac:dyDescent="0.35">
      <c r="A1077" t="s">
        <v>2138</v>
      </c>
      <c r="B1077" t="s">
        <v>2139</v>
      </c>
      <c r="C1077" t="s">
        <v>2259</v>
      </c>
      <c r="D1077" t="s">
        <v>713</v>
      </c>
      <c r="E1077" s="2">
        <v>229867.71</v>
      </c>
      <c r="F1077" s="2">
        <v>66346.679999999993</v>
      </c>
      <c r="G1077" s="2">
        <v>3653.32</v>
      </c>
      <c r="H1077" s="8">
        <f t="shared" si="34"/>
        <v>70000</v>
      </c>
      <c r="I1077" s="10">
        <f t="shared" si="35"/>
        <v>3.2838244285714286</v>
      </c>
      <c r="L1077" s="2"/>
      <c r="M1077" s="2"/>
      <c r="N1077" s="2"/>
    </row>
    <row r="1078" spans="1:14" ht="30" customHeight="1" x14ac:dyDescent="0.35">
      <c r="A1078" t="s">
        <v>2140</v>
      </c>
      <c r="B1078" t="s">
        <v>2141</v>
      </c>
      <c r="C1078" t="s">
        <v>33</v>
      </c>
      <c r="D1078" t="s">
        <v>32</v>
      </c>
      <c r="E1078" s="2">
        <v>209928.67</v>
      </c>
      <c r="F1078" s="2"/>
      <c r="G1078" s="2"/>
      <c r="H1078" s="8" t="str">
        <f t="shared" si="34"/>
        <v/>
      </c>
      <c r="I1078" s="10" t="str">
        <f t="shared" si="35"/>
        <v/>
      </c>
      <c r="L1078" s="2"/>
      <c r="M1078" s="2"/>
      <c r="N1078" s="2"/>
    </row>
    <row r="1079" spans="1:14" ht="30" customHeight="1" x14ac:dyDescent="0.35">
      <c r="A1079" t="s">
        <v>2379</v>
      </c>
      <c r="B1079" t="s">
        <v>2380</v>
      </c>
      <c r="C1079" t="s">
        <v>29</v>
      </c>
      <c r="D1079" t="s">
        <v>28</v>
      </c>
      <c r="E1079" s="2">
        <v>171438.71</v>
      </c>
      <c r="F1079" s="2"/>
      <c r="G1079" s="2"/>
      <c r="H1079" s="8" t="str">
        <f t="shared" si="34"/>
        <v/>
      </c>
      <c r="I1079" s="10" t="str">
        <f t="shared" si="35"/>
        <v/>
      </c>
      <c r="L1079" s="2"/>
      <c r="M1079" s="2"/>
      <c r="N1079" s="2"/>
    </row>
    <row r="1080" spans="1:14" ht="30" customHeight="1" x14ac:dyDescent="0.35">
      <c r="A1080" t="s">
        <v>2142</v>
      </c>
      <c r="B1080" t="s">
        <v>2143</v>
      </c>
      <c r="C1080" t="s">
        <v>471</v>
      </c>
      <c r="D1080" t="s">
        <v>470</v>
      </c>
      <c r="E1080" s="2">
        <v>651047.80000000005</v>
      </c>
      <c r="F1080" s="2"/>
      <c r="G1080" s="2"/>
      <c r="H1080" s="8" t="str">
        <f t="shared" si="34"/>
        <v/>
      </c>
      <c r="I1080" s="10" t="str">
        <f t="shared" si="35"/>
        <v/>
      </c>
      <c r="L1080" s="2"/>
      <c r="M1080" s="2"/>
      <c r="N1080" s="2"/>
    </row>
    <row r="1081" spans="1:14" ht="30" customHeight="1" x14ac:dyDescent="0.35">
      <c r="A1081" t="s">
        <v>2144</v>
      </c>
      <c r="B1081" t="s">
        <v>2145</v>
      </c>
      <c r="C1081" t="s">
        <v>2224</v>
      </c>
      <c r="D1081" t="s">
        <v>1673</v>
      </c>
      <c r="E1081" s="2">
        <v>538827.49</v>
      </c>
      <c r="F1081" s="2">
        <v>123826.54</v>
      </c>
      <c r="G1081" s="2">
        <v>1500000</v>
      </c>
      <c r="H1081" s="8">
        <f t="shared" si="34"/>
        <v>1623826.54</v>
      </c>
      <c r="I1081" s="10">
        <f t="shared" si="35"/>
        <v>0.33182576877946579</v>
      </c>
      <c r="L1081" s="2"/>
      <c r="M1081" s="2"/>
      <c r="N1081" s="2"/>
    </row>
    <row r="1082" spans="1:14" ht="30" customHeight="1" x14ac:dyDescent="0.35">
      <c r="A1082" t="s">
        <v>2146</v>
      </c>
      <c r="B1082" t="s">
        <v>2147</v>
      </c>
      <c r="C1082" t="s">
        <v>33</v>
      </c>
      <c r="D1082" t="s">
        <v>32</v>
      </c>
      <c r="E1082" s="2">
        <v>516360.36</v>
      </c>
      <c r="F1082" s="2"/>
      <c r="G1082" s="2"/>
      <c r="H1082" s="8" t="str">
        <f t="shared" si="34"/>
        <v/>
      </c>
      <c r="I1082" s="10" t="str">
        <f t="shared" si="35"/>
        <v/>
      </c>
      <c r="L1082" s="2"/>
      <c r="M1082" s="2"/>
      <c r="N1082" s="2"/>
    </row>
    <row r="1083" spans="1:14" ht="30" customHeight="1" x14ac:dyDescent="0.35">
      <c r="A1083" t="s">
        <v>2381</v>
      </c>
      <c r="B1083" t="s">
        <v>2382</v>
      </c>
      <c r="C1083" t="s">
        <v>2224</v>
      </c>
      <c r="D1083" t="s">
        <v>1673</v>
      </c>
      <c r="E1083" s="2">
        <v>952393.24</v>
      </c>
      <c r="F1083" s="2"/>
      <c r="G1083" s="2"/>
      <c r="H1083" s="8" t="str">
        <f t="shared" si="34"/>
        <v/>
      </c>
      <c r="I1083" s="10" t="str">
        <f t="shared" si="35"/>
        <v/>
      </c>
      <c r="L1083" s="2"/>
      <c r="M1083" s="2"/>
      <c r="N1083" s="2"/>
    </row>
    <row r="1084" spans="1:14" ht="30" customHeight="1" x14ac:dyDescent="0.35">
      <c r="A1084" t="s">
        <v>2148</v>
      </c>
      <c r="B1084" t="s">
        <v>2149</v>
      </c>
      <c r="C1084" t="s">
        <v>965</v>
      </c>
      <c r="D1084" t="s">
        <v>964</v>
      </c>
      <c r="E1084" s="2">
        <v>15.08</v>
      </c>
      <c r="F1084" s="2"/>
      <c r="G1084" s="2"/>
      <c r="H1084" s="8" t="str">
        <f t="shared" si="34"/>
        <v/>
      </c>
      <c r="I1084" s="10" t="str">
        <f t="shared" si="35"/>
        <v/>
      </c>
      <c r="L1084" s="2"/>
      <c r="M1084" s="2"/>
      <c r="N1084" s="2"/>
    </row>
    <row r="1085" spans="1:14" ht="30" customHeight="1" x14ac:dyDescent="0.35">
      <c r="A1085" t="s">
        <v>2150</v>
      </c>
      <c r="B1085" t="s">
        <v>2151</v>
      </c>
      <c r="C1085" t="s">
        <v>2225</v>
      </c>
      <c r="D1085" t="s">
        <v>308</v>
      </c>
      <c r="E1085" s="2">
        <v>40</v>
      </c>
      <c r="F1085" s="2">
        <v>55862.78</v>
      </c>
      <c r="G1085" s="2"/>
      <c r="H1085" s="8">
        <f t="shared" si="34"/>
        <v>55862.78</v>
      </c>
      <c r="I1085" s="10">
        <f t="shared" si="35"/>
        <v>7.1604026867262964E-4</v>
      </c>
      <c r="L1085" s="2"/>
      <c r="M1085" s="2"/>
      <c r="N1085" s="2"/>
    </row>
    <row r="1086" spans="1:14" ht="30" customHeight="1" x14ac:dyDescent="0.35">
      <c r="A1086" t="s">
        <v>2152</v>
      </c>
      <c r="B1086" t="s">
        <v>2153</v>
      </c>
      <c r="C1086" t="s">
        <v>2238</v>
      </c>
      <c r="D1086" t="s">
        <v>2239</v>
      </c>
      <c r="E1086" s="2"/>
      <c r="F1086" s="2">
        <v>143050.93</v>
      </c>
      <c r="G1086" s="2"/>
      <c r="H1086" s="8">
        <f t="shared" si="34"/>
        <v>143050.93</v>
      </c>
      <c r="I1086" s="10">
        <f t="shared" si="35"/>
        <v>0</v>
      </c>
      <c r="L1086" s="2"/>
      <c r="M1086" s="2"/>
      <c r="N1086" s="2"/>
    </row>
    <row r="1087" spans="1:14" ht="30" customHeight="1" x14ac:dyDescent="0.35">
      <c r="A1087" t="s">
        <v>2154</v>
      </c>
      <c r="B1087" t="s">
        <v>2155</v>
      </c>
      <c r="C1087" t="s">
        <v>51</v>
      </c>
      <c r="D1087" t="s">
        <v>50</v>
      </c>
      <c r="E1087" s="2">
        <v>158828.57999999999</v>
      </c>
      <c r="F1087" s="2"/>
      <c r="G1087" s="2"/>
      <c r="H1087" s="8" t="str">
        <f t="shared" si="34"/>
        <v/>
      </c>
      <c r="I1087" s="10" t="str">
        <f t="shared" si="35"/>
        <v/>
      </c>
      <c r="L1087" s="2"/>
      <c r="M1087" s="2"/>
      <c r="N1087" s="2"/>
    </row>
    <row r="1088" spans="1:14" ht="30" customHeight="1" x14ac:dyDescent="0.35">
      <c r="A1088" t="s">
        <v>2156</v>
      </c>
      <c r="B1088" t="s">
        <v>2157</v>
      </c>
      <c r="C1088" t="s">
        <v>19</v>
      </c>
      <c r="D1088" t="s">
        <v>18</v>
      </c>
      <c r="E1088" s="2">
        <v>73974.47</v>
      </c>
      <c r="F1088" s="2"/>
      <c r="G1088" s="2"/>
      <c r="H1088" s="8" t="str">
        <f t="shared" si="34"/>
        <v/>
      </c>
      <c r="I1088" s="10" t="str">
        <f t="shared" si="35"/>
        <v/>
      </c>
      <c r="L1088" s="2"/>
      <c r="M1088" s="2"/>
      <c r="N1088" s="2"/>
    </row>
    <row r="1089" spans="1:14" ht="30" customHeight="1" x14ac:dyDescent="0.35">
      <c r="A1089" t="s">
        <v>2158</v>
      </c>
      <c r="B1089" t="s">
        <v>2159</v>
      </c>
      <c r="C1089" t="s">
        <v>2259</v>
      </c>
      <c r="D1089" t="s">
        <v>713</v>
      </c>
      <c r="E1089" s="2">
        <v>82996.66</v>
      </c>
      <c r="F1089" s="2"/>
      <c r="G1089" s="2"/>
      <c r="H1089" s="8" t="str">
        <f t="shared" si="34"/>
        <v/>
      </c>
      <c r="I1089" s="10" t="str">
        <f t="shared" si="35"/>
        <v/>
      </c>
      <c r="L1089" s="2"/>
      <c r="M1089" s="2"/>
      <c r="N1089" s="2"/>
    </row>
    <row r="1090" spans="1:14" ht="30" customHeight="1" x14ac:dyDescent="0.35">
      <c r="A1090" t="s">
        <v>2160</v>
      </c>
      <c r="B1090" t="s">
        <v>2161</v>
      </c>
      <c r="C1090" t="s">
        <v>77</v>
      </c>
      <c r="D1090" t="s">
        <v>76</v>
      </c>
      <c r="E1090" s="2">
        <v>116308.56</v>
      </c>
      <c r="F1090" s="2"/>
      <c r="G1090" s="2"/>
      <c r="H1090" s="8" t="str">
        <f t="shared" si="34"/>
        <v/>
      </c>
      <c r="I1090" s="10" t="str">
        <f t="shared" si="35"/>
        <v/>
      </c>
      <c r="L1090" s="2"/>
      <c r="M1090" s="2"/>
      <c r="N1090" s="2"/>
    </row>
    <row r="1091" spans="1:14" ht="30" customHeight="1" x14ac:dyDescent="0.35">
      <c r="A1091" t="s">
        <v>2162</v>
      </c>
      <c r="B1091" t="s">
        <v>2163</v>
      </c>
      <c r="C1091" t="s">
        <v>51</v>
      </c>
      <c r="D1091" t="s">
        <v>50</v>
      </c>
      <c r="E1091" s="2">
        <v>76367.539999999994</v>
      </c>
      <c r="F1091" s="2">
        <v>0</v>
      </c>
      <c r="G1091" s="2">
        <v>2000</v>
      </c>
      <c r="H1091" s="8">
        <f t="shared" si="34"/>
        <v>2000</v>
      </c>
      <c r="I1091" s="10">
        <f t="shared" si="35"/>
        <v>38.183769999999996</v>
      </c>
      <c r="L1091" s="2"/>
      <c r="M1091" s="2"/>
      <c r="N1091" s="2"/>
    </row>
    <row r="1092" spans="1:14" ht="30" customHeight="1" x14ac:dyDescent="0.35">
      <c r="A1092" t="s">
        <v>2383</v>
      </c>
      <c r="B1092" t="s">
        <v>2384</v>
      </c>
      <c r="C1092" t="s">
        <v>2225</v>
      </c>
      <c r="D1092" t="s">
        <v>308</v>
      </c>
      <c r="E1092" s="2">
        <v>99178.28</v>
      </c>
      <c r="F1092" s="2"/>
      <c r="G1092" s="2"/>
      <c r="H1092" s="8" t="str">
        <f t="shared" si="34"/>
        <v/>
      </c>
      <c r="I1092" s="10" t="str">
        <f t="shared" si="35"/>
        <v/>
      </c>
      <c r="L1092" s="2"/>
      <c r="M1092" s="2"/>
      <c r="N1092" s="2"/>
    </row>
    <row r="1093" spans="1:14" ht="30" customHeight="1" x14ac:dyDescent="0.35">
      <c r="A1093" t="s">
        <v>2164</v>
      </c>
      <c r="B1093" t="s">
        <v>2165</v>
      </c>
      <c r="C1093" t="s">
        <v>19</v>
      </c>
      <c r="D1093" t="s">
        <v>18</v>
      </c>
      <c r="E1093" s="2">
        <v>132567.82999999999</v>
      </c>
      <c r="F1093" s="2"/>
      <c r="G1093" s="2"/>
      <c r="H1093" s="8" t="str">
        <f t="shared" si="34"/>
        <v/>
      </c>
      <c r="I1093" s="10" t="str">
        <f t="shared" si="35"/>
        <v/>
      </c>
      <c r="L1093" s="2"/>
      <c r="M1093" s="2"/>
      <c r="N1093" s="2"/>
    </row>
    <row r="1094" spans="1:14" ht="30" customHeight="1" x14ac:dyDescent="0.35">
      <c r="A1094" t="s">
        <v>2166</v>
      </c>
      <c r="B1094" t="s">
        <v>2167</v>
      </c>
      <c r="C1094" t="s">
        <v>2259</v>
      </c>
      <c r="D1094" t="s">
        <v>713</v>
      </c>
      <c r="E1094" s="2">
        <v>144704.20000000001</v>
      </c>
      <c r="F1094" s="2"/>
      <c r="G1094" s="2"/>
      <c r="H1094" s="8" t="str">
        <f t="shared" si="34"/>
        <v/>
      </c>
      <c r="I1094" s="10" t="str">
        <f t="shared" si="35"/>
        <v/>
      </c>
      <c r="L1094" s="2"/>
      <c r="M1094" s="2"/>
      <c r="N1094" s="2"/>
    </row>
    <row r="1095" spans="1:14" ht="30" customHeight="1" x14ac:dyDescent="0.35">
      <c r="A1095" t="s">
        <v>2168</v>
      </c>
      <c r="B1095" t="s">
        <v>2169</v>
      </c>
      <c r="C1095" t="s">
        <v>2225</v>
      </c>
      <c r="D1095" t="s">
        <v>308</v>
      </c>
      <c r="E1095" s="2">
        <v>103781.33</v>
      </c>
      <c r="F1095" s="2"/>
      <c r="G1095" s="2"/>
      <c r="H1095" s="8" t="str">
        <f t="shared" si="34"/>
        <v/>
      </c>
      <c r="I1095" s="10" t="str">
        <f t="shared" si="35"/>
        <v/>
      </c>
      <c r="L1095" s="2"/>
      <c r="M1095" s="2"/>
      <c r="N1095" s="2"/>
    </row>
    <row r="1096" spans="1:14" ht="30" customHeight="1" x14ac:dyDescent="0.35">
      <c r="A1096" t="s">
        <v>2170</v>
      </c>
      <c r="B1096" t="s">
        <v>2171</v>
      </c>
      <c r="C1096" t="s">
        <v>2259</v>
      </c>
      <c r="D1096" t="s">
        <v>713</v>
      </c>
      <c r="E1096" s="2">
        <v>725218.88</v>
      </c>
      <c r="F1096" s="2"/>
      <c r="G1096" s="2"/>
      <c r="H1096" s="8" t="str">
        <f t="shared" si="34"/>
        <v/>
      </c>
      <c r="I1096" s="10" t="str">
        <f t="shared" si="35"/>
        <v/>
      </c>
      <c r="L1096" s="2"/>
      <c r="M1096" s="2"/>
      <c r="N1096" s="2"/>
    </row>
    <row r="1097" spans="1:14" ht="30" customHeight="1" x14ac:dyDescent="0.35">
      <c r="A1097" t="s">
        <v>2172</v>
      </c>
      <c r="B1097" t="s">
        <v>2173</v>
      </c>
      <c r="C1097" t="s">
        <v>19</v>
      </c>
      <c r="D1097" t="s">
        <v>18</v>
      </c>
      <c r="E1097" s="2">
        <v>81761.570000000007</v>
      </c>
      <c r="F1097" s="2"/>
      <c r="G1097" s="2"/>
      <c r="H1097" s="8" t="str">
        <f t="shared" si="34"/>
        <v/>
      </c>
      <c r="I1097" s="10" t="str">
        <f t="shared" si="35"/>
        <v/>
      </c>
      <c r="L1097" s="2"/>
      <c r="M1097" s="2"/>
      <c r="N1097" s="2"/>
    </row>
    <row r="1098" spans="1:14" ht="30" customHeight="1" x14ac:dyDescent="0.35">
      <c r="A1098" t="s">
        <v>2174</v>
      </c>
      <c r="B1098" t="s">
        <v>2175</v>
      </c>
      <c r="C1098" t="s">
        <v>19</v>
      </c>
      <c r="D1098" t="s">
        <v>18</v>
      </c>
      <c r="E1098" s="2">
        <v>223182.33</v>
      </c>
      <c r="F1098" s="2"/>
      <c r="G1098" s="2"/>
      <c r="H1098" s="8" t="str">
        <f t="shared" si="34"/>
        <v/>
      </c>
      <c r="I1098" s="10" t="str">
        <f t="shared" si="35"/>
        <v/>
      </c>
      <c r="L1098" s="2"/>
      <c r="M1098" s="2"/>
      <c r="N1098" s="2"/>
    </row>
    <row r="1099" spans="1:14" ht="30" customHeight="1" x14ac:dyDescent="0.35">
      <c r="A1099" t="s">
        <v>2176</v>
      </c>
      <c r="B1099" t="s">
        <v>2177</v>
      </c>
      <c r="C1099" t="s">
        <v>2225</v>
      </c>
      <c r="D1099" t="s">
        <v>308</v>
      </c>
      <c r="E1099" s="2">
        <v>99132.28</v>
      </c>
      <c r="F1099" s="2"/>
      <c r="G1099" s="2"/>
      <c r="H1099" s="8" t="str">
        <f t="shared" si="34"/>
        <v/>
      </c>
      <c r="I1099" s="10" t="str">
        <f t="shared" si="35"/>
        <v/>
      </c>
      <c r="L1099" s="2"/>
      <c r="M1099" s="2"/>
      <c r="N1099" s="2"/>
    </row>
    <row r="1100" spans="1:14" ht="30" customHeight="1" x14ac:dyDescent="0.35">
      <c r="A1100" t="s">
        <v>2178</v>
      </c>
      <c r="B1100" t="s">
        <v>2179</v>
      </c>
      <c r="C1100" t="s">
        <v>19</v>
      </c>
      <c r="D1100" t="s">
        <v>18</v>
      </c>
      <c r="E1100" s="2">
        <v>121044.2</v>
      </c>
      <c r="F1100" s="2"/>
      <c r="G1100" s="2"/>
      <c r="H1100" s="8" t="str">
        <f t="shared" si="34"/>
        <v/>
      </c>
      <c r="I1100" s="10" t="str">
        <f t="shared" si="35"/>
        <v/>
      </c>
      <c r="L1100" s="2"/>
      <c r="M1100" s="2"/>
      <c r="N1100" s="2"/>
    </row>
    <row r="1101" spans="1:14" ht="30" customHeight="1" x14ac:dyDescent="0.35">
      <c r="A1101" t="s">
        <v>2180</v>
      </c>
      <c r="B1101" t="s">
        <v>2181</v>
      </c>
      <c r="C1101" t="s">
        <v>51</v>
      </c>
      <c r="D1101" t="s">
        <v>50</v>
      </c>
      <c r="E1101" s="2">
        <v>136146.09</v>
      </c>
      <c r="F1101" s="2"/>
      <c r="G1101" s="2"/>
      <c r="H1101" s="8" t="str">
        <f t="shared" si="34"/>
        <v/>
      </c>
      <c r="I1101" s="10" t="str">
        <f t="shared" si="35"/>
        <v/>
      </c>
      <c r="L1101" s="2"/>
      <c r="M1101" s="2"/>
      <c r="N1101" s="2"/>
    </row>
    <row r="1102" spans="1:14" ht="30" customHeight="1" x14ac:dyDescent="0.35">
      <c r="A1102" t="s">
        <v>2182</v>
      </c>
      <c r="B1102" t="s">
        <v>2183</v>
      </c>
      <c r="C1102" t="s">
        <v>2263</v>
      </c>
      <c r="D1102" t="s">
        <v>1233</v>
      </c>
      <c r="E1102" s="2">
        <v>60253.64</v>
      </c>
      <c r="F1102" s="2"/>
      <c r="G1102" s="2"/>
      <c r="H1102" s="8" t="str">
        <f t="shared" si="34"/>
        <v/>
      </c>
      <c r="I1102" s="10" t="str">
        <f t="shared" si="35"/>
        <v/>
      </c>
      <c r="L1102" s="2"/>
      <c r="M1102" s="2"/>
      <c r="N1102" s="2"/>
    </row>
    <row r="1103" spans="1:14" ht="30" customHeight="1" x14ac:dyDescent="0.35">
      <c r="A1103" t="s">
        <v>2184</v>
      </c>
      <c r="B1103" t="s">
        <v>2185</v>
      </c>
      <c r="C1103" t="s">
        <v>29</v>
      </c>
      <c r="D1103" t="s">
        <v>28</v>
      </c>
      <c r="E1103" s="2">
        <v>124924.57</v>
      </c>
      <c r="F1103" s="2"/>
      <c r="G1103" s="2"/>
      <c r="H1103" s="8" t="str">
        <f t="shared" si="34"/>
        <v/>
      </c>
      <c r="I1103" s="10" t="str">
        <f t="shared" si="35"/>
        <v/>
      </c>
      <c r="L1103" s="2"/>
      <c r="M1103" s="2"/>
      <c r="N1103" s="2"/>
    </row>
    <row r="1104" spans="1:14" ht="30" customHeight="1" x14ac:dyDescent="0.35">
      <c r="A1104" t="s">
        <v>2186</v>
      </c>
      <c r="B1104" t="s">
        <v>2187</v>
      </c>
      <c r="C1104" t="s">
        <v>2263</v>
      </c>
      <c r="D1104" t="s">
        <v>1233</v>
      </c>
      <c r="E1104" s="2">
        <v>130369.88</v>
      </c>
      <c r="F1104" s="2"/>
      <c r="G1104" s="2"/>
      <c r="H1104" s="8" t="str">
        <f t="shared" si="34"/>
        <v/>
      </c>
      <c r="I1104" s="10" t="str">
        <f t="shared" si="35"/>
        <v/>
      </c>
      <c r="L1104" s="2"/>
      <c r="M1104" s="2"/>
      <c r="N1104" s="2"/>
    </row>
    <row r="1105" spans="1:14" ht="30" customHeight="1" x14ac:dyDescent="0.35">
      <c r="A1105" t="s">
        <v>2188</v>
      </c>
      <c r="B1105" t="s">
        <v>2189</v>
      </c>
      <c r="C1105" t="s">
        <v>2263</v>
      </c>
      <c r="D1105" t="s">
        <v>1233</v>
      </c>
      <c r="E1105" s="2">
        <v>57508.26</v>
      </c>
      <c r="F1105" s="2"/>
      <c r="G1105" s="2"/>
      <c r="H1105" s="8" t="str">
        <f t="shared" si="34"/>
        <v/>
      </c>
      <c r="I1105" s="10" t="str">
        <f t="shared" si="35"/>
        <v/>
      </c>
      <c r="L1105" s="2"/>
      <c r="M1105" s="2"/>
      <c r="N1105" s="2"/>
    </row>
    <row r="1106" spans="1:14" ht="30" customHeight="1" x14ac:dyDescent="0.35">
      <c r="A1106" t="s">
        <v>2190</v>
      </c>
      <c r="B1106" t="s">
        <v>2191</v>
      </c>
      <c r="C1106" t="s">
        <v>2259</v>
      </c>
      <c r="D1106" t="s">
        <v>713</v>
      </c>
      <c r="E1106" s="2">
        <v>20106.8</v>
      </c>
      <c r="F1106" s="2"/>
      <c r="G1106" s="2"/>
      <c r="H1106" s="8" t="str">
        <f t="shared" si="34"/>
        <v/>
      </c>
      <c r="I1106" s="10" t="str">
        <f t="shared" si="35"/>
        <v/>
      </c>
      <c r="L1106" s="2"/>
      <c r="M1106" s="2"/>
      <c r="N1106" s="2"/>
    </row>
    <row r="1107" spans="1:14" ht="30" customHeight="1" x14ac:dyDescent="0.35">
      <c r="A1107" t="s">
        <v>2192</v>
      </c>
      <c r="B1107" t="s">
        <v>2193</v>
      </c>
      <c r="C1107" t="s">
        <v>253</v>
      </c>
      <c r="D1107" t="s">
        <v>252</v>
      </c>
      <c r="E1107" s="2">
        <v>47623</v>
      </c>
      <c r="F1107" s="2">
        <v>233375.32</v>
      </c>
      <c r="G1107" s="2"/>
      <c r="H1107" s="8">
        <f t="shared" si="34"/>
        <v>233375.32</v>
      </c>
      <c r="I1107" s="10">
        <f t="shared" si="35"/>
        <v>0.20406185195589663</v>
      </c>
      <c r="L1107" s="2"/>
      <c r="M1107" s="2"/>
      <c r="N1107" s="2"/>
    </row>
    <row r="1108" spans="1:14" ht="30" customHeight="1" x14ac:dyDescent="0.35">
      <c r="A1108" t="s">
        <v>2194</v>
      </c>
      <c r="B1108" t="s">
        <v>2195</v>
      </c>
      <c r="C1108" t="s">
        <v>313</v>
      </c>
      <c r="D1108" t="s">
        <v>312</v>
      </c>
      <c r="E1108" s="2">
        <v>73980.78</v>
      </c>
      <c r="F1108" s="2"/>
      <c r="G1108" s="2"/>
      <c r="H1108" s="8" t="str">
        <f t="shared" si="34"/>
        <v/>
      </c>
      <c r="I1108" s="10" t="str">
        <f t="shared" si="35"/>
        <v/>
      </c>
      <c r="L1108" s="2"/>
      <c r="M1108" s="2"/>
      <c r="N1108" s="2"/>
    </row>
    <row r="1109" spans="1:14" ht="30" customHeight="1" x14ac:dyDescent="0.35">
      <c r="A1109" t="s">
        <v>2196</v>
      </c>
      <c r="B1109" t="s">
        <v>2197</v>
      </c>
      <c r="C1109" t="s">
        <v>77</v>
      </c>
      <c r="D1109" t="s">
        <v>76</v>
      </c>
      <c r="E1109" s="2">
        <v>247590.52</v>
      </c>
      <c r="F1109" s="2"/>
      <c r="G1109" s="2"/>
      <c r="H1109" s="8" t="str">
        <f t="shared" si="34"/>
        <v/>
      </c>
      <c r="I1109" s="10" t="str">
        <f t="shared" si="35"/>
        <v/>
      </c>
      <c r="L1109" s="2"/>
      <c r="M1109" s="2"/>
      <c r="N1109" s="2"/>
    </row>
    <row r="1110" spans="1:14" ht="30" customHeight="1" x14ac:dyDescent="0.35">
      <c r="A1110" t="s">
        <v>2198</v>
      </c>
      <c r="B1110" t="s">
        <v>2199</v>
      </c>
      <c r="C1110" t="s">
        <v>51</v>
      </c>
      <c r="D1110" t="s">
        <v>50</v>
      </c>
      <c r="E1110" s="2">
        <v>15346.7</v>
      </c>
      <c r="F1110" s="2"/>
      <c r="G1110" s="2"/>
      <c r="H1110" s="8" t="str">
        <f t="shared" si="34"/>
        <v/>
      </c>
      <c r="I1110" s="10" t="str">
        <f t="shared" si="35"/>
        <v/>
      </c>
    </row>
    <row r="1111" spans="1:14" ht="30" customHeight="1" x14ac:dyDescent="0.35">
      <c r="A1111" t="s">
        <v>2200</v>
      </c>
      <c r="B1111" t="s">
        <v>2201</v>
      </c>
      <c r="C1111" t="s">
        <v>51</v>
      </c>
      <c r="D1111" t="s">
        <v>50</v>
      </c>
      <c r="E1111" s="2">
        <v>82534.66</v>
      </c>
      <c r="F1111" s="2"/>
      <c r="G1111" s="2"/>
      <c r="H1111" s="8" t="str">
        <f t="shared" ref="H1111:H1117" si="36">IF(ISBLANK(F1111), "",(F1111+G1111))</f>
        <v/>
      </c>
      <c r="I1111" s="10" t="str">
        <f t="shared" ref="I1111:I1118" si="37">IF(ISBLANK(F1111), "", E1111/H1111)</f>
        <v/>
      </c>
    </row>
    <row r="1112" spans="1:14" ht="30" customHeight="1" x14ac:dyDescent="0.35">
      <c r="A1112" t="s">
        <v>2202</v>
      </c>
      <c r="B1112" t="s">
        <v>2203</v>
      </c>
      <c r="C1112" t="s">
        <v>2225</v>
      </c>
      <c r="D1112" t="s">
        <v>308</v>
      </c>
      <c r="E1112" s="2">
        <v>49005.84</v>
      </c>
      <c r="F1112" s="2"/>
      <c r="G1112" s="2"/>
      <c r="H1112" s="8" t="str">
        <f t="shared" si="36"/>
        <v/>
      </c>
      <c r="I1112" s="10" t="str">
        <f t="shared" si="37"/>
        <v/>
      </c>
    </row>
    <row r="1113" spans="1:14" ht="30" customHeight="1" x14ac:dyDescent="0.35">
      <c r="A1113" t="s">
        <v>2204</v>
      </c>
      <c r="B1113" t="s">
        <v>2205</v>
      </c>
      <c r="C1113" t="s">
        <v>2263</v>
      </c>
      <c r="D1113" t="s">
        <v>1233</v>
      </c>
      <c r="E1113" s="2">
        <v>174333.89</v>
      </c>
      <c r="F1113" s="2"/>
      <c r="G1113" s="2"/>
      <c r="H1113" s="8" t="str">
        <f t="shared" si="36"/>
        <v/>
      </c>
      <c r="I1113" s="10" t="str">
        <f t="shared" si="37"/>
        <v/>
      </c>
    </row>
    <row r="1114" spans="1:14" ht="30" customHeight="1" x14ac:dyDescent="0.35">
      <c r="A1114" t="s">
        <v>2206</v>
      </c>
      <c r="B1114" t="s">
        <v>2207</v>
      </c>
      <c r="C1114" t="s">
        <v>2259</v>
      </c>
      <c r="D1114" t="s">
        <v>713</v>
      </c>
      <c r="E1114" s="2">
        <v>55038.74</v>
      </c>
      <c r="F1114" s="2"/>
      <c r="G1114" s="2"/>
      <c r="H1114" s="8" t="str">
        <f t="shared" si="36"/>
        <v/>
      </c>
      <c r="I1114" s="10" t="str">
        <f t="shared" si="37"/>
        <v/>
      </c>
    </row>
    <row r="1115" spans="1:14" ht="30" customHeight="1" x14ac:dyDescent="0.35">
      <c r="A1115" t="s">
        <v>2385</v>
      </c>
      <c r="B1115" t="s">
        <v>2386</v>
      </c>
      <c r="C1115" t="s">
        <v>19</v>
      </c>
      <c r="D1115" t="s">
        <v>18</v>
      </c>
      <c r="E1115" s="2">
        <v>55991.26</v>
      </c>
      <c r="F1115" s="2"/>
      <c r="G1115" s="2"/>
      <c r="H1115" s="8" t="str">
        <f t="shared" si="36"/>
        <v/>
      </c>
      <c r="I1115" s="10" t="str">
        <f t="shared" si="37"/>
        <v/>
      </c>
    </row>
    <row r="1116" spans="1:14" ht="30" customHeight="1" x14ac:dyDescent="0.35">
      <c r="A1116" t="s">
        <v>2208</v>
      </c>
      <c r="B1116" t="s">
        <v>2209</v>
      </c>
      <c r="C1116" t="s">
        <v>2225</v>
      </c>
      <c r="D1116" t="s">
        <v>308</v>
      </c>
      <c r="E1116" s="2">
        <v>97767.83</v>
      </c>
      <c r="F1116" s="2"/>
      <c r="G1116" s="2"/>
      <c r="H1116" s="8" t="str">
        <f t="shared" si="36"/>
        <v/>
      </c>
      <c r="I1116" s="10" t="str">
        <f t="shared" si="37"/>
        <v/>
      </c>
    </row>
    <row r="1117" spans="1:14" ht="30" customHeight="1" x14ac:dyDescent="0.35">
      <c r="A1117" t="s">
        <v>2210</v>
      </c>
      <c r="B1117" t="s">
        <v>2211</v>
      </c>
      <c r="C1117" t="s">
        <v>77</v>
      </c>
      <c r="D1117" t="s">
        <v>76</v>
      </c>
      <c r="E1117" s="2">
        <v>224438.35</v>
      </c>
      <c r="F1117" s="2"/>
      <c r="G1117" s="2"/>
      <c r="H1117" s="8" t="str">
        <f t="shared" si="36"/>
        <v/>
      </c>
      <c r="I1117" s="10" t="str">
        <f t="shared" si="37"/>
        <v/>
      </c>
    </row>
    <row r="1118" spans="1:14" ht="30" customHeight="1" x14ac:dyDescent="0.35">
      <c r="A1118" t="s">
        <v>2389</v>
      </c>
      <c r="E1118" s="8">
        <f>SUM(E2:E1117)</f>
        <v>441540965.87999928</v>
      </c>
      <c r="F1118" s="8">
        <f t="shared" ref="F1118:H1118" si="38">SUM(F2:F1117)</f>
        <v>493483295.31999987</v>
      </c>
      <c r="G1118" s="8">
        <f t="shared" si="38"/>
        <v>92692797.029999927</v>
      </c>
      <c r="H1118" s="8">
        <f t="shared" si="38"/>
        <v>586176092.34999979</v>
      </c>
      <c r="I1118" s="10">
        <f t="shared" si="37"/>
        <v>0.75325652417833455</v>
      </c>
    </row>
  </sheetData>
  <autoFilter ref="A1:P1117" xr:uid="{778AFB86-0FA9-46DD-B876-F1A12099DF21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C73CDFED2B44AB0E1A9D549DFA2D3" ma:contentTypeVersion="17" ma:contentTypeDescription="Create a new document." ma:contentTypeScope="" ma:versionID="a842f55227a4dc5bfd85cc86a761901a">
  <xsd:schema xmlns:xsd="http://www.w3.org/2001/XMLSchema" xmlns:xs="http://www.w3.org/2001/XMLSchema" xmlns:p="http://schemas.microsoft.com/office/2006/metadata/properties" xmlns:ns3="ac13e592-0387-4b33-842e-7fe87e04829e" xmlns:ns4="c183417d-5f49-405f-9293-fcf9a816b38d" targetNamespace="http://schemas.microsoft.com/office/2006/metadata/properties" ma:root="true" ma:fieldsID="fbf2bbcc83ef005e6783d10c23f4146e" ns3:_="" ns4:_="">
    <xsd:import namespace="ac13e592-0387-4b33-842e-7fe87e04829e"/>
    <xsd:import namespace="c183417d-5f49-405f-9293-fcf9a816b3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3e592-0387-4b33-842e-7fe87e0482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3417d-5f49-405f-9293-fcf9a816b3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13e592-0387-4b33-842e-7fe87e04829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BD8814-B09F-4ABE-9BF6-FC8AE0E2D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13e592-0387-4b33-842e-7fe87e04829e"/>
    <ds:schemaRef ds:uri="c183417d-5f49-405f-9293-fcf9a816b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45D3B5-670C-4A7F-8D9B-5BB1B3F74F1C}">
  <ds:schemaRefs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ac13e592-0387-4b33-842e-7fe87e0482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183417d-5f49-405f-9293-fcf9a816b38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93E91B2-C900-4CEE-8F78-744257EDA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HH Deposit Balance Comparison</vt:lpstr>
      <vt:lpstr>Current Month</vt:lpstr>
      <vt:lpstr>Prior Month</vt:lpstr>
      <vt:lpstr>Year end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Schonschek</dc:creator>
  <cp:lastModifiedBy>Nancy Rosentrater</cp:lastModifiedBy>
  <dcterms:created xsi:type="dcterms:W3CDTF">2025-07-02T21:19:12Z</dcterms:created>
  <dcterms:modified xsi:type="dcterms:W3CDTF">2025-11-26T14:11:45Z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0x010100376C73CDFED2B44AB0E1A9D549DFA2D3</vt:lpwstr>
  </property>
</Properties>
</file>